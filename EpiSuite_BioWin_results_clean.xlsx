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er\Downloads\"/>
    </mc:Choice>
  </mc:AlternateContent>
  <xr:revisionPtr revIDLastSave="0" documentId="8_{096E310F-5276-4602-BC71-C8386405CF04}" xr6:coauthVersionLast="47" xr6:coauthVersionMax="47" xr10:uidLastSave="{00000000-0000-0000-0000-000000000000}"/>
  <bookViews>
    <workbookView xWindow="-108" yWindow="-108" windowWidth="23256" windowHeight="12456" xr2:uid="{646F902C-76B1-8E4D-8E08-7D50730CF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7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70" i="1"/>
  <c r="E2" i="1"/>
  <c r="D2" i="1"/>
</calcChain>
</file>

<file path=xl/sharedStrings.xml><?xml version="1.0" encoding="utf-8"?>
<sst xmlns="http://schemas.openxmlformats.org/spreadsheetml/2006/main" count="74" uniqueCount="74">
  <si>
    <t>SMILES</t>
  </si>
  <si>
    <t>BioWin3 (Ultimate Biodegradation Timeframe)</t>
  </si>
  <si>
    <t>BioWin4 (Primary Biodegradation Timeframe)</t>
  </si>
  <si>
    <t>CC1=C(C(=CC=C1)C)N(C(C)C(=O)OC)C(=O)COC</t>
  </si>
  <si>
    <t>CC1=C(C=CC(=C1)Cl)OCC(=O)O</t>
  </si>
  <si>
    <t>[2H]C([2H])([2H])N(CC1=CN=C(C=C1)Cl)C(=NC#N)C</t>
  </si>
  <si>
    <t>CCC1=CC=CC(=C1N(COCC)C(=O)CCl)C</t>
  </si>
  <si>
    <t>CCC1=C(C(=CC=C1)CC)N(COC)C(=O)CCl</t>
  </si>
  <si>
    <t>CCNC1=NC(=NC(=N1)Cl)NC(C)C</t>
  </si>
  <si>
    <t>CO/C=C(\\C1=CC=CC=C1OC2=NC=NC(=C2)OC3=CC=CC=C3C#N)/C(=O)OC</t>
  </si>
  <si>
    <t>CC(C)N1C(=O)C2=CC=CC=C2NS1(=O)=O</t>
  </si>
  <si>
    <t>C1=CC=C(C(=C1)C2=CC=C(C=C2)Cl)NC(=O)C3=C(N=CC=C3)Cl</t>
  </si>
  <si>
    <t>[2H]C([2H])([2H])C(C([2H])([2H])[2H])N1C(=NC(C)(C)C)SCN(C1=O)C2=CC=CC=C2</t>
  </si>
  <si>
    <t>CCCCOCN(C1=C(C=CC=C1CC)CC)C(=O)CCl</t>
  </si>
  <si>
    <t>CCCCN(CCCC)SN(C)C(=O)OC1=CC=CC2=C1OC(C2)(C)C</t>
  </si>
  <si>
    <t>CC1=C(C=C(C=C1)NC(=O)N(C)C)C</t>
  </si>
  <si>
    <t>CCOP(=S)(OCC)OC1=NC(=C(C=C1Cl)Cl)Cl</t>
  </si>
  <si>
    <t>CC1(C(C1C(=O)OC(C#N)C2=CC(=CC=C2)OC3=CC=CC=C3)C=C(Cl)Cl)C</t>
  </si>
  <si>
    <t>C(/C=C/Cl)Cl</t>
  </si>
  <si>
    <t>CN1CN(C(=S)SC1)C</t>
  </si>
  <si>
    <t>CCOP(=S)(OCC)OC1=NC(=NC(=C1)C)C(C)C</t>
  </si>
  <si>
    <t>CC1COC(O1)(CN2C=NC=N2)C3=C(C=C(C=C3)OC4=CC=C(C=C4)Cl)Cl</t>
  </si>
  <si>
    <t>CNC(=O)CSP(=S)(OC)OC</t>
  </si>
  <si>
    <t>CN(C)C(=O)NC1=CC(=C(C=C1)Cl)Cl</t>
  </si>
  <si>
    <t>C1C2C(COS(=O)O1)C3(C(=C(C2(C3(Cl)Cl)Cl)Cl)Cl)Cl</t>
  </si>
  <si>
    <t>CC1=C(C=CC(=C1)OP(=S)(OC)OC)[N+](=O)[O-]</t>
  </si>
  <si>
    <t>CC(C)N(C1=CC=C(C=C1)F)C(=O)COC2=NN=C(S2)C(F)(F)F</t>
  </si>
  <si>
    <t>CN(C)C(=O)C1=C(C=C(C=C1)NC=O)S(=O)(=O)NC(=O)NC2=NC(=CC(=N2)OC)OC</t>
  </si>
  <si>
    <t>C(C(=O)O)NCP(=O)(O)O</t>
  </si>
  <si>
    <t>CN1C(=NC(=O)N(C1=O)C2CCCCC2)N(C)C</t>
  </si>
  <si>
    <t>CC1=CC(=C(N=C1)C2=NC(C(=O)N2)(C)C(C)C)C(=O)O</t>
  </si>
  <si>
    <t>CC(C)C1(C(=O)NC(=N1)C2=C(C=CC=N2)C(=O)O)C</t>
  </si>
  <si>
    <t>CC(C)C1(C(=O)NC(=N1)C2=NC3=CC=CC=C3C=C2C(=O)O)C</t>
  </si>
  <si>
    <t>CCC1=CC(=C(N=C1)C2=NC(C(=O)N2)(C)C(C)C)C(=O)O</t>
  </si>
  <si>
    <t>C1CN(/C(=N/[N+](=O)[O-])/N1)CC2=CN=C(C=C2)Cl</t>
  </si>
  <si>
    <t>CC(C)NC(=O)N1CC(=O)N(C1=O)C2=CC(=CC(=C2)Cl)Cl</t>
  </si>
  <si>
    <t>CC1=CC=C(C=C1)C(C)NC(=O)[C@H](C(C)C)NC(=O)OC(C)C</t>
  </si>
  <si>
    <t>CC(C)C1=CC=C(C=C1)NC(=O)N(C)C</t>
  </si>
  <si>
    <t>CN(C(=O)NC1=CC(=C(C=C1)Cl)Cl)OC</t>
  </si>
  <si>
    <t>CS(=O)(=O)C1=CC(=C(C=C1)C(=O)C2C(=O)CCCC2=O)[N+](=O)[O-]</t>
  </si>
  <si>
    <t>CC1=C(C(=CC=C1)C)N([C@H](C)C(=O)OC)C(=O)COC</t>
  </si>
  <si>
    <t>CC(C)(C)C1=NN=C(N(C1=O)N)SC</t>
  </si>
  <si>
    <t>CCCCC(CN1C=NC=N1)(C#N)C2=CC=C(C=C2)Cl</t>
  </si>
  <si>
    <t>CCOC1=C(C=CC(=C1)OC2=C(C=C(C=C2)C(F)(F)F)Cl)[N+](=O)[O-]</t>
  </si>
  <si>
    <t>CCCC(CN1C=NC=N1)C2=C(C=C(C=C2)Cl)Cl</t>
  </si>
  <si>
    <t>C1(=C(C(=C(C(=C1Cl)Cl)Cl)Cl)Cl)O</t>
  </si>
  <si>
    <t>CCOP(=S)(OCC)SCSCC</t>
  </si>
  <si>
    <t>CCCC1COC(O1)(CN2C=NC=N2)C3=C(C=C(C=C3)Cl)Cl</t>
  </si>
  <si>
    <t>CCCN(CCC)C(=O)SCC1=CC=CC=C1</t>
  </si>
  <si>
    <t>CC1=CC(=NC(=N1)NC2=CC=CC=C2)C</t>
  </si>
  <si>
    <t>CC1=C(C(=CC=C1)C)N([C@@H](C)C(=O)OC)C(=O)COC</t>
  </si>
  <si>
    <t>CCC1=CC=CC(=C1N([C@@H](C)COC)C(=O)CCl)C</t>
  </si>
  <si>
    <t>COC1=C(C=C2C(=C1)C=CC(=O)O2)O</t>
  </si>
  <si>
    <t>CC(C)(C)C(CCC1=CC=C(C=C1)Cl)(CN2C=NC=N2)O</t>
  </si>
  <si>
    <t>CCOP(=S)(OCC)SCSC(C)(C)C</t>
  </si>
  <si>
    <t>CCNC1=NC(=NC(=N1)Cl)NC(C)(C)C</t>
  </si>
  <si>
    <t>CN\1COCN(/C1=N/[N+](=O)[O-])CC2=CN=C(S2)Cl</t>
  </si>
  <si>
    <t>CC(C)CC1=C(C(=NC(=C1C(=O)OC)C(F)F)C(F)(F)F)C2=NCCS2</t>
  </si>
  <si>
    <t>CC1=C(C(=CS1)C(=O)OC)S(=O)(=O)NC(=O)N2C(=O)N(C(=N2)OC)C</t>
  </si>
  <si>
    <t>CC1=C2C(=CC=C1)SC3=NN=CN23</t>
  </si>
  <si>
    <t>C1=CC(=CC2=C1C=CC(=O)O2)O</t>
  </si>
  <si>
    <t>C(/C=C\\Cl)Cl</t>
  </si>
  <si>
    <t>CC[C@]1=C(N([C@H](C)COC)C(=O)CCl)C(C)=CC=C1</t>
  </si>
  <si>
    <t>CC[C@]1=C(N([C@@H](C)COC)C(=O)CCl)C(C)=CC=C1</t>
  </si>
  <si>
    <t>CCN([C@]1=C(C)C=CC=C1CC)C(=O)CCl</t>
  </si>
  <si>
    <t>CC[C@@]1=C(N([C@H](C)COC)C(=O)CCl)C(C)=CC=C1</t>
  </si>
  <si>
    <t>CC[C@@]1=C(N([C@@H](C)COC)C(=O)CCl)C(C)=CC=C1</t>
  </si>
  <si>
    <t>CCN([C@@]1=C(C)C=CC=C1CC)C(=O)CCl</t>
  </si>
  <si>
    <t>COC1=CC(=NC(=N1)OC2=C(C(=CC=C2)OC3=NC(=CC(=N3)OC)OC)C(=O)[O-])OC.[Na+]</t>
  </si>
  <si>
    <t>C([N+](=O)[O-])(Cl)(Cl)Cl</t>
  </si>
  <si>
    <t>CCN(COCC)C(=O)CCl.C1=CC=C(CC)C(=C1C)</t>
  </si>
  <si>
    <t>CCC1=CC=CC(C)=C1N(C(C)COC)C(=O)CCl</t>
  </si>
  <si>
    <t>BioWin3_interpretation</t>
  </si>
  <si>
    <t>BioWin4_interpretation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</si>
</sst>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14AF-D97E-544F-89FA-3683F330A384}">
  <dimension ref="A1:E70"/>
  <sheetViews>
    <sheetView tabSelected="1" workbookViewId="0">
      <selection activeCell="A4" sqref="A4"/>
    </sheetView>
  </sheetViews>
  <sheetFormatPr defaultColWidth="11.19921875" defaultRowHeight="15.6"/>
  <cols>
    <col min="1" max="1" width="69.796875" bestFit="1" customWidth="1"/>
    <col min="2" max="2" width="39.296875" bestFit="1" customWidth="1"/>
    <col min="3" max="3" width="38.69921875" bestFit="1" customWidth="1"/>
    <col min="4" max="5" width="20.19921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72</v>
      </c>
      <c r="E1" s="1" t="s">
        <v>73</v>
      </c>
    </row>
    <row r="2" spans="1:5">
      <c r="A2" s="1" t="s">
        <v>3</v>
      </c>
      <c r="B2" s="2">
        <v>2.50949835777282</v>
      </c>
      <c r="C2" s="2">
        <v>3.7323093414306601</v>
      </c>
      <c r="D2" t="str">
        <f>IF(B2&gt;4.75,"Hours",IF(B2&gt;4.25,"Hours-days",IF(B2&gt;3.75,"Days",IF(B2&gt;3.25,"Days-weeks",IF(B2&gt;2.75,"Weeks",IF(B2&gt;2.25,"Weeks-months",IF(B2&gt;1.75,"Months","Longer/recalcitrant")))))))</f>
        <v>Weeks-months</v>
      </c>
      <c r="E2" t="str">
        <f>IF(C2&gt;4.75,"Hours",IF(C2&gt;4.25,"Hours-days",IF(C2&gt;3.75,"Days",IF(C2&gt;3.25,"Days-weeks",IF(C2&gt;2.75,"Weeks",IF(C2&gt;2.25,"Weeks-months",IF(C2&gt;1.75,"Months","Longer/recalcitrant")))))))</f>
        <v>Days-weeks</v>
      </c>
    </row>
    <row r="3" spans="1:5">
      <c r="A3" s="1" t="s">
        <v>4</v>
      </c>
      <c r="B3" s="2">
        <v>2.7808547019958398</v>
      </c>
      <c r="C3" s="2">
        <v>3.7871069908142001</v>
      </c>
      <c r="D3" t="str">
        <f t="shared" ref="D3:D66" si="0">IF(B3&gt;4.75,"Hours",IF(B3&gt;4.25,"Hours-days",IF(B3&gt;3.75,"Days",IF(B3&gt;3.25,"Days-weeks",IF(B3&gt;2.75,"Weeks",IF(B3&gt;2.25,"Weeks-months",IF(B3&gt;1.75,"Months","Longer/recalcitrant")))))))</f>
        <v>Weeks</v>
      </c>
      <c r="E3" t="str">
        <f t="shared" ref="E3:E66" si="1">IF(C3&gt;4.75,"Hours",IF(C3&gt;4.25,"Hours-days",IF(C3&gt;3.75,"Days",IF(C3&gt;3.25,"Days-weeks",IF(C3&gt;2.75,"Weeks",IF(C3&gt;2.25,"Weeks-months",IF(C3&gt;1.75,"Months","Longer/recalcitrant")))))))</f>
        <v>Days</v>
      </c>
    </row>
    <row r="4" spans="1:5">
      <c r="A4" s="1" t="s">
        <v>5</v>
      </c>
      <c r="B4" s="2">
        <v>2.2863097190856898</v>
      </c>
      <c r="C4" s="2">
        <v>3.34238576889038</v>
      </c>
      <c r="D4" t="str">
        <f t="shared" si="0"/>
        <v>Weeks-months</v>
      </c>
      <c r="E4" t="str">
        <f t="shared" si="1"/>
        <v>Days-weeks</v>
      </c>
    </row>
    <row r="5" spans="1:5">
      <c r="A5" s="1" t="s">
        <v>6</v>
      </c>
      <c r="B5" s="2">
        <v>2.2172455787658598</v>
      </c>
      <c r="C5" s="2">
        <v>3.4165391921996999</v>
      </c>
      <c r="D5" t="str">
        <f t="shared" si="0"/>
        <v>Months</v>
      </c>
      <c r="E5" t="str">
        <f t="shared" si="1"/>
        <v>Days-weeks</v>
      </c>
    </row>
    <row r="6" spans="1:5">
      <c r="A6" s="1" t="s">
        <v>7</v>
      </c>
      <c r="B6" s="2">
        <v>2.2172455787658598</v>
      </c>
      <c r="C6" s="2">
        <v>3.4165391921996999</v>
      </c>
      <c r="D6" t="str">
        <f t="shared" si="0"/>
        <v>Months</v>
      </c>
      <c r="E6" t="str">
        <f t="shared" si="1"/>
        <v>Days-weeks</v>
      </c>
    </row>
    <row r="7" spans="1:5">
      <c r="A7" s="1" t="s">
        <v>8</v>
      </c>
      <c r="B7" s="2">
        <v>2.0001697540283199</v>
      </c>
      <c r="C7" s="2">
        <v>3.0969328880310001</v>
      </c>
      <c r="D7" t="str">
        <f t="shared" si="0"/>
        <v>Months</v>
      </c>
      <c r="E7" t="str">
        <f t="shared" si="1"/>
        <v>Weeks</v>
      </c>
    </row>
    <row r="8" spans="1:5">
      <c r="A8" s="1" t="s">
        <v>9</v>
      </c>
      <c r="B8" s="2">
        <v>2.2406353950500399</v>
      </c>
      <c r="C8" s="2">
        <v>3.5739932060241699</v>
      </c>
      <c r="D8" t="str">
        <f t="shared" si="0"/>
        <v>Months</v>
      </c>
      <c r="E8" t="str">
        <f t="shared" si="1"/>
        <v>Days-weeks</v>
      </c>
    </row>
    <row r="9" spans="1:5">
      <c r="A9" s="1" t="s">
        <v>10</v>
      </c>
      <c r="B9" s="2">
        <v>2.6681861877441402</v>
      </c>
      <c r="C9" s="2">
        <v>3.5010735988616899</v>
      </c>
      <c r="D9" t="str">
        <f t="shared" si="0"/>
        <v>Weeks-months</v>
      </c>
      <c r="E9" t="str">
        <f t="shared" si="1"/>
        <v>Days-weeks</v>
      </c>
    </row>
    <row r="10" spans="1:5">
      <c r="A10" s="1" t="s">
        <v>11</v>
      </c>
      <c r="B10" s="2">
        <v>1.7591311931610101</v>
      </c>
      <c r="C10" s="2">
        <v>3.2085721492767298</v>
      </c>
      <c r="D10" t="str">
        <f t="shared" si="0"/>
        <v>Months</v>
      </c>
      <c r="E10" t="str">
        <f t="shared" si="1"/>
        <v>Weeks</v>
      </c>
    </row>
    <row r="11" spans="1:5">
      <c r="A11" s="1" t="s">
        <v>12</v>
      </c>
      <c r="B11" s="2">
        <v>2.3340756893157901</v>
      </c>
      <c r="C11" s="2">
        <v>3.2585101127624498</v>
      </c>
      <c r="D11" t="str">
        <f t="shared" si="0"/>
        <v>Weeks-months</v>
      </c>
      <c r="E11" t="str">
        <f t="shared" si="1"/>
        <v>Days-weeks</v>
      </c>
    </row>
    <row r="12" spans="1:5">
      <c r="A12" s="1" t="s">
        <v>13</v>
      </c>
      <c r="B12" s="2">
        <v>2.4225912094116202</v>
      </c>
      <c r="C12" s="2">
        <v>3.6248960494995099</v>
      </c>
      <c r="D12" t="str">
        <f t="shared" si="0"/>
        <v>Weeks-months</v>
      </c>
      <c r="E12" t="str">
        <f t="shared" si="1"/>
        <v>Days-weeks</v>
      </c>
    </row>
    <row r="13" spans="1:5">
      <c r="A13" s="1" t="s">
        <v>14</v>
      </c>
      <c r="B13" s="2">
        <v>2.6097955703735298</v>
      </c>
      <c r="C13" s="2">
        <v>3.6919867992401101</v>
      </c>
      <c r="D13" t="str">
        <f t="shared" si="0"/>
        <v>Weeks-months</v>
      </c>
      <c r="E13" t="str">
        <f t="shared" si="1"/>
        <v>Days-weeks</v>
      </c>
    </row>
    <row r="14" spans="1:5">
      <c r="A14" s="1" t="s">
        <v>15</v>
      </c>
      <c r="B14" s="2">
        <v>2.6245946884155198</v>
      </c>
      <c r="C14" s="2">
        <v>3.43328857421875</v>
      </c>
      <c r="D14" t="str">
        <f t="shared" si="0"/>
        <v>Weeks-months</v>
      </c>
      <c r="E14" t="str">
        <f t="shared" si="1"/>
        <v>Days-weeks</v>
      </c>
    </row>
    <row r="15" spans="1:5">
      <c r="A15" s="1" t="s">
        <v>16</v>
      </c>
      <c r="B15" s="2">
        <v>1.7441823482513401</v>
      </c>
      <c r="C15" s="2">
        <v>3.2925176620483398</v>
      </c>
      <c r="D15" t="str">
        <f t="shared" si="0"/>
        <v>Longer/recalcitrant</v>
      </c>
      <c r="E15" t="str">
        <f t="shared" si="1"/>
        <v>Days-weeks</v>
      </c>
    </row>
    <row r="16" spans="1:5">
      <c r="A16" s="1" t="s">
        <v>17</v>
      </c>
      <c r="B16" s="2">
        <v>1.74242639541625</v>
      </c>
      <c r="C16" s="2">
        <v>3.1382174491882302</v>
      </c>
      <c r="D16" t="str">
        <f t="shared" si="0"/>
        <v>Longer/recalcitrant</v>
      </c>
      <c r="E16" t="str">
        <f t="shared" si="1"/>
        <v>Weeks</v>
      </c>
    </row>
    <row r="17" spans="1:5">
      <c r="A17" s="1" t="s">
        <v>18</v>
      </c>
      <c r="B17" s="2">
        <v>2.60757851600646</v>
      </c>
      <c r="C17" s="2">
        <v>3.4864125251770002</v>
      </c>
      <c r="D17" t="str">
        <f t="shared" si="0"/>
        <v>Weeks-months</v>
      </c>
      <c r="E17" t="str">
        <f t="shared" si="1"/>
        <v>Days-weeks</v>
      </c>
    </row>
    <row r="18" spans="1:5">
      <c r="A18" s="1" t="s">
        <v>19</v>
      </c>
      <c r="B18" s="2">
        <v>2.5390675067901598</v>
      </c>
      <c r="C18" s="2">
        <v>3.5192525386810298</v>
      </c>
      <c r="D18" t="str">
        <f t="shared" si="0"/>
        <v>Weeks-months</v>
      </c>
      <c r="E18" t="str">
        <f t="shared" si="1"/>
        <v>Days-weeks</v>
      </c>
    </row>
    <row r="19" spans="1:5">
      <c r="A19" s="1" t="s">
        <v>20</v>
      </c>
      <c r="B19" s="2">
        <v>2.53063440322875</v>
      </c>
      <c r="C19" s="2">
        <v>3.7369291782379102</v>
      </c>
      <c r="D19" t="str">
        <f t="shared" si="0"/>
        <v>Weeks-months</v>
      </c>
      <c r="E19" t="str">
        <f t="shared" si="1"/>
        <v>Days-weeks</v>
      </c>
    </row>
    <row r="20" spans="1:5">
      <c r="A20" s="1" t="s">
        <v>21</v>
      </c>
      <c r="B20" s="2">
        <v>1.6005843877792301</v>
      </c>
      <c r="C20" s="2">
        <v>2.8351068496704102</v>
      </c>
      <c r="D20" t="str">
        <f t="shared" si="0"/>
        <v>Longer/recalcitrant</v>
      </c>
      <c r="E20" t="str">
        <f t="shared" si="1"/>
        <v>Weeks</v>
      </c>
    </row>
    <row r="21" spans="1:5">
      <c r="A21" s="1" t="s">
        <v>22</v>
      </c>
      <c r="B21" s="2">
        <v>2.7920775413513099</v>
      </c>
      <c r="C21" s="2">
        <v>4.18776512145996</v>
      </c>
      <c r="D21" t="str">
        <f t="shared" si="0"/>
        <v>Weeks</v>
      </c>
      <c r="E21" t="str">
        <f t="shared" si="1"/>
        <v>Days</v>
      </c>
    </row>
    <row r="22" spans="1:5">
      <c r="A22" s="1" t="s">
        <v>23</v>
      </c>
      <c r="B22" s="2">
        <v>2.2708530426025302</v>
      </c>
      <c r="C22" s="2">
        <v>3.18075251579284</v>
      </c>
      <c r="D22" t="str">
        <f t="shared" si="0"/>
        <v>Weeks-months</v>
      </c>
      <c r="E22" t="str">
        <f t="shared" si="1"/>
        <v>Weeks</v>
      </c>
    </row>
    <row r="23" spans="1:5">
      <c r="A23" s="1" t="s">
        <v>24</v>
      </c>
      <c r="B23" s="2">
        <v>0.62448143959045399</v>
      </c>
      <c r="C23" s="2">
        <v>2.1966648101806601</v>
      </c>
      <c r="D23" t="str">
        <f t="shared" si="0"/>
        <v>Longer/recalcitrant</v>
      </c>
      <c r="E23" t="str">
        <f t="shared" si="1"/>
        <v>Months</v>
      </c>
    </row>
    <row r="24" spans="1:5">
      <c r="A24" s="1" t="s">
        <v>25</v>
      </c>
      <c r="B24" s="2">
        <v>2.4958109855651802</v>
      </c>
      <c r="C24" s="2">
        <v>3.7361969947814901</v>
      </c>
      <c r="D24" t="str">
        <f t="shared" si="0"/>
        <v>Weeks-months</v>
      </c>
      <c r="E24" t="str">
        <f t="shared" si="1"/>
        <v>Days-weeks</v>
      </c>
    </row>
    <row r="25" spans="1:5">
      <c r="A25" s="1" t="s">
        <v>26</v>
      </c>
      <c r="B25" s="2">
        <v>1.36402463912963</v>
      </c>
      <c r="C25" s="2">
        <v>3.3451476097106898</v>
      </c>
      <c r="D25" t="str">
        <f t="shared" si="0"/>
        <v>Longer/recalcitrant</v>
      </c>
      <c r="E25" t="str">
        <f t="shared" si="1"/>
        <v>Days-weeks</v>
      </c>
    </row>
    <row r="26" spans="1:5">
      <c r="A26" s="1" t="s">
        <v>27</v>
      </c>
      <c r="B26" s="2">
        <v>1.9746669530868499</v>
      </c>
      <c r="C26" s="2">
        <v>3.76006984710693</v>
      </c>
      <c r="D26" t="str">
        <f t="shared" si="0"/>
        <v>Months</v>
      </c>
      <c r="E26" t="str">
        <f t="shared" si="1"/>
        <v>Days</v>
      </c>
    </row>
    <row r="27" spans="1:5">
      <c r="A27" s="1" t="s">
        <v>28</v>
      </c>
      <c r="B27" s="2">
        <v>3.2145824432372998</v>
      </c>
      <c r="C27" s="2">
        <v>4.03265333175659</v>
      </c>
      <c r="D27" t="str">
        <f t="shared" si="0"/>
        <v>Weeks</v>
      </c>
      <c r="E27" t="str">
        <f t="shared" si="1"/>
        <v>Days</v>
      </c>
    </row>
    <row r="28" spans="1:5">
      <c r="A28" s="1" t="s">
        <v>29</v>
      </c>
      <c r="B28" s="2">
        <v>2.64157915115356</v>
      </c>
      <c r="C28" s="2">
        <v>3.48370265960693</v>
      </c>
      <c r="D28" t="str">
        <f t="shared" si="0"/>
        <v>Weeks-months</v>
      </c>
      <c r="E28" t="str">
        <f t="shared" si="1"/>
        <v>Days-weeks</v>
      </c>
    </row>
    <row r="29" spans="1:5">
      <c r="A29" s="1" t="s">
        <v>30</v>
      </c>
      <c r="B29" s="2">
        <v>2.1232922077178902</v>
      </c>
      <c r="C29" s="2">
        <v>3.42300224304199</v>
      </c>
      <c r="D29" t="str">
        <f t="shared" si="0"/>
        <v>Months</v>
      </c>
      <c r="E29" t="str">
        <f t="shared" si="1"/>
        <v>Days-weeks</v>
      </c>
    </row>
    <row r="30" spans="1:5">
      <c r="A30" s="1" t="s">
        <v>31</v>
      </c>
      <c r="B30" s="2">
        <v>2.2291402816772399</v>
      </c>
      <c r="C30" s="2">
        <v>3.5117700099945002</v>
      </c>
      <c r="D30" t="str">
        <f t="shared" si="0"/>
        <v>Months</v>
      </c>
      <c r="E30" t="str">
        <f t="shared" si="1"/>
        <v>Days-weeks</v>
      </c>
    </row>
    <row r="31" spans="1:5">
      <c r="A31" s="1" t="s">
        <v>32</v>
      </c>
      <c r="B31" s="2">
        <v>2.3326833248138401</v>
      </c>
      <c r="C31" s="2">
        <v>3.4582850933074898</v>
      </c>
      <c r="D31" t="str">
        <f t="shared" si="0"/>
        <v>Weeks-months</v>
      </c>
      <c r="E31" t="str">
        <f t="shared" si="1"/>
        <v>Days-weeks</v>
      </c>
    </row>
    <row r="32" spans="1:5">
      <c r="A32" s="1" t="s">
        <v>33</v>
      </c>
      <c r="B32" s="2">
        <v>2.0922942161560001</v>
      </c>
      <c r="C32" s="2">
        <v>3.4027645587921098</v>
      </c>
      <c r="D32" t="str">
        <f t="shared" si="0"/>
        <v>Months</v>
      </c>
      <c r="E32" t="str">
        <f t="shared" si="1"/>
        <v>Days-weeks</v>
      </c>
    </row>
    <row r="33" spans="1:5">
      <c r="A33" s="1" t="s">
        <v>34</v>
      </c>
      <c r="B33" s="2">
        <v>2.2134139537811199</v>
      </c>
      <c r="C33" s="2">
        <v>3.29479455947875</v>
      </c>
      <c r="D33" t="str">
        <f t="shared" si="0"/>
        <v>Months</v>
      </c>
      <c r="E33" t="str">
        <f t="shared" si="1"/>
        <v>Days-weeks</v>
      </c>
    </row>
    <row r="34" spans="1:5">
      <c r="A34" s="1" t="s">
        <v>35</v>
      </c>
      <c r="B34" s="2">
        <v>2.0563323497772199</v>
      </c>
      <c r="C34" s="2">
        <v>3.04069852828979</v>
      </c>
      <c r="D34" t="str">
        <f t="shared" si="0"/>
        <v>Months</v>
      </c>
      <c r="E34" t="str">
        <f t="shared" si="1"/>
        <v>Weeks</v>
      </c>
    </row>
    <row r="35" spans="1:5">
      <c r="A35" s="1" t="s">
        <v>36</v>
      </c>
      <c r="B35" s="2">
        <v>2.3152804374694802</v>
      </c>
      <c r="C35" s="2">
        <v>3.7159569263458199</v>
      </c>
      <c r="D35" t="str">
        <f t="shared" si="0"/>
        <v>Weeks-months</v>
      </c>
      <c r="E35" t="str">
        <f t="shared" si="1"/>
        <v>Days-weeks</v>
      </c>
    </row>
    <row r="36" spans="1:5">
      <c r="A36" s="1" t="s">
        <v>37</v>
      </c>
      <c r="B36" s="2">
        <v>2.6684465408325102</v>
      </c>
      <c r="C36" s="2">
        <v>3.4815809726714999</v>
      </c>
      <c r="D36" t="str">
        <f t="shared" si="0"/>
        <v>Weeks-months</v>
      </c>
      <c r="E36" t="str">
        <f t="shared" si="1"/>
        <v>Days-weeks</v>
      </c>
    </row>
    <row r="37" spans="1:5">
      <c r="A37" s="1" t="s">
        <v>38</v>
      </c>
      <c r="B37" s="2">
        <v>2.2354965209960902</v>
      </c>
      <c r="C37" s="2">
        <v>3.1576693058013898</v>
      </c>
      <c r="D37" t="str">
        <f t="shared" si="0"/>
        <v>Months</v>
      </c>
      <c r="E37" t="str">
        <f t="shared" si="1"/>
        <v>Weeks</v>
      </c>
    </row>
    <row r="38" spans="1:5">
      <c r="A38" s="1" t="s">
        <v>39</v>
      </c>
      <c r="B38" s="2">
        <v>2.2122836112975999</v>
      </c>
      <c r="C38" s="2">
        <v>3.1831383705139098</v>
      </c>
      <c r="D38" t="str">
        <f t="shared" si="0"/>
        <v>Months</v>
      </c>
      <c r="E38" t="str">
        <f t="shared" si="1"/>
        <v>Weeks</v>
      </c>
    </row>
    <row r="39" spans="1:5">
      <c r="A39" s="1" t="s">
        <v>40</v>
      </c>
      <c r="B39" s="2">
        <v>2.50949835777282</v>
      </c>
      <c r="C39" s="2">
        <v>3.7323093414306601</v>
      </c>
      <c r="D39" t="str">
        <f t="shared" si="0"/>
        <v>Weeks-months</v>
      </c>
      <c r="E39" t="str">
        <f t="shared" si="1"/>
        <v>Days-weeks</v>
      </c>
    </row>
    <row r="40" spans="1:5">
      <c r="A40" s="1" t="s">
        <v>41</v>
      </c>
      <c r="B40" s="2">
        <v>2.5135045051574698</v>
      </c>
      <c r="C40" s="2">
        <v>3.3851332664489702</v>
      </c>
      <c r="D40" t="str">
        <f t="shared" si="0"/>
        <v>Weeks-months</v>
      </c>
      <c r="E40" t="str">
        <f t="shared" si="1"/>
        <v>Days-weeks</v>
      </c>
    </row>
    <row r="41" spans="1:5">
      <c r="A41" s="1" t="s">
        <v>42</v>
      </c>
      <c r="B41" s="2">
        <v>2.3582396507263099</v>
      </c>
      <c r="C41" s="2">
        <v>3.3161845207214302</v>
      </c>
      <c r="D41" t="str">
        <f t="shared" si="0"/>
        <v>Weeks-months</v>
      </c>
      <c r="E41" t="str">
        <f t="shared" si="1"/>
        <v>Days-weeks</v>
      </c>
    </row>
    <row r="42" spans="1:5">
      <c r="A42" s="1" t="s">
        <v>43</v>
      </c>
      <c r="B42" s="2">
        <v>1.3944554328918399</v>
      </c>
      <c r="C42" s="2">
        <v>2.93200206756591</v>
      </c>
      <c r="D42" t="str">
        <f t="shared" si="0"/>
        <v>Longer/recalcitrant</v>
      </c>
      <c r="E42" t="str">
        <f t="shared" si="1"/>
        <v>Weeks</v>
      </c>
    </row>
    <row r="43" spans="1:5">
      <c r="A43" s="1" t="s">
        <v>44</v>
      </c>
      <c r="B43" s="2">
        <v>2.08309698104858</v>
      </c>
      <c r="C43" s="2">
        <v>3.0385096073150599</v>
      </c>
      <c r="D43" t="str">
        <f t="shared" si="0"/>
        <v>Months</v>
      </c>
      <c r="E43" t="str">
        <f t="shared" si="1"/>
        <v>Weeks</v>
      </c>
    </row>
    <row r="44" spans="1:5">
      <c r="A44" s="1" t="s">
        <v>45</v>
      </c>
      <c r="B44" s="2">
        <v>1.6339762210845901</v>
      </c>
      <c r="C44" s="2">
        <v>2.6764647960662802</v>
      </c>
      <c r="D44" t="str">
        <f t="shared" si="0"/>
        <v>Longer/recalcitrant</v>
      </c>
      <c r="E44" t="str">
        <f t="shared" si="1"/>
        <v>Weeks-months</v>
      </c>
    </row>
    <row r="45" spans="1:5">
      <c r="A45" s="1" t="s">
        <v>46</v>
      </c>
      <c r="B45" s="2">
        <v>2.7775251865386901</v>
      </c>
      <c r="C45" s="2">
        <v>3.9374420642852699</v>
      </c>
      <c r="D45" t="str">
        <f t="shared" si="0"/>
        <v>Weeks</v>
      </c>
      <c r="E45" t="str">
        <f t="shared" si="1"/>
        <v>Days</v>
      </c>
    </row>
    <row r="46" spans="1:5">
      <c r="A46" s="1" t="s">
        <v>47</v>
      </c>
      <c r="B46" s="2">
        <v>1.80023288726806</v>
      </c>
      <c r="C46" s="2">
        <v>2.8503863811492902</v>
      </c>
      <c r="D46" t="str">
        <f t="shared" si="0"/>
        <v>Months</v>
      </c>
      <c r="E46" t="str">
        <f t="shared" si="1"/>
        <v>Weeks</v>
      </c>
    </row>
    <row r="47" spans="1:5">
      <c r="A47" s="1" t="s">
        <v>48</v>
      </c>
      <c r="B47" s="2">
        <v>2.6189327239990199</v>
      </c>
      <c r="C47" s="2">
        <v>3.6835632324218701</v>
      </c>
      <c r="D47" t="str">
        <f t="shared" si="0"/>
        <v>Weeks-months</v>
      </c>
      <c r="E47" t="str">
        <f t="shared" si="1"/>
        <v>Days-weeks</v>
      </c>
    </row>
    <row r="48" spans="1:5">
      <c r="A48" s="1" t="s">
        <v>49</v>
      </c>
      <c r="B48" s="2">
        <v>2.4961981773376398</v>
      </c>
      <c r="C48" s="2">
        <v>3.3197073936462398</v>
      </c>
      <c r="D48" t="str">
        <f t="shared" si="0"/>
        <v>Weeks-months</v>
      </c>
      <c r="E48" t="str">
        <f t="shared" si="1"/>
        <v>Days-weeks</v>
      </c>
    </row>
    <row r="49" spans="1:5">
      <c r="A49" s="1" t="s">
        <v>50</v>
      </c>
      <c r="B49" s="2">
        <v>2.50949835777282</v>
      </c>
      <c r="C49" s="2">
        <v>3.7323093414306601</v>
      </c>
      <c r="D49" t="str">
        <f t="shared" si="0"/>
        <v>Weeks-months</v>
      </c>
      <c r="E49" t="str">
        <f t="shared" si="1"/>
        <v>Days-weeks</v>
      </c>
    </row>
    <row r="50" spans="1:5">
      <c r="A50" s="1" t="s">
        <v>51</v>
      </c>
      <c r="B50" s="2">
        <v>2.1862475872039702</v>
      </c>
      <c r="C50" s="2">
        <v>3.3963015079498202</v>
      </c>
      <c r="D50" t="str">
        <f t="shared" si="0"/>
        <v>Months</v>
      </c>
      <c r="E50" t="str">
        <f t="shared" si="1"/>
        <v>Days-weeks</v>
      </c>
    </row>
    <row r="51" spans="1:5">
      <c r="A51" s="1" t="s">
        <v>52</v>
      </c>
      <c r="B51" s="2">
        <v>2.9129643440246502</v>
      </c>
      <c r="C51" s="2">
        <v>3.91624879837036</v>
      </c>
      <c r="D51" t="str">
        <f t="shared" si="0"/>
        <v>Weeks</v>
      </c>
      <c r="E51" t="str">
        <f t="shared" si="1"/>
        <v>Days</v>
      </c>
    </row>
    <row r="52" spans="1:5">
      <c r="A52" s="1" t="s">
        <v>53</v>
      </c>
      <c r="B52" s="2">
        <v>1.8132250308990401</v>
      </c>
      <c r="C52" s="2">
        <v>2.8628690242767298</v>
      </c>
      <c r="D52" t="str">
        <f t="shared" si="0"/>
        <v>Months</v>
      </c>
      <c r="E52" t="str">
        <f t="shared" si="1"/>
        <v>Weeks</v>
      </c>
    </row>
    <row r="53" spans="1:5">
      <c r="A53" s="1" t="s">
        <v>54</v>
      </c>
      <c r="B53" s="2">
        <v>2.5034089088439901</v>
      </c>
      <c r="C53" s="2">
        <v>3.7435266971588099</v>
      </c>
      <c r="D53" t="str">
        <f t="shared" si="0"/>
        <v>Weeks-months</v>
      </c>
      <c r="E53" t="str">
        <f t="shared" si="1"/>
        <v>Days-weeks</v>
      </c>
    </row>
    <row r="54" spans="1:5">
      <c r="A54" s="1" t="s">
        <v>55</v>
      </c>
      <c r="B54" s="2">
        <v>1.75705182552337</v>
      </c>
      <c r="C54" s="2">
        <v>2.9232552051544101</v>
      </c>
      <c r="D54" t="str">
        <f t="shared" si="0"/>
        <v>Months</v>
      </c>
      <c r="E54" t="str">
        <f t="shared" si="1"/>
        <v>Weeks</v>
      </c>
    </row>
    <row r="55" spans="1:5">
      <c r="A55" s="1" t="s">
        <v>56</v>
      </c>
      <c r="B55" s="2">
        <v>2.3392519950866699</v>
      </c>
      <c r="C55" s="2">
        <v>3.2517857551574698</v>
      </c>
      <c r="D55" t="str">
        <f t="shared" si="0"/>
        <v>Weeks-months</v>
      </c>
      <c r="E55" t="str">
        <f t="shared" si="1"/>
        <v>Days-weeks</v>
      </c>
    </row>
    <row r="56" spans="1:5">
      <c r="A56" s="1" t="s">
        <v>57</v>
      </c>
      <c r="B56" s="2">
        <v>1.6614575386047301</v>
      </c>
      <c r="C56" s="2">
        <v>3.1431505680084202</v>
      </c>
      <c r="D56" t="str">
        <f t="shared" si="0"/>
        <v>Longer/recalcitrant</v>
      </c>
      <c r="E56" t="str">
        <f t="shared" si="1"/>
        <v>Weeks</v>
      </c>
    </row>
    <row r="57" spans="1:5">
      <c r="A57" s="1" t="s">
        <v>58</v>
      </c>
      <c r="B57" s="2">
        <v>2.4018247127532901</v>
      </c>
      <c r="C57" s="2">
        <v>3.4449326992034899</v>
      </c>
      <c r="D57" t="str">
        <f t="shared" si="0"/>
        <v>Weeks-months</v>
      </c>
      <c r="E57" t="str">
        <f t="shared" si="1"/>
        <v>Days-weeks</v>
      </c>
    </row>
    <row r="58" spans="1:5">
      <c r="A58" s="1" t="s">
        <v>59</v>
      </c>
      <c r="B58" s="2">
        <v>2.7061338424682599</v>
      </c>
      <c r="C58" s="2">
        <v>3.50618577003479</v>
      </c>
      <c r="D58" t="str">
        <f t="shared" si="0"/>
        <v>Weeks-months</v>
      </c>
      <c r="E58" t="str">
        <f t="shared" si="1"/>
        <v>Days-weeks</v>
      </c>
    </row>
    <row r="59" spans="1:5">
      <c r="A59" s="1" t="s">
        <v>60</v>
      </c>
      <c r="B59" s="2">
        <v>3.0374388694763099</v>
      </c>
      <c r="C59" s="2">
        <v>3.8824498653411799</v>
      </c>
      <c r="D59" t="str">
        <f t="shared" si="0"/>
        <v>Weeks</v>
      </c>
      <c r="E59" t="str">
        <f t="shared" si="1"/>
        <v>Days</v>
      </c>
    </row>
    <row r="60" spans="1:5">
      <c r="A60" s="1" t="s">
        <v>61</v>
      </c>
      <c r="B60" s="2">
        <v>2.60757851600646</v>
      </c>
      <c r="C60" s="2">
        <v>3.4864125251770002</v>
      </c>
      <c r="D60" t="str">
        <f t="shared" si="0"/>
        <v>Weeks-months</v>
      </c>
      <c r="E60" t="str">
        <f t="shared" si="1"/>
        <v>Days-weeks</v>
      </c>
    </row>
    <row r="61" spans="1:5">
      <c r="A61" s="1" t="s">
        <v>62</v>
      </c>
      <c r="B61" s="2">
        <v>2.1862475872039702</v>
      </c>
      <c r="C61" s="2">
        <v>3.3963015079498202</v>
      </c>
      <c r="D61" t="str">
        <f t="shared" si="0"/>
        <v>Months</v>
      </c>
      <c r="E61" t="str">
        <f t="shared" si="1"/>
        <v>Days-weeks</v>
      </c>
    </row>
    <row r="62" spans="1:5">
      <c r="A62" s="1" t="s">
        <v>63</v>
      </c>
      <c r="B62" s="2">
        <v>2.1862475872039702</v>
      </c>
      <c r="C62" s="2">
        <v>3.3963015079498202</v>
      </c>
      <c r="D62" t="str">
        <f t="shared" si="0"/>
        <v>Months</v>
      </c>
      <c r="E62" t="str">
        <f t="shared" si="1"/>
        <v>Days-weeks</v>
      </c>
    </row>
    <row r="63" spans="1:5">
      <c r="A63" s="1" t="s">
        <v>64</v>
      </c>
      <c r="B63" s="2">
        <v>2.2922701835632302</v>
      </c>
      <c r="C63" s="2">
        <v>3.46959996223449</v>
      </c>
      <c r="D63" t="str">
        <f t="shared" si="0"/>
        <v>Weeks-months</v>
      </c>
      <c r="E63" t="str">
        <f t="shared" si="1"/>
        <v>Days-weeks</v>
      </c>
    </row>
    <row r="64" spans="1:5">
      <c r="A64" s="1" t="s">
        <v>65</v>
      </c>
      <c r="B64" s="2">
        <v>2.1862475872039702</v>
      </c>
      <c r="C64" s="2">
        <v>3.3963015079498202</v>
      </c>
      <c r="D64" t="str">
        <f t="shared" si="0"/>
        <v>Months</v>
      </c>
      <c r="E64" t="str">
        <f t="shared" si="1"/>
        <v>Days-weeks</v>
      </c>
    </row>
    <row r="65" spans="1:5">
      <c r="A65" s="1" t="s">
        <v>66</v>
      </c>
      <c r="B65" s="2">
        <v>2.1862475872039702</v>
      </c>
      <c r="C65" s="2">
        <v>3.3963015079498202</v>
      </c>
      <c r="D65" t="str">
        <f t="shared" si="0"/>
        <v>Months</v>
      </c>
      <c r="E65" t="str">
        <f t="shared" si="1"/>
        <v>Days-weeks</v>
      </c>
    </row>
    <row r="66" spans="1:5">
      <c r="A66" s="1" t="s">
        <v>67</v>
      </c>
      <c r="B66" s="2">
        <v>2.2922701835632302</v>
      </c>
      <c r="C66" s="2">
        <v>3.46959996223449</v>
      </c>
      <c r="D66" t="str">
        <f t="shared" si="0"/>
        <v>Weeks-months</v>
      </c>
      <c r="E66" t="str">
        <f t="shared" si="1"/>
        <v>Days-weeks</v>
      </c>
    </row>
    <row r="67" spans="1:5">
      <c r="A67" s="1" t="s">
        <v>68</v>
      </c>
      <c r="B67" s="2">
        <v>1.98724389076232</v>
      </c>
      <c r="C67" s="2">
        <v>3.6972782611846902</v>
      </c>
      <c r="D67" t="str">
        <f t="shared" ref="D67:D70" si="2">IF(B67&gt;4.75,"Hours",IF(B67&gt;4.25,"Hours-days",IF(B67&gt;3.75,"Days",IF(B67&gt;3.25,"Days-weeks",IF(B67&gt;2.75,"Weeks",IF(B67&gt;2.25,"Weeks-months",IF(B67&gt;1.75,"Months","Longer/recalcitrant")))))))</f>
        <v>Months</v>
      </c>
      <c r="E67" t="str">
        <f t="shared" ref="E67:E70" si="3">IF(C67&gt;4.75,"Hours",IF(C67&gt;4.25,"Hours-days",IF(C67&gt;3.75,"Days",IF(C67&gt;3.25,"Days-weeks",IF(C67&gt;2.75,"Weeks",IF(C67&gt;2.25,"Weeks-months",IF(C67&gt;1.75,"Months","Longer/recalcitrant")))))))</f>
        <v>Days-weeks</v>
      </c>
    </row>
    <row r="68" spans="1:5">
      <c r="A68" s="1" t="s">
        <v>69</v>
      </c>
      <c r="B68" s="2">
        <v>2.1042618751525799</v>
      </c>
      <c r="C68" s="2">
        <v>3.15531325340271</v>
      </c>
      <c r="D68" t="str">
        <f t="shared" si="2"/>
        <v>Months</v>
      </c>
      <c r="E68" t="str">
        <f t="shared" si="3"/>
        <v>Weeks</v>
      </c>
    </row>
    <row r="69" spans="1:5">
      <c r="A69" s="1" t="s">
        <v>70</v>
      </c>
      <c r="B69" s="3"/>
      <c r="C69" s="3"/>
    </row>
    <row r="70" spans="1:5">
      <c r="A70" s="1" t="s">
        <v>71</v>
      </c>
      <c r="B70" s="2">
        <v>2.1862475872039702</v>
      </c>
      <c r="C70" s="2">
        <v>3.3963015079498202</v>
      </c>
      <c r="D70" t="str">
        <f t="shared" si="2"/>
        <v>Months</v>
      </c>
      <c r="E70" t="str">
        <f t="shared" si="3"/>
        <v>Days-weeks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Gadzimuradova, Marija</dc:creator>
  <cp:lastModifiedBy>Bergman, Joris</cp:lastModifiedBy>
  <dcterms:created xsi:type="dcterms:W3CDTF">2026-09-03T13:31:51Z</dcterms:created>
  <dcterms:modified xsi:type="dcterms:W3CDTF">2026-09-07T16:01:52Z</dcterms:modified>
</cp:coreProperties>
</file>