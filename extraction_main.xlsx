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Ber\Downloads\"/>
    </mc:Choice>
  </mc:AlternateContent>
  <xr:revisionPtr revIDLastSave="0" documentId="8_{9D8DE6EE-863B-4246-8859-B0AEB4B69ADA}" xr6:coauthVersionLast="47" xr6:coauthVersionMax="47" xr10:uidLastSave="{00000000-0000-0000-0000-000000000000}"/>
  <bookViews>
    <workbookView xWindow="-108" yWindow="-108" windowWidth="23256" windowHeight="12456" tabRatio="605" firstSheet="3" activeTab="3" xr2:uid="{00000000-000D-0000-FFFF-FFFF00000000}"/>
  </bookViews>
  <sheets>
    <sheet name="lists" sheetId="1" r:id="rId1"/>
    <sheet name="study_info" sheetId="2" r:id="rId2"/>
    <sheet name="soil_properties" sheetId="3" r:id="rId3"/>
    <sheet name="amendment_properties" sheetId="4" r:id="rId4"/>
    <sheet name="pesticide_properties" sheetId="5" r:id="rId5"/>
    <sheet name="experimental_conditions" sheetId="6" r:id="rId6"/>
    <sheet name="results" sheetId="7" r:id="rId7"/>
    <sheet name="id_guide" sheetId="8" r:id="rId8"/>
    <sheet name="readme" sheetId="9" r:id="rId9"/>
    <sheet name="Biochar properties" sheetId="10" r:id="rId10"/>
  </sheets>
  <definedNames>
    <definedName name="_xlnm._FilterDatabase" localSheetId="3" hidden="1">amendment_properties!$A$4:$CB$432</definedName>
    <definedName name="_xlnm._FilterDatabase" localSheetId="4" hidden="1">pesticide_properties!$A$4:$O$175</definedName>
    <definedName name="_xlnm._FilterDatabase" localSheetId="6" hidden="1">results!$A$1:$AR$992</definedName>
    <definedName name="_xlnm._FilterDatabase" localSheetId="2" hidden="1">soil_properties!$A$4:$BN$169</definedName>
    <definedName name="_xlnm._FilterDatabase" localSheetId="1" hidden="1">study_info!$A$4:$J$231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33" i="7" l="1"/>
  <c r="Q932" i="7"/>
  <c r="Q865" i="7"/>
  <c r="Q866" i="7"/>
  <c r="Q867" i="7"/>
  <c r="Q868" i="7"/>
  <c r="Q869" i="7"/>
  <c r="Q870" i="7"/>
  <c r="Q871" i="7"/>
  <c r="Q872" i="7"/>
  <c r="Q873" i="7"/>
  <c r="Q874" i="7"/>
  <c r="Q875" i="7"/>
  <c r="Q876" i="7"/>
  <c r="Q877" i="7"/>
  <c r="Q878" i="7"/>
  <c r="Q879" i="7"/>
  <c r="Q880" i="7"/>
  <c r="Q881" i="7"/>
  <c r="Q882" i="7"/>
  <c r="Q883" i="7"/>
  <c r="Q884" i="7"/>
  <c r="Q885" i="7"/>
  <c r="Q886" i="7"/>
  <c r="Q887" i="7"/>
  <c r="Q503" i="7"/>
  <c r="Q504" i="7"/>
  <c r="Q505" i="7"/>
  <c r="Q506" i="7"/>
  <c r="Q507" i="7"/>
  <c r="Q508" i="7"/>
  <c r="Q509" i="7"/>
  <c r="Q510" i="7"/>
  <c r="Q502" i="7"/>
  <c r="L494" i="7"/>
  <c r="L495" i="7"/>
  <c r="L496" i="7"/>
  <c r="L497" i="7"/>
  <c r="L498" i="7"/>
  <c r="L499" i="7"/>
  <c r="L500" i="7"/>
  <c r="L501" i="7"/>
  <c r="L493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09" i="7"/>
  <c r="Q410" i="7"/>
  <c r="Q390" i="7"/>
  <c r="I112" i="3"/>
  <c r="I111" i="3"/>
  <c r="AA230" i="4"/>
  <c r="AA229" i="4"/>
  <c r="M980" i="7"/>
  <c r="AD427" i="4"/>
  <c r="AD426" i="4"/>
  <c r="AA427" i="4"/>
  <c r="AA426" i="4"/>
  <c r="I24" i="3"/>
  <c r="AR185" i="4"/>
  <c r="Q935" i="7"/>
  <c r="Q936" i="7"/>
  <c r="Q938" i="7"/>
  <c r="Q939" i="7"/>
  <c r="Q941" i="7"/>
  <c r="Q942" i="7"/>
  <c r="Q944" i="7"/>
  <c r="Q945" i="7"/>
  <c r="Q947" i="7"/>
  <c r="Q948" i="7"/>
  <c r="Q950" i="7"/>
  <c r="Q951" i="7"/>
  <c r="AM933" i="7"/>
  <c r="AM932" i="7"/>
  <c r="AD410" i="4"/>
  <c r="AA410" i="4"/>
  <c r="Q923" i="7"/>
  <c r="Q924" i="7"/>
  <c r="Q925" i="7"/>
  <c r="Q926" i="7"/>
  <c r="Q922" i="7"/>
  <c r="Q917" i="7"/>
  <c r="Q918" i="7"/>
  <c r="Q919" i="7"/>
  <c r="Q920" i="7"/>
  <c r="Q921" i="7"/>
  <c r="Q916" i="7"/>
  <c r="AA398" i="4"/>
  <c r="AM915" i="7"/>
  <c r="AM914" i="7"/>
  <c r="AM913" i="7"/>
  <c r="AM912" i="7"/>
  <c r="Q913" i="7"/>
  <c r="Q914" i="7"/>
  <c r="Q915" i="7"/>
  <c r="Q912" i="7"/>
  <c r="AD396" i="4"/>
  <c r="AA396" i="4"/>
  <c r="Q889" i="7"/>
  <c r="Q890" i="7"/>
  <c r="Q891" i="7"/>
  <c r="Q892" i="7"/>
  <c r="Q893" i="7"/>
  <c r="Q894" i="7"/>
  <c r="Q895" i="7"/>
  <c r="Q896" i="7"/>
  <c r="Q897" i="7"/>
  <c r="Q898" i="7"/>
  <c r="Q899" i="7"/>
  <c r="Q900" i="7"/>
  <c r="Q901" i="7"/>
  <c r="Q902" i="7"/>
  <c r="Q903" i="7"/>
  <c r="Q904" i="7"/>
  <c r="Q905" i="7"/>
  <c r="Q906" i="7"/>
  <c r="Q907" i="7"/>
  <c r="Q908" i="7"/>
  <c r="Q909" i="7"/>
  <c r="Q910" i="7"/>
  <c r="Q911" i="7"/>
  <c r="Q888" i="7"/>
  <c r="AA394" i="4"/>
  <c r="Q864" i="7"/>
  <c r="Q849" i="7"/>
  <c r="Q850" i="7"/>
  <c r="Q851" i="7"/>
  <c r="Q852" i="7"/>
  <c r="Q853" i="7"/>
  <c r="Q854" i="7"/>
  <c r="Q855" i="7"/>
  <c r="Q856" i="7"/>
  <c r="Q857" i="7"/>
  <c r="Q858" i="7"/>
  <c r="Q859" i="7"/>
  <c r="Q860" i="7"/>
  <c r="Q861" i="7"/>
  <c r="Q862" i="7"/>
  <c r="Q863" i="7"/>
  <c r="Q848" i="7"/>
  <c r="Q841" i="7"/>
  <c r="Q842" i="7"/>
  <c r="Q843" i="7"/>
  <c r="Q844" i="7"/>
  <c r="Q845" i="7"/>
  <c r="Q846" i="7"/>
  <c r="Q847" i="7"/>
  <c r="Q840" i="7"/>
  <c r="W384" i="4"/>
  <c r="W383" i="4"/>
  <c r="W382" i="4"/>
  <c r="Q835" i="7"/>
  <c r="Q836" i="7"/>
  <c r="Q837" i="7"/>
  <c r="Q838" i="7"/>
  <c r="Q839" i="7"/>
  <c r="Q834" i="7"/>
  <c r="AA380" i="4"/>
  <c r="AA379" i="4"/>
  <c r="Q813" i="7"/>
  <c r="Q814" i="7"/>
  <c r="Q815" i="7"/>
  <c r="Q816" i="7"/>
  <c r="Q817" i="7"/>
  <c r="Q818" i="7"/>
  <c r="Q819" i="7"/>
  <c r="Q820" i="7"/>
  <c r="Q821" i="7"/>
  <c r="Q822" i="7"/>
  <c r="Q823" i="7"/>
  <c r="Q824" i="7"/>
  <c r="Q825" i="7"/>
  <c r="Q826" i="7"/>
  <c r="Q827" i="7"/>
  <c r="Q828" i="7"/>
  <c r="Q829" i="7"/>
  <c r="Q830" i="7"/>
  <c r="Q831" i="7"/>
  <c r="Q832" i="7"/>
  <c r="Q833" i="7"/>
  <c r="Q812" i="7"/>
  <c r="AH143" i="3"/>
  <c r="AH142" i="3"/>
  <c r="AH141" i="3"/>
  <c r="Q801" i="7"/>
  <c r="Q802" i="7"/>
  <c r="Q803" i="7"/>
  <c r="Q804" i="7"/>
  <c r="Q805" i="7"/>
  <c r="Q806" i="7"/>
  <c r="Q808" i="7"/>
  <c r="Q809" i="7"/>
  <c r="Q811" i="7"/>
  <c r="Q800" i="7"/>
  <c r="Q777" i="7"/>
  <c r="Q778" i="7"/>
  <c r="Q779" i="7"/>
  <c r="Q780" i="7"/>
  <c r="Q781" i="7"/>
  <c r="Q782" i="7"/>
  <c r="Q783" i="7"/>
  <c r="Q784" i="7"/>
  <c r="Q785" i="7"/>
  <c r="Q786" i="7"/>
  <c r="Q787" i="7"/>
  <c r="Q788" i="7"/>
  <c r="Q789" i="7"/>
  <c r="Q790" i="7"/>
  <c r="Q791" i="7"/>
  <c r="Q792" i="7"/>
  <c r="Q793" i="7"/>
  <c r="Q794" i="7"/>
  <c r="Q795" i="7"/>
  <c r="Q796" i="7"/>
  <c r="Q797" i="7"/>
  <c r="Q798" i="7"/>
  <c r="Q799" i="7"/>
  <c r="Q776" i="7"/>
  <c r="Q741" i="7"/>
  <c r="Q742" i="7"/>
  <c r="Q743" i="7"/>
  <c r="Q744" i="7"/>
  <c r="Q745" i="7"/>
  <c r="Q746" i="7"/>
  <c r="Q747" i="7"/>
  <c r="Q748" i="7"/>
  <c r="Q749" i="7"/>
  <c r="Q750" i="7"/>
  <c r="Q751" i="7"/>
  <c r="Q752" i="7"/>
  <c r="Q753" i="7"/>
  <c r="Q754" i="7"/>
  <c r="Q755" i="7"/>
  <c r="Q756" i="7"/>
  <c r="Q757" i="7"/>
  <c r="Q758" i="7"/>
  <c r="Q759" i="7"/>
  <c r="Q760" i="7"/>
  <c r="Q761" i="7"/>
  <c r="Q762" i="7"/>
  <c r="Q763" i="7"/>
  <c r="Q764" i="7"/>
  <c r="Q765" i="7"/>
  <c r="Q766" i="7"/>
  <c r="Q767" i="7"/>
  <c r="Q768" i="7"/>
  <c r="Q769" i="7"/>
  <c r="Q770" i="7"/>
  <c r="Q771" i="7"/>
  <c r="Q772" i="7"/>
  <c r="Q773" i="7"/>
  <c r="Q774" i="7"/>
  <c r="Q775" i="7"/>
  <c r="Q740" i="7"/>
  <c r="Q739" i="7"/>
  <c r="Q738" i="7"/>
  <c r="Q737" i="7"/>
  <c r="Q736" i="7"/>
  <c r="Q735" i="7"/>
  <c r="Q731" i="7"/>
  <c r="Q732" i="7"/>
  <c r="Q733" i="7"/>
  <c r="Q734" i="7"/>
  <c r="Q730" i="7"/>
  <c r="L728" i="7"/>
  <c r="L729" i="7"/>
  <c r="L727" i="7"/>
  <c r="Q716" i="7"/>
  <c r="Q717" i="7"/>
  <c r="Q718" i="7"/>
  <c r="Q719" i="7"/>
  <c r="Q720" i="7"/>
  <c r="Q721" i="7"/>
  <c r="Q722" i="7"/>
  <c r="Q723" i="7"/>
  <c r="Q724" i="7"/>
  <c r="Q725" i="7"/>
  <c r="Q726" i="7"/>
  <c r="Q715" i="7"/>
  <c r="M707" i="7"/>
  <c r="M708" i="7"/>
  <c r="M709" i="7"/>
  <c r="M710" i="7"/>
  <c r="M711" i="7"/>
  <c r="M712" i="7"/>
  <c r="M713" i="7"/>
  <c r="M714" i="7"/>
  <c r="M706" i="7"/>
  <c r="Q705" i="7"/>
  <c r="Q704" i="7"/>
  <c r="Q703" i="7"/>
  <c r="Q702" i="7"/>
  <c r="Q676" i="7"/>
  <c r="Q677" i="7"/>
  <c r="Q678" i="7"/>
  <c r="Q675" i="7"/>
  <c r="Q680" i="7"/>
  <c r="Q681" i="7"/>
  <c r="Q682" i="7"/>
  <c r="Q683" i="7"/>
  <c r="Q684" i="7"/>
  <c r="Q685" i="7"/>
  <c r="Q686" i="7"/>
  <c r="Q687" i="7"/>
  <c r="Q679" i="7"/>
  <c r="Q674" i="7"/>
  <c r="Q673" i="7"/>
  <c r="Q672" i="7"/>
  <c r="Q671" i="7"/>
  <c r="Q670" i="7"/>
  <c r="Q669" i="7"/>
  <c r="Q668" i="7"/>
  <c r="Q667" i="7"/>
  <c r="AH124" i="3"/>
  <c r="AH123" i="3"/>
  <c r="Q666" i="7"/>
  <c r="Q665" i="7"/>
  <c r="Q664" i="7"/>
  <c r="Q663" i="7"/>
  <c r="Q662" i="7"/>
  <c r="Q661" i="7"/>
  <c r="Q660" i="7"/>
  <c r="Q659" i="7"/>
  <c r="Q658" i="7"/>
  <c r="Q657" i="7"/>
  <c r="Q656" i="7"/>
  <c r="Q655" i="7"/>
  <c r="Q654" i="7"/>
  <c r="Q653" i="7"/>
  <c r="Q652" i="7"/>
  <c r="Q651" i="7"/>
  <c r="Q650" i="7"/>
  <c r="Q649" i="7"/>
  <c r="Q648" i="7"/>
  <c r="Q645" i="7"/>
  <c r="Q646" i="7"/>
  <c r="Q647" i="7"/>
  <c r="Q644" i="7"/>
  <c r="Q633" i="7"/>
  <c r="Q632" i="7"/>
  <c r="Q631" i="7"/>
  <c r="Q630" i="7"/>
  <c r="Q629" i="7"/>
  <c r="Q628" i="7"/>
  <c r="Q627" i="7"/>
  <c r="Q626" i="7"/>
  <c r="Q625" i="7"/>
  <c r="Q624" i="7"/>
  <c r="Q623" i="7"/>
  <c r="Q622" i="7"/>
  <c r="Q621" i="7"/>
  <c r="Q620" i="7"/>
  <c r="Q619" i="7"/>
  <c r="Q618" i="7"/>
  <c r="Q617" i="7"/>
  <c r="Q609" i="7"/>
  <c r="Q610" i="7"/>
  <c r="Q611" i="7"/>
  <c r="Q612" i="7"/>
  <c r="Q613" i="7"/>
  <c r="Q614" i="7"/>
  <c r="Q615" i="7"/>
  <c r="Q616" i="7"/>
  <c r="Q608" i="7"/>
  <c r="AD297" i="4"/>
  <c r="AD296" i="4"/>
  <c r="Q606" i="7"/>
  <c r="Q607" i="7"/>
  <c r="Q605" i="7"/>
  <c r="Q602" i="7"/>
  <c r="Q601" i="7"/>
  <c r="Q600" i="7"/>
  <c r="Q599" i="7"/>
  <c r="Q598" i="7"/>
  <c r="Q597" i="7"/>
  <c r="Q596" i="7"/>
  <c r="Q591" i="7"/>
  <c r="Q592" i="7"/>
  <c r="Q593" i="7"/>
  <c r="Q594" i="7"/>
  <c r="Q595" i="7"/>
  <c r="Q590" i="7"/>
  <c r="Q588" i="7"/>
  <c r="Q589" i="7"/>
  <c r="Q587" i="7"/>
  <c r="Q584" i="7"/>
  <c r="Q585" i="7"/>
  <c r="Q586" i="7"/>
  <c r="Q583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60" i="7"/>
  <c r="Q559" i="7"/>
  <c r="Q558" i="7"/>
  <c r="Q557" i="7"/>
  <c r="Q556" i="7"/>
  <c r="Q555" i="7"/>
  <c r="Q554" i="7"/>
  <c r="Q553" i="7"/>
  <c r="Q552" i="7"/>
  <c r="Q551" i="7"/>
  <c r="Q550" i="7"/>
  <c r="Q549" i="7"/>
  <c r="Q548" i="7"/>
  <c r="Q516" i="7"/>
  <c r="Q517" i="7"/>
  <c r="Q518" i="7"/>
  <c r="Q519" i="7"/>
  <c r="Q520" i="7"/>
  <c r="Q521" i="7"/>
  <c r="Q522" i="7"/>
  <c r="Q523" i="7"/>
  <c r="Q524" i="7"/>
  <c r="Q525" i="7"/>
  <c r="Q526" i="7"/>
  <c r="Q527" i="7"/>
  <c r="Q528" i="7"/>
  <c r="Q529" i="7"/>
  <c r="Q530" i="7"/>
  <c r="Q531" i="7"/>
  <c r="Q532" i="7"/>
  <c r="Q515" i="7"/>
  <c r="Q545" i="7"/>
  <c r="Q544" i="7"/>
  <c r="Q543" i="7"/>
  <c r="Q542" i="7"/>
  <c r="Q541" i="7"/>
  <c r="Q536" i="7"/>
  <c r="Q537" i="7"/>
  <c r="Q538" i="7"/>
  <c r="Q539" i="7"/>
  <c r="Q540" i="7"/>
  <c r="Q535" i="7"/>
  <c r="AM492" i="7"/>
  <c r="AM491" i="7"/>
  <c r="AM490" i="7"/>
  <c r="Q491" i="7"/>
  <c r="Q492" i="7"/>
  <c r="Q490" i="7"/>
  <c r="AD210" i="4"/>
  <c r="AA210" i="4"/>
  <c r="Q441" i="7"/>
  <c r="Q442" i="7"/>
  <c r="Q443" i="7"/>
  <c r="Q440" i="7"/>
  <c r="Q389" i="7"/>
  <c r="Q388" i="7"/>
  <c r="Q382" i="7"/>
  <c r="Q383" i="7"/>
  <c r="Q384" i="7"/>
  <c r="Q385" i="7"/>
  <c r="Q386" i="7"/>
  <c r="Q387" i="7"/>
  <c r="Q381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5" i="7"/>
  <c r="Q376" i="7"/>
  <c r="Q374" i="7"/>
  <c r="Q341" i="7"/>
  <c r="Q342" i="7"/>
  <c r="Q343" i="7"/>
  <c r="Q344" i="7"/>
  <c r="Q345" i="7"/>
  <c r="Q346" i="7"/>
  <c r="Q347" i="7"/>
  <c r="Q348" i="7"/>
  <c r="Q349" i="7"/>
  <c r="Q340" i="7"/>
  <c r="Q355" i="7"/>
  <c r="Q354" i="7"/>
  <c r="I62" i="3"/>
  <c r="L351" i="7"/>
  <c r="L352" i="7"/>
  <c r="L350" i="7"/>
  <c r="AE331" i="7"/>
  <c r="AE332" i="7"/>
  <c r="AE333" i="7"/>
  <c r="AE330" i="7"/>
  <c r="Q323" i="7"/>
  <c r="Q324" i="7"/>
  <c r="Q325" i="7"/>
  <c r="Q326" i="7"/>
  <c r="Q327" i="7"/>
  <c r="Q328" i="7"/>
  <c r="Q329" i="7"/>
  <c r="Q322" i="7"/>
  <c r="AH57" i="3"/>
  <c r="Q288" i="7"/>
  <c r="Q289" i="7"/>
  <c r="Q290" i="7"/>
  <c r="Q291" i="7"/>
  <c r="Q292" i="7"/>
  <c r="Q293" i="7"/>
  <c r="Q294" i="7"/>
  <c r="Q295" i="7"/>
  <c r="Q287" i="7"/>
  <c r="W131" i="4"/>
  <c r="W130" i="4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38" i="7"/>
  <c r="AA95" i="4"/>
  <c r="AA96" i="4"/>
  <c r="AA97" i="4"/>
  <c r="AA98" i="4"/>
  <c r="AA99" i="4"/>
  <c r="AA100" i="4"/>
  <c r="AA101" i="4"/>
  <c r="AA94" i="4"/>
  <c r="AM205" i="7"/>
  <c r="AM204" i="7"/>
  <c r="AM203" i="7"/>
  <c r="AM202" i="7"/>
  <c r="AM201" i="7"/>
  <c r="AM200" i="7"/>
  <c r="Q206" i="7"/>
  <c r="Q207" i="7"/>
  <c r="Q208" i="7"/>
  <c r="Q209" i="7"/>
  <c r="Q210" i="7"/>
  <c r="Q211" i="7"/>
  <c r="Q196" i="7"/>
  <c r="Q197" i="7"/>
  <c r="Q198" i="7"/>
  <c r="Q199" i="7"/>
  <c r="Q195" i="7"/>
  <c r="Q201" i="7"/>
  <c r="Q202" i="7"/>
  <c r="Q203" i="7"/>
  <c r="Q204" i="7"/>
  <c r="Q205" i="7"/>
  <c r="Q200" i="7"/>
  <c r="Q192" i="7"/>
  <c r="Q193" i="7"/>
  <c r="Q194" i="7"/>
  <c r="AE167" i="7"/>
  <c r="L187" i="7"/>
  <c r="L188" i="7"/>
  <c r="L189" i="7"/>
  <c r="L190" i="7"/>
  <c r="L191" i="7"/>
  <c r="L186" i="7"/>
  <c r="AE165" i="7"/>
  <c r="AE166" i="7"/>
  <c r="AE168" i="7"/>
  <c r="AE169" i="7"/>
  <c r="AE170" i="7"/>
  <c r="AE171" i="7"/>
  <c r="AE172" i="7"/>
  <c r="AE173" i="7"/>
  <c r="AE174" i="7"/>
  <c r="AE175" i="7"/>
  <c r="AE164" i="7"/>
  <c r="M5" i="7"/>
  <c r="AA19" i="4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08" i="7"/>
  <c r="L80" i="7"/>
  <c r="L79" i="7"/>
  <c r="M48" i="7"/>
  <c r="M49" i="7"/>
  <c r="M50" i="7"/>
  <c r="M51" i="7"/>
  <c r="M52" i="7"/>
  <c r="M53" i="7"/>
  <c r="M54" i="7"/>
  <c r="M55" i="7"/>
  <c r="M56" i="7"/>
  <c r="M47" i="7"/>
  <c r="L42" i="7"/>
  <c r="L43" i="7"/>
  <c r="L44" i="7"/>
  <c r="L45" i="7"/>
  <c r="L46" i="7"/>
  <c r="L41" i="7"/>
  <c r="AA20" i="4"/>
  <c r="AH13" i="3"/>
  <c r="AH12" i="3"/>
  <c r="AA12" i="4"/>
  <c r="AA11" i="4"/>
  <c r="M6" i="7"/>
  <c r="M7" i="7"/>
  <c r="M8" i="7"/>
  <c r="AA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tc={651F3848-211A-4E76-923F-5E403A598C49}</author>
    <author>tc={959E5D4B-6247-4240-BEBB-F76A2001A4CC}</author>
  </authors>
  <commentList>
    <comment ref="A65" authorId="0" shapeId="0" xr:uid="{651F3848-211A-4E76-923F-5E403A598C4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DATA:(</t>
      </text>
    </comment>
    <comment ref="H110" authorId="1" shapeId="0" xr:uid="{959E5D4B-6247-4240-BEBB-F76A2001A4CC}">
      <text>
        <t>[Threaded comment]
Your version of Excel allows you to read this threaded comment; however, any edits to it will get removed if the file is opened in a newer version of Excel. Learn more: https://go.microsoft.com/fwlink/?linkid=870924
Comment:
    14% in the paper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  <author>tc={1926380C-3DDE-4FC9-A7C2-B4A229428D2F}</author>
    <author>tc={E86BA92C-F45B-49FD-96DF-4F28201795ED}</author>
    <author>tc={1F971A92-B7E3-44F7-9FF6-9348D0A0C20E}</author>
    <author>tc={04F18217-CFD6-4D5C-8245-5412D1CDC303}</author>
  </authors>
  <commentList>
    <comment ref="B7" authorId="0" shapeId="0" xr:uid="{00000000-0006-0000-0300-000001000000}">
      <text>
        <r>
          <rPr>
            <sz val="11"/>
            <color theme="1"/>
            <rFont val="Gill Sans MT"/>
            <family val="2"/>
            <scheme val="minor"/>
          </rPr>
          <t>Example: S001_AM0 for control, S001_AM1 for compost 2%, S001_AM2 for compost 5%.</t>
        </r>
      </text>
    </comment>
    <comment ref="C81" authorId="1" shapeId="0" xr:uid="{1926380C-3DDE-4FC9-A7C2-B4A229428D2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DATAS :(</t>
      </text>
    </comment>
    <comment ref="O234" authorId="2" shapeId="0" xr:uid="{E86BA92C-F45B-49FD-96DF-4F28201795E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as lignin content</t>
      </text>
    </comment>
    <comment ref="C379" authorId="3" shapeId="0" xr:uid="{1F971A92-B7E3-44F7-9FF6-9348D0A0C20E}">
      <text>
        <t>[Threaded comment]
Your version of Excel allows you to read this threaded comment; however, any edits to it will get removed if the file is opened in a newer version of Excel. Learn more: https://go.microsoft.com/fwlink/?linkid=870924
Comment:
    name of the treatment not amendment</t>
      </text>
    </comment>
    <comment ref="C400" authorId="4" shapeId="0" xr:uid="{04F18217-CFD6-4D5C-8245-5412D1CDC30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amendment properties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tc={74A10F95-18DC-4799-AEB5-6DDB06FC1E63}</author>
    <author>tc={1B175BB5-D4D1-4B9E-B95A-9D266C63FDB7}</author>
    <author>tc={95CE1CDC-265B-4992-B21F-145881A5856F}</author>
    <author>tc={605F2C77-606C-4D3C-ACF2-436CE413EC87}</author>
    <author>tc={A0C7828F-EE1B-49FF-913D-605882B125A3}</author>
    <author>OpenAI</author>
  </authors>
  <commentList>
    <comment ref="H24" authorId="0" shapeId="0" xr:uid="{74A10F95-18DC-4799-AEB5-6DDB06FC1E63}">
      <text>
        <t>[Threaded comment]
Your version of Excel allows you to read this threaded comment; however, any edits to it will get removed if the file is opened in a newer version of Excel. Learn more: https://go.microsoft.com/fwlink/?linkid=870924
Comment:
    DDT values</t>
      </text>
    </comment>
    <comment ref="H25" authorId="1" shapeId="0" xr:uid="{1B175BB5-D4D1-4B9E-B95A-9D266C63FDB7}">
      <text>
        <t>[Threaded comment]
Your version of Excel allows you to read this threaded comment; however, any edits to it will get removed if the file is opened in a newer version of Excel. Learn more: https://go.microsoft.com/fwlink/?linkid=870924
Comment:
    DDD values</t>
      </text>
    </comment>
    <comment ref="J30" authorId="2" shapeId="0" xr:uid="{95CE1CDC-265B-4992-B21F-145881A5856F}">
      <text>
        <t>[Threaded comment]
Your version of Excel allows you to read this threaded comment; however, any edits to it will get removed if the file is opened in a newer version of Excel. Learn more: https://go.microsoft.com/fwlink/?linkid=870924
Comment:
    PPDB says &gt;365 days =&gt; I have choosen 1000 days for the max</t>
      </text>
    </comment>
    <comment ref="H129" authorId="3" shapeId="0" xr:uid="{605F2C77-606C-4D3C-ACF2-436CE413EC87}">
      <text>
        <t>[Threaded comment]
Your version of Excel allows you to read this threaded comment; however, any edits to it will get removed if the file is opened in a newer version of Excel. Learn more: https://go.microsoft.com/fwlink/?linkid=870924
Comment:
    rac-1,3-Dichloropopene values</t>
      </text>
    </comment>
    <comment ref="H130" authorId="4" shapeId="0" xr:uid="{A0C7828F-EE1B-49FF-913D-605882B125A3}">
      <text>
        <t>[Threaded comment]
Your version of Excel allows you to read this threaded comment; however, any edits to it will get removed if the file is opened in a newer version of Excel. Learn more: https://go.microsoft.com/fwlink/?linkid=870924
Comment:
    rac-1,3-Dichloropopene values</t>
      </text>
    </comment>
    <comment ref="C173" authorId="5" shapeId="0" xr:uid="{00000000-0006-0000-0400-000001000000}">
      <text>
        <r>
          <rPr>
            <sz val="11"/>
            <color theme="1"/>
            <rFont val="Gill Sans MT"/>
            <family val="2"/>
            <scheme val="minor"/>
          </rPr>
          <t>Use full standardized name, e.g., acetamiprid, not ACT.</t>
        </r>
      </text>
    </comment>
    <comment ref="C175" authorId="5" shapeId="0" xr:uid="{C346B13A-17B8-45E9-8397-79977763F9C5}">
      <text>
        <r>
          <rPr>
            <sz val="11"/>
            <color rgb="FF000000"/>
            <rFont val="Gill Sans MT"/>
            <family val="2"/>
          </rPr>
          <t>Use full standardized name, e.g., acetamiprid, not ACT.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  <author>tc={C5A5E603-88FB-4E95-A93E-1AF60E79DD47}</author>
  </authors>
  <commentList>
    <comment ref="B6" authorId="0" shapeId="0" xr:uid="{00000000-0006-0000-0500-000001000000}">
      <text>
        <r>
          <rPr>
            <sz val="11"/>
            <color theme="1"/>
            <rFont val="Gill Sans MT"/>
            <family val="2"/>
            <scheme val="minor"/>
          </rPr>
          <t>Example: S001_EXP1. Create a new Experiment ID when incubation setup meaningfully changes.</t>
        </r>
      </text>
    </comment>
    <comment ref="E108" authorId="1" shapeId="0" xr:uid="{C5A5E603-88FB-4E95-A93E-1AF60E79DD47}">
      <text>
        <t>[Threaded comment]
Your version of Excel allows you to read this threaded comment; however, any edits to it will get removed if the file is opened in a newer version of Excel. Learn more: https://go.microsoft.com/fwlink/?linkid=870924
Comment:
    Freeze thaw cycles -10C for 24 h and 24C for 24h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  <author>tc={22F8B6DD-4929-46D0-8516-1AF965DFE9EC}</author>
    <author>tc={F2507614-20B2-4126-967E-C581E2DCE9F7}</author>
    <author>tc={C40F61FD-3BC4-4EC2-809E-FF6FA5F240B3}</author>
  </authors>
  <commentList>
    <comment ref="A5" authorId="0" shapeId="0" xr:uid="{00000000-0006-0000-0600-000001000000}">
      <text>
        <r>
          <rPr>
            <sz val="11"/>
            <color theme="1"/>
            <rFont val="Gill Sans MT"/>
            <family val="2"/>
            <scheme val="minor"/>
          </rPr>
          <t>Copy Study ID exactly from study_info.</t>
        </r>
      </text>
    </comment>
    <comment ref="F5" authorId="0" shapeId="0" xr:uid="{164A3C6C-5199-4346-83A9-181890E4F5C8}">
      <text>
        <r>
          <rPr>
            <sz val="11"/>
            <color theme="1"/>
            <rFont val="Gill Sans MT"/>
            <family val="2"/>
            <scheme val="minor"/>
          </rPr>
          <t>Use full standardized name, e.g., acetamiprid, not ACT.</t>
        </r>
      </text>
    </comment>
    <comment ref="A9" authorId="0" shapeId="0" xr:uid="{B3E948FA-9069-482B-8687-661F732F46A4}">
      <text>
        <r>
          <rPr>
            <sz val="11"/>
            <color theme="1"/>
            <rFont val="Gill Sans MT"/>
            <family val="2"/>
            <scheme val="minor"/>
          </rPr>
          <t>Copy Study ID exactly from study_info.</t>
        </r>
      </text>
    </comment>
    <comment ref="B9" authorId="0" shapeId="0" xr:uid="{803B3B32-E943-47E5-8AEC-FF7ADF061F5C}">
      <text>
        <r>
          <rPr>
            <sz val="11"/>
            <color theme="1"/>
            <rFont val="Gill Sans MT"/>
            <family val="2"/>
            <scheme val="minor"/>
          </rPr>
          <t>Example: S001_EXP1. Create a new Experiment ID when incubation setup meaningfully changes.</t>
        </r>
      </text>
    </comment>
    <comment ref="AM9" authorId="1" shapeId="0" xr:uid="{22F8B6DD-4929-46D0-8516-1AF965DFE9E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Reported as nf
</t>
      </text>
    </comment>
    <comment ref="B10" authorId="0" shapeId="0" xr:uid="{73E80DFF-923D-4826-A84C-063D484D19BF}">
      <text>
        <r>
          <rPr>
            <sz val="11"/>
            <color theme="1"/>
            <rFont val="Gill Sans MT"/>
            <family val="2"/>
            <scheme val="minor"/>
          </rPr>
          <t>Example: S001_EXP1. Create a new Experiment ID when incubation setup meaningfully changes.</t>
        </r>
      </text>
    </comment>
    <comment ref="B11" authorId="0" shapeId="0" xr:uid="{14963EC5-D08E-4C48-8524-D4EFF26AB54D}">
      <text>
        <r>
          <rPr>
            <sz val="11"/>
            <color theme="1"/>
            <rFont val="Gill Sans MT"/>
            <family val="2"/>
            <scheme val="minor"/>
          </rPr>
          <t>Example: S001_EXP1. Create a new Experiment ID when incubation setup meaningfully changes.</t>
        </r>
      </text>
    </comment>
    <comment ref="B15" authorId="0" shapeId="0" xr:uid="{A5D6A814-7BBE-4E99-B0D7-2D49C7DDBB4C}">
      <text>
        <r>
          <rPr>
            <sz val="11"/>
            <color theme="1"/>
            <rFont val="Gill Sans MT"/>
            <family val="2"/>
            <scheme val="minor"/>
          </rPr>
          <t>Example: S001_EXP1. Create a new Experiment ID when incubation setup meaningfully changes.</t>
        </r>
      </text>
    </comment>
    <comment ref="B16" authorId="0" shapeId="0" xr:uid="{9B670811-80C8-4B57-94EA-68EEDCF448C7}">
      <text>
        <r>
          <rPr>
            <sz val="11"/>
            <color theme="1"/>
            <rFont val="Gill Sans MT"/>
            <family val="2"/>
            <scheme val="minor"/>
          </rPr>
          <t>Example: S001_EXP1. Create a new Experiment ID when incubation setup meaningfully changes.</t>
        </r>
      </text>
    </comment>
    <comment ref="B17" authorId="0" shapeId="0" xr:uid="{2D6B0558-E9E5-4ABE-A25A-549B93CD9770}">
      <text>
        <r>
          <rPr>
            <sz val="11"/>
            <color theme="1"/>
            <rFont val="Gill Sans MT"/>
            <family val="2"/>
            <scheme val="minor"/>
          </rPr>
          <t>Example: S001_EXP1. Create a new Experiment ID when incubation setup meaningfully changes.</t>
        </r>
      </text>
    </comment>
    <comment ref="M807" authorId="2" shapeId="0" xr:uid="{F2507614-20B2-4126-967E-C581E2DCE9F7}">
      <text>
        <t>[Threaded comment]
Your version of Excel allows you to read this threaded comment; however, any edits to it will get removed if the file is opened in a newer version of Excel. Learn more: https://go.microsoft.com/fwlink/?linkid=870924
Comment:
    extrapolated value</t>
      </text>
    </comment>
    <comment ref="I834" authorId="3" shapeId="0" xr:uid="{C40F61FD-3BC4-4EC2-809E-FF6FA5F240B3}">
      <text>
        <t>[Threaded comment]
Your version of Excel allows you to read this threaded comment; however, any edits to it will get removed if the file is opened in a newer version of Excel. Learn more: https://go.microsoft.com/fwlink/?linkid=870924
Comment:
    50 µg in 10g of soil</t>
      </text>
    </comment>
  </commentList>
</comments>
</file>

<file path=xl/sharedStrings.xml><?xml version="1.0" encoding="utf-8"?>
<sst xmlns="http://schemas.openxmlformats.org/spreadsheetml/2006/main" count="29649" uniqueCount="5091">
  <si>
    <t>Data source type</t>
  </si>
  <si>
    <t>Inclusion status</t>
  </si>
  <si>
    <t>Exclusion reason</t>
  </si>
  <si>
    <t>PDF saved</t>
  </si>
  <si>
    <t>table</t>
  </si>
  <si>
    <t>Included</t>
  </si>
  <si>
    <t>field study</t>
  </si>
  <si>
    <t>yes</t>
  </si>
  <si>
    <t>text</t>
  </si>
  <si>
    <t>Excluded</t>
  </si>
  <si>
    <t>bioavailability study</t>
  </si>
  <si>
    <t>no</t>
  </si>
  <si>
    <t>figure-digitized</t>
  </si>
  <si>
    <t>no usable data</t>
  </si>
  <si>
    <t>supplement</t>
  </si>
  <si>
    <t>other</t>
  </si>
  <si>
    <t>calculated from raw data</t>
  </si>
  <si>
    <t>study_info</t>
  </si>
  <si>
    <t>One row per study. Study ID comes from 02_03_final_with_IDs.xlsx and is never changed.</t>
  </si>
  <si>
    <t>Study ID</t>
  </si>
  <si>
    <t>Authors</t>
  </si>
  <si>
    <t>Year</t>
  </si>
  <si>
    <t>DOI</t>
  </si>
  <si>
    <t>Title</t>
  </si>
  <si>
    <t>Journal</t>
  </si>
  <si>
    <t>Full-text PDF saved?</t>
  </si>
  <si>
    <t>Inclusion_status</t>
  </si>
  <si>
    <t xml:space="preserve"> </t>
  </si>
  <si>
    <t>Notes</t>
  </si>
  <si>
    <t>S001</t>
  </si>
  <si>
    <t>Farenhorst, Annemieke; Reimer, Marguerite; Londry, Kathleen; Saiyed, Ibrahim</t>
  </si>
  <si>
    <t>10.1080/03601230600701643</t>
  </si>
  <si>
    <t>2,4-Dichlorophenoxy acetic acid mineralization in amended soil</t>
  </si>
  <si>
    <t>Journal of Environmental Science and Health - Part B Pesticides, Food Contaminants, and Agricultural Wastes</t>
  </si>
  <si>
    <t>Only mineralization data</t>
  </si>
  <si>
    <t>S002</t>
  </si>
  <si>
    <t>Harindintwali, Jean Damascene; He, Chao; Wen, Xin; Liu, Yu; Wang, Mingyi; Fu, Yuhao; Xiang, Leilei; Jiang, Jiandong; Jiang, Xin; Wang, Fang</t>
  </si>
  <si>
    <t>10.1016/j.envres.2024.119055</t>
  </si>
  <si>
    <t>A comparative evaluation of biochar and Paenarthrobacter sp. AT5 for reducing atrazine risks to soybeans and bacterial communities in black soil</t>
  </si>
  <si>
    <t>Environmental Research</t>
  </si>
  <si>
    <t>S003</t>
  </si>
  <si>
    <t>Luo, Shuwen; Zhen, Zhen; Zhu, Xiaoping; Ren, Lei; Wu, Weijian; Zhang, Weijian; Chen, Yijie; Zhang, Dayi; Song, Zhiguang; Lin, Zhong; Liang, Yan-Qiu</t>
  </si>
  <si>
    <t>10.1016/j.ecoenv.2021.112432</t>
  </si>
  <si>
    <t>Accelerated atrazine degradation and altered metabolic pathways in goat manure assisted soil bioremediation</t>
  </si>
  <si>
    <t>Ecotoxicology and Environmental Safety</t>
  </si>
  <si>
    <t>S004</t>
  </si>
  <si>
    <t>Kim, Sung-Chul; Yang, Jae E.; Ok, Yong Sik; Skousen, Jeff; Kim, Dong-Guk; Joo, Jin-Ho</t>
  </si>
  <si>
    <t>10.1007/s00128-010-9963-6</t>
  </si>
  <si>
    <t>Accelerated metolachlor degradation in soil by zerovalent iron and compost amendments</t>
  </si>
  <si>
    <t>Bulletin of Environmental Contamination and Toxicology</t>
  </si>
  <si>
    <t>S005</t>
  </si>
  <si>
    <t>Potts, Jessica; Jones, Davey L.; Macdonald, Andrew; Ma, Qingxu; Cross, Paul</t>
  </si>
  <si>
    <t>10.1016/j.scitotenv.2022.156711</t>
  </si>
  <si>
    <t>Acetamiprid fate in a sandy loam with contrasting soil organic matter contents: A comparison of the degradation, sorption and leaching of commercial neonicotinoid formulations</t>
  </si>
  <si>
    <t>Science of the Total Environment</t>
  </si>
  <si>
    <t>no soil properties</t>
  </si>
  <si>
    <t>S006</t>
  </si>
  <si>
    <t>Kang, Zhichao; Liu, Yuxin; Han, Xuerong; Wang, Chenxu; Zhu, Guopeng; Wang, Tianye; Yu, Hongwen</t>
  </si>
  <si>
    <t>10.1016/j.jhazmat.2024.135451</t>
  </si>
  <si>
    <t>Acid-modified hydrochar for higher biodegradation rate of atrazine in various conditions by Paenarthrobacter sp. KN0901: Higher cell viability and bacterial number</t>
  </si>
  <si>
    <t>Journal of Hazardous Materials</t>
  </si>
  <si>
    <t>Strain study</t>
  </si>
  <si>
    <t>S007</t>
  </si>
  <si>
    <t>Zhao, Song; Liu, Jinbo; Miao, Duo; Sun, Hongwen; Zhang, Peng; Jia, Hanzhong</t>
  </si>
  <si>
    <t>10.1016/j.jenvman.2023.119930</t>
  </si>
  <si>
    <t>Activation of persulfate for the degradation of ethyl-parathion in soil: Combined effects of microwave with biochar</t>
  </si>
  <si>
    <t>Journal of Environmental Management</t>
  </si>
  <si>
    <t>Microwave utilization</t>
  </si>
  <si>
    <t>S008</t>
  </si>
  <si>
    <t>Su, Wangcang; Hao, Hongdan; Ding, Mingzhen; Wu, Renhai; Xu, Hongle; Xue, Fei; Shen, Changchao; Sun, Lanlan; Lu, Chuantao</t>
  </si>
  <si>
    <t>10.1371/journal.pone.0219462</t>
  </si>
  <si>
    <t>Adsorption and degradation of imazapic in soils under different environmental conditions</t>
  </si>
  <si>
    <t>PLoS ONE</t>
  </si>
  <si>
    <t>S009</t>
  </si>
  <si>
    <t>Fernndez, María D.; Snchez-Brunete, Consuelo; Rodríguez, Alvaro J.; Tadeo, Josá L.</t>
  </si>
  <si>
    <t>10.1002/ps.320</t>
  </si>
  <si>
    <t>Adsorption and degradation of thiazopyr in compost-amended and non-amended soils</t>
  </si>
  <si>
    <t>Pest Management Science</t>
  </si>
  <si>
    <t>S010</t>
  </si>
  <si>
    <t>Singh, Raghavendra Pratap; Ahsan, Mohd; Mishra, Disha; Pandey, Versha; Anupama; Yadav, Anisha; Khare, Puja</t>
  </si>
  <si>
    <t>10.1016/j.jenvman.2021.114146</t>
  </si>
  <si>
    <t>Ameliorative effects of biochar on persistency, dissipation, and toxicity of atrazine in three contrasting soils</t>
  </si>
  <si>
    <t>S011</t>
  </si>
  <si>
    <t>Chin-Pampillo, Juan S.; Perez-Villanueva, Marta; Masis-Mora, Mario; Mora-Dittel, Teresita; Carazo-Rojas, Elizabeth; Alcañiz, Josep M.; Chinchilla-Soto, Cristina; Domene, Xavier</t>
  </si>
  <si>
    <t>10.1016/j.scitotenv.2021.145515</t>
  </si>
  <si>
    <t>Amendments with pyrolyzed agrowastes change bromacil and diuron's sorption and persistence in a tropical soil without modifying their environmental risk</t>
  </si>
  <si>
    <t>don't have access to supplementary information</t>
  </si>
  <si>
    <t>S012</t>
  </si>
  <si>
    <t>Quintero, J.C.; Moreira, M.T.; Lema, J.M.; Feijoo, G.</t>
  </si>
  <si>
    <t>10.1016/j.chemosphere.2005.08.043</t>
  </si>
  <si>
    <t>An anaerobic bioreactor allows the efficient degradation of HCH isomers in soil slurry</t>
  </si>
  <si>
    <t>Chemosphere</t>
  </si>
  <si>
    <t>S013</t>
  </si>
  <si>
    <t>Tang, Fan; Gao, Mao; Zeng, Fanjian; Xu, Zhenlan; Tian, Guangming</t>
  </si>
  <si>
    <t>10.1016/j.scitotenv.2021.148100</t>
  </si>
  <si>
    <t>An old story with new insights into an ignored issue of metabolites in biochar-amended soil: Effect of biochar on dissipation of carbosulfan as an example</t>
  </si>
  <si>
    <t>S014</t>
  </si>
  <si>
    <t>Quintero, Juan Carlos; Moreira, Maria Teresa; Feijoo, Gumersindo; Lema, Juan M.</t>
  </si>
  <si>
    <t>10.1016/j.chemosphere.2005.02.010</t>
  </si>
  <si>
    <t>Anaerobic degradation of hexachlorocyclohexane isomers in liquid and soil slurry systems</t>
  </si>
  <si>
    <t>there are not enough data</t>
  </si>
  <si>
    <t>S015</t>
  </si>
  <si>
    <t>Li, Qun; Zhang, Lei; Wan, Jinzhong; Fan, Tingting; Deng, Shaopo; Zhou, Yan; He, Yue</t>
  </si>
  <si>
    <t>10.3390/ijerph20054314</t>
  </si>
  <si>
    <t>Analysis of the Degradation of OCPs Contaminated Soil by the BC/nZVI Combined with Indigenous Microorganisms</t>
  </si>
  <si>
    <t>International Journal of Environmental Research and Public Health</t>
  </si>
  <si>
    <t>not the best datas</t>
  </si>
  <si>
    <t>S016</t>
  </si>
  <si>
    <t>Marín-Benito, J.M.; Barba, V.; Ordax, J.M.; Andrades, M.S.; Sánchez-Martín, M.J.; Rodríguez-Cruz, M.S.</t>
  </si>
  <si>
    <t>10.1016/j.jenvman.2017.11.024</t>
  </si>
  <si>
    <t>Application of green compost as amendment in an agricultural soil: Effect on the behaviour of triasulfuron and prosulfocarb under field conditions</t>
  </si>
  <si>
    <t>S017</t>
  </si>
  <si>
    <t>Urionabarrenetxea, Erik; Garcia-Velasco, Nerea; Anza, Mikel; Artetxe, Unai; Lacalle, Rafael; Garbisu, Carlos; Becerril, Txema; Soto, Manu</t>
  </si>
  <si>
    <t>10.1016/j.scitotenv.2020.144099</t>
  </si>
  <si>
    <t>Application of in situ bioremediation strategies in soils amended with sewage sludges</t>
  </si>
  <si>
    <t>S018</t>
  </si>
  <si>
    <t>Tejada, Manuel; García-Martínez, Ana M.; Gómez, Isidoro; Parrado, Juan</t>
  </si>
  <si>
    <t>10.1016/j.chemosphere.2010.04.074</t>
  </si>
  <si>
    <t>Application of MCPA herbicide on soils amended with biostimulants: Short-time effects on soil biological properties</t>
  </si>
  <si>
    <t>not a degradation study</t>
  </si>
  <si>
    <t>S019</t>
  </si>
  <si>
    <t>Pose-Juan, Eva; Sánchez-Martín, María Jesús; Herrero-Hernández, Eliseo; Rodríguez-Cruz, María Sonia</t>
  </si>
  <si>
    <t>10.1016/j.scitotenv.2015.07.039</t>
  </si>
  <si>
    <t>Application of mesotrione at different doses in an amended soil: Dissipation and effect on the soil microbial biomass and activity</t>
  </si>
  <si>
    <t>S020</t>
  </si>
  <si>
    <t>Liang, Qi; Lei, Mei; Chen, Tongbin; Yang, Jun; Wan, Xiaoming; Yang, Sucai</t>
  </si>
  <si>
    <t>10.1016/j.jes.2014.06.007</t>
  </si>
  <si>
    <t>Application of sewage sludge and intermittent aeration strategy to the bioremediation of DDT- and HCH-contaminated soil</t>
  </si>
  <si>
    <t>Journal of Environmental Sciences (China)</t>
  </si>
  <si>
    <t>S021</t>
  </si>
  <si>
    <t>Sopeña, Fatima; Semple, Kirk; Sohi, Saran; Bending, Gary</t>
  </si>
  <si>
    <t>10.1016/j.chemosphere.2012.02.066</t>
  </si>
  <si>
    <t>Assessing the chemical and biological accessibility of the herbicide isoproturon in soil amended with biochar</t>
  </si>
  <si>
    <t>S022</t>
  </si>
  <si>
    <t>Cervantes-Díaz, A.; Alonso-Prados, E.; Alonso-Prados, J.L.; Sandín-España, P.</t>
  </si>
  <si>
    <t>10.1016/j.scitotenv.2023.169072</t>
  </si>
  <si>
    <t>Assessing the effect of organic amendments on the degradation of profoxydim in paddy soils: Kinetic modeling and identification of degradation products</t>
  </si>
  <si>
    <t>S023</t>
  </si>
  <si>
    <t>Barba, Víctor; Marín-Benito, Jesús M.; García-Delgado, Carlos; Sánchez-Martín, María J.; Rodríguez-Cruz, M. Sonia</t>
  </si>
  <si>
    <t>10.1016/j.ecoenv.2019.109395</t>
  </si>
  <si>
    <t>Assessment of 14C-prosulfocarb dissipation mechanism in soil after amendment and its impact on the microbial community</t>
  </si>
  <si>
    <t>S024</t>
  </si>
  <si>
    <t>Rubio-Bellido, Marina; Madrid, Fernando; Morillo, Esmeralda; Villaverde, Jaime</t>
  </si>
  <si>
    <t>10.1016/j.scitotenv.2014.09.052</t>
  </si>
  <si>
    <t>Assisted attenuation of a soil contaminated by diuron using hydroxypropyl-β-cyclodextrin and organic amendments</t>
  </si>
  <si>
    <t>combined inorganic and organic amendment</t>
  </si>
  <si>
    <t>S025</t>
  </si>
  <si>
    <t>Tortella, G.R.; Mella-Herrera, R.A.; Sousa, D.Z.; Rubilar, O.; Acuña, J.J.; Briceño, G.; Diez, M.C.</t>
  </si>
  <si>
    <t>10.1016/j.jhazmat.2013.05.059</t>
  </si>
  <si>
    <t>Atrazine dissipation and its impact on the microbial communities and community level physiological profiles in a microcosm simulating the biomixture of on-farm biopurification system</t>
  </si>
  <si>
    <t>S026</t>
  </si>
  <si>
    <t>Sun, Tong; Miao, Jingbo; Saleem, Muhammad; Zhang, Haonan; Yang, Yong; Zhang, Qingming</t>
  </si>
  <si>
    <t>10.1016/j.jhazmat.2020.122941</t>
  </si>
  <si>
    <t>Bacterial compatibility and immobilization with biochar improved tebuconazole degradation, soil microbiome composition and functioning</t>
  </si>
  <si>
    <t>Biochar with strains</t>
  </si>
  <si>
    <t>S027</t>
  </si>
  <si>
    <t>López-Piñeiro, Antonio; Peña, David; Albarrán, Angel; Sánchez-Llerena, Javier; Becerra, Daniel</t>
  </si>
  <si>
    <t>10.1016/j.jconhyd.2013.07.003</t>
  </si>
  <si>
    <t>Behavior of MCPA in four intensive cropping soils amended with fresh, composted, and aged olive mill waste</t>
  </si>
  <si>
    <t>Journal of Contaminant Hydrology</t>
  </si>
  <si>
    <t>S028</t>
  </si>
  <si>
    <t>Albarrán, A.; Celis, R.; Hermosín, M.C.; López-Piñeiro, A.; Cornejo, J.</t>
  </si>
  <si>
    <t>10.1016/j.chemosphere.2003.09.004</t>
  </si>
  <si>
    <t>Behaviour of simazine in soil amended with the final residue of the olive-oil extraction process</t>
  </si>
  <si>
    <t>S029</t>
  </si>
  <si>
    <t>Kinney, Chad A.; Furlong, Edward T.; Kolpin, Dana W.; Burkhardt, Mark R.; Zaugg, Steven D.; Werner, Stephen L.; Bossio, Joseph P.; Benotti, Mark J.</t>
  </si>
  <si>
    <t>10.1021/es702304c</t>
  </si>
  <si>
    <t>Bioaccumulation of pharmaceuticals and other anthropogenic waste indicators in earthworms from agricultural soil amended with biosolid or swine manure</t>
  </si>
  <si>
    <t>Environmental Science and Technology</t>
  </si>
  <si>
    <t>no pesticide</t>
  </si>
  <si>
    <t>S030</t>
  </si>
  <si>
    <t>Yang, Guiqiong; Zhen, Zhen; Zhang, Kun; Yin, Junyong; Zhong, Xiaolan; Li, Xiaofeng; Li, Qing; Nie, Kaijiang; Miao, Xiaoyang; Lin, Zhong; Zhang, Dayi</t>
  </si>
  <si>
    <t>10.1016/j.biortech.2025.133722</t>
  </si>
  <si>
    <t>Biochar accelerated soil atrazine degradation by promoting dechlorination pathway: A novel mechanism revealed by DNA stable isotope probing (DNA-SIP)</t>
  </si>
  <si>
    <t>Bioresource Technology</t>
  </si>
  <si>
    <t>same study that the S032</t>
  </si>
  <si>
    <t>S031</t>
  </si>
  <si>
    <t>Alexandre, David Silva; Ogura, Allan Pretti; da Silva Pinto, Thandy Junio; Soares, Matheus Bortolanza; Alleoni, Luís Reynaldo Ferracciú; Montagner, Cassiana Carolina; de Oliveira Zacharias, Telma; Dias, Mariana Amaral; Espíndola, Evaldo Luiz Gaeta</t>
  </si>
  <si>
    <t>10.1007/s11270-023-06629-6</t>
  </si>
  <si>
    <t>Biochar from Sugarcane Straw Reduces the Toxicity of Soils Contaminated with 2,4-D and Fipronil, Isolated and in a Mixture, on Multispecies Microcosms</t>
  </si>
  <si>
    <t>Water, Air, and Soil Pollution</t>
  </si>
  <si>
    <t>S032</t>
  </si>
  <si>
    <t>Chen, Yijie; Zhen, Zhen; Wu, Weilong; Yang, Changhong; Yang, Guiqiong; Li, Xiaofeng; Li, Qing; Zhong, Xiaolan; Yin, Junyong; Lin, Zhong; Zhang, Dayi</t>
  </si>
  <si>
    <t>10.1016/j.jhazmat.2024.135693</t>
  </si>
  <si>
    <t>Biochar modification accelerates soil atrazine biodegradation by altering bacterial communities, degradation-related genes and metabolic pathways</t>
  </si>
  <si>
    <t>S033</t>
  </si>
  <si>
    <t>Krohn, Christian; Zhang, Pei; Wood, Jennifer L.; Hayden, Helen L.; Franks, Ashley E.; Jin, Jian; Tang, Caixian</t>
  </si>
  <si>
    <t>10.1016/j.jhazmat.2021.127156</t>
  </si>
  <si>
    <t>Biochar reduced extractable dieldrin concentrations and promoted oligotrophic growth including microbial degraders of chlorinated pollutants</t>
  </si>
  <si>
    <t>Spanish</t>
  </si>
  <si>
    <t>S034</t>
  </si>
  <si>
    <t>Jablonowski, Nicolai David; Borchard, Nils; Zajkoska, Petra; Fernández-Bayo, Jesús D.; Martinazzo, Rosane; Berns, Anne E.; Burauel, Peter</t>
  </si>
  <si>
    <t>10.1021/jf303957a</t>
  </si>
  <si>
    <t>Biochar-mediated [14C]atrazine mineralization in atrazine-adapted soils from Belgium and Brazil</t>
  </si>
  <si>
    <t>Journal of Agricultural and Food Chemistry</t>
  </si>
  <si>
    <t>S035</t>
  </si>
  <si>
    <t>Zhang, Peng; Sun, Hongwen; Min, Lujuan; Ren, Chao</t>
  </si>
  <si>
    <t>10.1016/j.envpol.2018.01.030</t>
  </si>
  <si>
    <t>Biochars change the sorption and degradation of thiacloprid in soil: Insights into chemical and biological mechanisms</t>
  </si>
  <si>
    <t>Environmental Pollution</t>
  </si>
  <si>
    <t>was already performed during the "first" extraction</t>
  </si>
  <si>
    <t>S036</t>
  </si>
  <si>
    <t>Ali, Neelum; Khan, Sardar; Yao, Huaiying; Wang, Juan</t>
  </si>
  <si>
    <t>10.1016/j.chemosphere.2019.02.163</t>
  </si>
  <si>
    <t>Biochars reduced the bioaccessibility and (bio)uptake of organochlorine pesticides and changed the microbial community dynamics in agricultural soils</t>
  </si>
  <si>
    <t>S037</t>
  </si>
  <si>
    <t>Singh, Neera</t>
  </si>
  <si>
    <t>10.1002/ps.1598</t>
  </si>
  <si>
    <t>Biocompost from sugar distillery effluent: Effect on metribuzin degradation, sorption and mobility</t>
  </si>
  <si>
    <t>S038</t>
  </si>
  <si>
    <t>Zhang, Bo; Zhang, Jingdan; Wang, Yuping; Qu, Jianhua; Jiang, Zhao; Zhang, Xu; Tao, Yue; Wang, Yifan; Kang, Zhonghui; Han, Songting; Zhang, Jingyi; Zhang, Ying</t>
  </si>
  <si>
    <t>10.1016/j.jhazmat.2023.133237</t>
  </si>
  <si>
    <t>Biodegradation of atrazine with biochar-mediated functional bacterial biofilm: Construction, characterization and mechanisms</t>
  </si>
  <si>
    <t>S039</t>
  </si>
  <si>
    <t>Kadian, Neeru; Gupta, Asha; Satya, Santosh; Mehta, Ramesh Kumari; Malik, Anushree</t>
  </si>
  <si>
    <t>10.1016/j.biortech.2007.06.064</t>
  </si>
  <si>
    <t>Biodegradation of herbicide (atrazine) in contaminated soil using various bioprocessed materials</t>
  </si>
  <si>
    <t>S040</t>
  </si>
  <si>
    <t>Delgado-Moreno, L.; Nogales, R.; Romero, E.</t>
  </si>
  <si>
    <t>10.1016/j.jenvman.2017.08.032</t>
  </si>
  <si>
    <t>Biodegradation of high doses of commercial pesticide products in pilot-scale biobeds using olive-oil agroindustry wastes</t>
  </si>
  <si>
    <t>Biobed</t>
  </si>
  <si>
    <t>S041</t>
  </si>
  <si>
    <t>Herner, Željko; Bažok, Renata; Briški, Felicita</t>
  </si>
  <si>
    <t/>
  </si>
  <si>
    <t>Biodegradation of imidacloprid in an open compost pile</t>
  </si>
  <si>
    <t>Journal of Food, Agriculture and Environment</t>
  </si>
  <si>
    <t>not a lab study</t>
  </si>
  <si>
    <t>S042</t>
  </si>
  <si>
    <t>Lopez-Echartea, Eglantina; Strejcek, Michal; Mateju, Vit; Vosahlova, Simona; Kyclt, Robin; Demnerova, Katerina; Uhlik, Ondrej</t>
  </si>
  <si>
    <t>10.1016/j.chemosphere.2019.04.036</t>
  </si>
  <si>
    <t>Bioremediation of chlorophenol-contaminated sawmill soil using pilot-scale bioreactors under consecutive anaerobic-aerobic conditions</t>
  </si>
  <si>
    <t>bioreactor</t>
  </si>
  <si>
    <t>S043</t>
  </si>
  <si>
    <t>Sethi, Garima; Marak, Dhruba; Saini, Renu; Banerjee, Tirthankar; Kumar, Rajesh; Singh, Neera</t>
  </si>
  <si>
    <t>10.1016/j.biteb.2025.102306</t>
  </si>
  <si>
    <t>Bioremediation of two persistent pesticides in biomixtures: Role of pre-exposed soils, biochar and bioaugmentation</t>
  </si>
  <si>
    <t>Bioresource Technology Reports</t>
  </si>
  <si>
    <t>S044</t>
  </si>
  <si>
    <t>Xu, Xiaolei; Sivey, John D.; Xu, Wenqing</t>
  </si>
  <si>
    <t>10.1016/j.scitotenv.2020.139908</t>
  </si>
  <si>
    <t>Black carbon-enhanced transformation of dichloroacetamide safeners: Role of reduced sulfur species</t>
  </si>
  <si>
    <t>no OA</t>
  </si>
  <si>
    <t>S045</t>
  </si>
  <si>
    <t>Tortella, G.R.; Mella-Herrera, R.A.; Sousa, D.Z.; Rubilar, O.; Briceño, G.; Parra, L.; Diez, M.C.</t>
  </si>
  <si>
    <t>10.1016/j.chemosphere.2013.05.084</t>
  </si>
  <si>
    <t>Carbendazim dissipation in the biomixture of on-farm biopurification systems and its effect on microbial communities</t>
  </si>
  <si>
    <t>no control</t>
  </si>
  <si>
    <t>S046</t>
  </si>
  <si>
    <t>Yu, Bochi; Man, Yanli; Wang, Pingping; Wu, Chi; Xie, Jun; Wang, Wei; Jiang, Hongyun; Zhang, Lan; Zhang, Yanning; Mao, Liangang; Zhu, Lizhen; Zheng, Yongquan; Liu, Xingang</t>
  </si>
  <si>
    <t>10.1016/j.ecoenv.2023.114908</t>
  </si>
  <si>
    <t>Catalytic degradation of dimethomorph by nitrogen-doped rice husk biochar</t>
  </si>
  <si>
    <t>utilization of urea</t>
  </si>
  <si>
    <t>S047</t>
  </si>
  <si>
    <t>Yang, Jirui; Shen, Feng; Qiu, Mo; Qi, Xinhua</t>
  </si>
  <si>
    <t>10.1016/j.scitotenv.2017.10.084</t>
  </si>
  <si>
    <t>Catalytic dehydrochlorination of lindane by nitrogen-containing multiwalled carbon nanotubes (N-MWCNTs)</t>
  </si>
  <si>
    <t>noOA</t>
  </si>
  <si>
    <t>S048</t>
  </si>
  <si>
    <t>Wang, Da; Dong, Shiwen; Fu, Siqi; Shen, Yi; Zeng, Tao; Yu, Weiti; Lu, Xiaohui; Wang, Lizhang; Song, Shuang; Ma, Jun</t>
  </si>
  <si>
    <t>10.1016/j.scitotenv.2022.160473</t>
  </si>
  <si>
    <t>Catalytic ozonation for imazapic degradation over kelp-derived biochar: Promotional role of N- and S-based active sites</t>
  </si>
  <si>
    <t>not about soil</t>
  </si>
  <si>
    <t>S049</t>
  </si>
  <si>
    <t>Tortella, G.R.; Rubilar, O.; Castillo, M.D.P.; Cea, M.; Mella-Herrera, R.; Diez, M.C.</t>
  </si>
  <si>
    <t>10.1016/j.chemosphere.2012.02.072</t>
  </si>
  <si>
    <t>Chlorpyrifos degradation in a biomixture of biobed at different maturity stages</t>
  </si>
  <si>
    <t>biobed</t>
  </si>
  <si>
    <t>S050</t>
  </si>
  <si>
    <t>Werheni Ammeri, Rim; Di Rauso Simeone, Giuseppe; Hidri, Yassine; Abassi, Mohamed Salah; Mehri, Ines; Costa, Sara; Hassen, Abdennaceur; Rao, Maria A.</t>
  </si>
  <si>
    <t>10.1016/j.chemosphere.2021.133359</t>
  </si>
  <si>
    <t>Combined bioaugmentation and biostimulation techniques in bioremediation of pentachlorophenol contaminated forest soil</t>
  </si>
  <si>
    <t>forest soil</t>
  </si>
  <si>
    <t>S051</t>
  </si>
  <si>
    <t>Nayak, Tanmaya; Adhya, Tapan Kumar; Rakshit, Mahendra; Raina, Vishakha</t>
  </si>
  <si>
    <t>10.1007/s13205-021-02980-9</t>
  </si>
  <si>
    <t>Combined biostimulation and bioaugmentation for chlorpyrifos degradation in laboratory microcosms</t>
  </si>
  <si>
    <t>3 Biotech</t>
  </si>
  <si>
    <t>strain</t>
  </si>
  <si>
    <t>S052</t>
  </si>
  <si>
    <t>Redondo-Gómez, Susana; Cox, Lucía; Cornejo, Juan; Figueroa, Enrique</t>
  </si>
  <si>
    <t>10.1080/03601230701229122</t>
  </si>
  <si>
    <t>Combined effect of diuron and simazine on photosystem II photochemistry in a sandy soil and soil amended with solid olive-mill waste</t>
  </si>
  <si>
    <t>S053</t>
  </si>
  <si>
    <t>Gougoulias, Nikolaos; Vagelas, Ioannis; Vasilakoglou, Ioannis; Gravanis, Fotios; Louka, Aida; Wogiatzi, Eleni; Chouliaras, Nikolaos</t>
  </si>
  <si>
    <t>10.1002/jsfa.3812</t>
  </si>
  <si>
    <t>Comparison of neem or oregano with thiram on organic matter decomposition of a sand loam soil amended with compost, and on soil biological activity</t>
  </si>
  <si>
    <t>Journal of the Science of Food and Agriculture</t>
  </si>
  <si>
    <t>S054</t>
  </si>
  <si>
    <t>Wang, Qiuping; Zhang, Cheng; Tian, Bing; Han, Lei; Liu, Dongdong; Li, Gang; Gui, Shunhua; Smagghe, Guy; Chen, Xiangsheng; Wu, Xiaomao</t>
  </si>
  <si>
    <t>10.1016/j.jhazmat.2025.138168</t>
  </si>
  <si>
    <t>Consortia of Bacillus sp. LY05 and Bacillus cereus LGY06 immobilized on coconut shell charcoal remediates pendimethalin and cadmium contaminated sites in-situ and alleviates peanut's continuous cropping obstacles</t>
  </si>
  <si>
    <t>bacteria</t>
  </si>
  <si>
    <t>S055</t>
  </si>
  <si>
    <t>Qin, Jiaolong; Ashworth, Daniel J.; Yates, Scott R.; Shen, Guoqing</t>
  </si>
  <si>
    <t>10.1016/j.jhazmat.2020.122762</t>
  </si>
  <si>
    <t>Coupled use of Fe-impregnated biochar and urea-hydrogen peroxide to simultaneously reduce soil–air emissions of fumigant and improve crop growth</t>
  </si>
  <si>
    <t>fumigant reductions</t>
  </si>
  <si>
    <t>S056</t>
  </si>
  <si>
    <t>Raimondo, Enzo E.; Saez, Juliana M.; Aparicio, Juan D.; Fuentes, María S.; Benimeli, Claudia S.</t>
  </si>
  <si>
    <t>10.1016/j.chemosphere.2019.124512</t>
  </si>
  <si>
    <t>Coupling of bioaugmentation and biostimulation to improve lindane removal from different soil types</t>
  </si>
  <si>
    <t>S057</t>
  </si>
  <si>
    <t>López-Piñeiro, Antonio; Cabrera, Damaso; Albarrán, Ángel; Peña, David</t>
  </si>
  <si>
    <t>10.1016/j.chemosphere.2009.09.070</t>
  </si>
  <si>
    <t>Cumulative and residual effects of de-oiled two-phase olive mill waste application to soil on diuron sorption, leaching, degradation, and persistence</t>
  </si>
  <si>
    <t>S058</t>
  </si>
  <si>
    <t>Gao, Suduan; Doll, David A.; Stanghellini, Michael S.; Westerdahl, Becky B.; Wang, Dong; Hanson, Bradley D.</t>
  </si>
  <si>
    <t>10.1016/j.jenvman.2018.06.031</t>
  </si>
  <si>
    <t>Deep injection and the potential of biochar to reduce fumigant emissions and effects on nematode control</t>
  </si>
  <si>
    <t>S059</t>
  </si>
  <si>
    <t>Karanasios, Evangelos; Tsiropoulos, Nikolaos G.; Karpouzas, Dimitrios G.; Ehaliotis, Constantinos</t>
  </si>
  <si>
    <t>10.1021/jf1011853</t>
  </si>
  <si>
    <t>Degradation and adsorption of pesticides in compost-based biomixtures as potential substrates for biobeds in southern Europe</t>
  </si>
  <si>
    <t xml:space="preserve">biobed but maybe we could check it </t>
  </si>
  <si>
    <t>S060</t>
  </si>
  <si>
    <t>Kravvariti, Konstantina; Tsiropoulos, Nikolaos G.; Karpouzas, Dimitrios G.</t>
  </si>
  <si>
    <t>10.1002/ps.1990</t>
  </si>
  <si>
    <t>Degradation and adsorption of terbuthylazine and chlorpyrifos in biobed biomixtures from composted cotton crop residues</t>
  </si>
  <si>
    <t xml:space="preserve">biobed </t>
  </si>
  <si>
    <t>S061</t>
  </si>
  <si>
    <t>Cai, Xiyun; Sheng, Guangyao; Liu, Weiping</t>
  </si>
  <si>
    <t>10.1016/j.chemosphere.2006.05.011</t>
  </si>
  <si>
    <t>Degradation and detoxification of acetochlor in soils treated by organic and thiosulfate amendments</t>
  </si>
  <si>
    <t>S062</t>
  </si>
  <si>
    <t>Benoit, P.; Barriuso, E.; Soulas, G.</t>
  </si>
  <si>
    <t>10.2134/jeq1999.00472425002800040011x</t>
  </si>
  <si>
    <t>Degradation of 2,4-D, 2,4-dichlorophenol, and 4-chlorophenol in soil after sorption on humified and nonhumified organic matter</t>
  </si>
  <si>
    <t>Journal of Environmental Quality</t>
  </si>
  <si>
    <t>S063</t>
  </si>
  <si>
    <t>Yavari, Saba; Sapari, Nasiman B.; Malakahmad, Amirhossein; Yavari, Sara</t>
  </si>
  <si>
    <t>10.1016/j.jhazmat.2018.12.022</t>
  </si>
  <si>
    <t>Degradation of imazapic and imazapyr herbicides in the presence of optimized oil palm empty fruit bunch and rice husk biochars in soil</t>
  </si>
  <si>
    <t>S064</t>
  </si>
  <si>
    <t>Coppola, Laura; Pilar Castillo, Maria del; Vischetti, Costantino</t>
  </si>
  <si>
    <t>10.1002/ps.2040</t>
  </si>
  <si>
    <t>Degradation of isoproturon and bentazone in peat- and compost-based biomixtures</t>
  </si>
  <si>
    <t>S065</t>
  </si>
  <si>
    <t>Urrutia, C.; Rubilar, O.; Tortella, G.R.; Diez, M.C.</t>
  </si>
  <si>
    <t>10.1016/j.chemosphere.2013.04.088</t>
  </si>
  <si>
    <t>Degradation of pesticide mixture on modified matrix of a biopurification system with alternatives lignocellulosic wastes</t>
  </si>
  <si>
    <t>biomixture</t>
  </si>
  <si>
    <t>S066</t>
  </si>
  <si>
    <t>Leichtweis, Jandira; Silvestri, Siara; Stefanello, Nádia; Carissimi, Elvis</t>
  </si>
  <si>
    <t>10.1016/j.chemosphere.2021.130987</t>
  </si>
  <si>
    <t>Degradation of ramipril by residues from the brewing industry: A new carbon-based photocatalyst compound</t>
  </si>
  <si>
    <t>S067</t>
  </si>
  <si>
    <t>Thom, Ellen; Ottow, Johannes C.G.; Benckiser, Gero</t>
  </si>
  <si>
    <t>10.1016/S0269-7491(97)00037-7</t>
  </si>
  <si>
    <t>Degradation of the fungicide difenoconazole in a silt loam soil as affected by pretreatment and organic amendment</t>
  </si>
  <si>
    <t>S068</t>
  </si>
  <si>
    <t>Kumar, Naveen; Mukherjee, Irani; Sarkar, Bipasa; Paul, Ranjit Kumar</t>
  </si>
  <si>
    <t>10.1016/j.jhazmat.2016.08.073</t>
  </si>
  <si>
    <t>Degradation of tricyclazole: Effect of moisture, soil type, elevated carbon dioxide and Blue Green Algae (BGA)</t>
  </si>
  <si>
    <t>S069</t>
  </si>
  <si>
    <t>Delgado-Moreno, L.; Peña, A.; Mingorance, M.D.</t>
  </si>
  <si>
    <t>10.1016/j.jhazmat.2008.05.148</t>
  </si>
  <si>
    <t>Design of experiments in environmental chemistry studies: Example of the extraction of triazines from soil after olive cake amendment</t>
  </si>
  <si>
    <t>S070</t>
  </si>
  <si>
    <t>Bozdogan, Ali Musa; Yarpuz-Bozdogan, Nigar; Aka-Sagliker, Husniye; Eren Oztekin, M.; Daglioglu, Nebile</t>
  </si>
  <si>
    <t>Determination of absorption and degradation of some pesticides in biobed</t>
  </si>
  <si>
    <t>S071</t>
  </si>
  <si>
    <t>Chen, Yukun; Jiang, Zhao; Wu, Dan; Wang, Hailong; Li, Jiaojiao; Bi, Mingchun; Zhang, Ying</t>
  </si>
  <si>
    <t>10.1016/j.jenvman.2018.12.086</t>
  </si>
  <si>
    <t>Development of a novel bio-organic fertilizer for the removal of atrazine in soil</t>
  </si>
  <si>
    <t>utilization of urea and Inorg.A</t>
  </si>
  <si>
    <t>S072</t>
  </si>
  <si>
    <t>Cai, Zengxiao; Haque, Abu Naser Md Ahsanul; Callahan, Damien L.; Dhandapani, Renuka; Naebe, Maryam</t>
  </si>
  <si>
    <t>10.1016/j.scitotenv.2024.175004</t>
  </si>
  <si>
    <t>Development of bio-composite mulch film from cotton gin wastes: Study of pesticide residue and outdoor stability and degradation</t>
  </si>
  <si>
    <t>S073</t>
  </si>
  <si>
    <t>Cai, Xiyun; Niu, Lili; Zhang, Yu; Lang, Xianming; Yu, Yunlong; Chen, Jingwen</t>
  </si>
  <si>
    <t>10.1021/jf202322p</t>
  </si>
  <si>
    <t>Discriminating multiple impacts of biogas residues amendment in selectively decontaminating chloroacetanilide herbicides</t>
  </si>
  <si>
    <t>S074</t>
  </si>
  <si>
    <t>Kaur, Paawan; Kaur, Pervinder; Kaur, Navjyot; Jain, Deepali; Singh, Kuldip; Bhullar, Makhan Singh</t>
  </si>
  <si>
    <t>10.1016/j.scitotenv.2020.139566</t>
  </si>
  <si>
    <t>Dissipation and phytotoxicity of imazethapyr and imazamox in soils amended with β-cyclodextrin-chitosan biocomposite</t>
  </si>
  <si>
    <t>S075</t>
  </si>
  <si>
    <t>Mukherjee, Santanu; Tappe, Wolfgang; Weihermueller, Lutz; Hofmann, Diana; Köppchen, Stephan; Laabs, Volker; Schroeder, Tom; Vereecken, Harry; Burauel, Peter</t>
  </si>
  <si>
    <t>10.1016/j.scitotenv.2015.11.111</t>
  </si>
  <si>
    <t>Dissipation of bentazone, pyrimethanil and boscalid in biochar and digestate based soil mixtures for biopurification systems</t>
  </si>
  <si>
    <t>S076</t>
  </si>
  <si>
    <t>Marín-Benito, Jesús M.; Andrades, M. Soledad; Sánchez-Martín, María J.; Rodríguez-Cruz, M. Sonia</t>
  </si>
  <si>
    <t>10.1021/jf301322h</t>
  </si>
  <si>
    <t>Dissipation of fungicides in a vineyard soil amended with different spent mushroom substrates</t>
  </si>
  <si>
    <t>S077</t>
  </si>
  <si>
    <t>Pose-Juan, Eva; Marín-Benito, Jesús M.; Sánchez-Martín, María J.; Rodríguez-Cruz, M. Sonia</t>
  </si>
  <si>
    <t>10.1016/j.jenvman.2018.07.026</t>
  </si>
  <si>
    <t>Dissipation of herbicides after repeated application in soils amended with green compost and sewage sludge</t>
  </si>
  <si>
    <t>only adsorption et DHA activity</t>
  </si>
  <si>
    <t>S078</t>
  </si>
  <si>
    <t>Wang, Jie; Li, Li; Liu, Jianguo; Ti, Bowen</t>
  </si>
  <si>
    <t>10.1016/j.envpol.2016.10.095</t>
  </si>
  <si>
    <t>Distribution mode and environmental risk of POP pesticides such as endosulfan under the agricultural practice of straw incorporating</t>
  </si>
  <si>
    <t>S079</t>
  </si>
  <si>
    <t>Felsot, Allan S.; Dzantor, E. Kudjo</t>
  </si>
  <si>
    <t>10.1002/etc.5620140104</t>
  </si>
  <si>
    <t>Effect of alachlor concentration and an organic amendment on soil dehydrogenase activity and pesticide degradation rate</t>
  </si>
  <si>
    <t>Environmental Toxicology and Chemistry</t>
  </si>
  <si>
    <t>Not the best data</t>
  </si>
  <si>
    <t>S080</t>
  </si>
  <si>
    <t>Castillo, Maria Del Pilar; Torstensson, Lennart</t>
  </si>
  <si>
    <t>10.1021/jf0707637</t>
  </si>
  <si>
    <t>Effect of biobed composition, moisture, and temperature on the degradation of pesticides</t>
  </si>
  <si>
    <t>S081</t>
  </si>
  <si>
    <t>Zhelezova, Alena; Cederlund, Harald; Stenström, John</t>
  </si>
  <si>
    <t>10.1007/s11270-017-3392-7</t>
  </si>
  <si>
    <t>Effect of Biochar Amendment and Ageing on Adsorption and Degradation of Two Herbicides</t>
  </si>
  <si>
    <t>S082</t>
  </si>
  <si>
    <t>Wang, Ting-Ting; Cheng, Jie; Liu, Xian-Jin; Jiang, Wayne; Zhang, Chao-Lan; Yu, Xiang-Yang</t>
  </si>
  <si>
    <t>10.1016/j.ecoenv.2012.06.012</t>
  </si>
  <si>
    <t>Effect of biochar amendment on the bioavailability of pesticide chlorantraniliprole in soil to earthworm</t>
  </si>
  <si>
    <t>already performed</t>
  </si>
  <si>
    <t>S083</t>
  </si>
  <si>
    <t>Singh, Neera; Dureja, Prem</t>
  </si>
  <si>
    <t>10.1007/s00128-008-9536-0</t>
  </si>
  <si>
    <t>Effect of biocompost-amendment on degradation of triazoles fungicides in soil</t>
  </si>
  <si>
    <t>S084</t>
  </si>
  <si>
    <t>Si, Youbin; Wang, Midao; Tian, Chao; Zhou, Jing; Zhou, Dongmei</t>
  </si>
  <si>
    <t>10.1016/j.jconhyd.2010.12.008</t>
  </si>
  <si>
    <t>Effect of charcoal amendment on adsorption, leaching and degradation of isoproturon in soils</t>
  </si>
  <si>
    <t>S085</t>
  </si>
  <si>
    <t>Briceño, G.; Jorquera, M.A.; Demanet, R.; Mora, M.L.; Durán, N.; Palma, G.</t>
  </si>
  <si>
    <t>10.1016/j.scitotenv.2010.03.014</t>
  </si>
  <si>
    <t>Effect of cow slurry amendment on atrazine dissipation and bacterial community structure in an agricultural Andisol</t>
  </si>
  <si>
    <t>S086</t>
  </si>
  <si>
    <t>Aguilera, Paula; Briceño, Gabriela; Candia, Maribel; de la Luz Mora, Maria; Demanet, Rolando; Palma, Graciela</t>
  </si>
  <si>
    <t>10.1016/j.chemosphere.2009.08.020</t>
  </si>
  <si>
    <t>Effect of dairy manure rate and the stabilization time of amended soils on atrazine degradation</t>
  </si>
  <si>
    <t>S087</t>
  </si>
  <si>
    <t>Marín-Benito, Jesús M.; Herrero-Hernández, Eliseo; Andrades, M. Soledad; Sánchez-Martín, Maria J.; Rodríguez-Cruz, M. Sonia</t>
  </si>
  <si>
    <t>10.1016/j.scitotenv.2014.01.052</t>
  </si>
  <si>
    <t>Effect of different organic amendments on the dissipation of linuron, diazinon and myclobutanil in an agricultural soil incubated for different time periods</t>
  </si>
  <si>
    <t>S088</t>
  </si>
  <si>
    <t>Carpio, María José; Bárcena, Sabrina; Sánchez-Martín, María Jesús; Marín-Benito, Jesús M.; Rodríguez-Cruz, M. Sonia</t>
  </si>
  <si>
    <t>10.1016/j.ecoenv.2025.118454</t>
  </si>
  <si>
    <t>Effect of different treatments on the dissipation and persistence of iodosulfuron-methyl applied in soils with wheat crop under greenhouse conditions</t>
  </si>
  <si>
    <t>greenhouse condition ???</t>
  </si>
  <si>
    <t>S089</t>
  </si>
  <si>
    <t>Zhang, R.U.I.; Jing, C.U.I.; Hong Zhu, M.E.I.; Yang, Hong</t>
  </si>
  <si>
    <t>10.1021/jf9027766</t>
  </si>
  <si>
    <t>Effect of dissolved organic matters on napropamide availability and ecotoxicity in rapeseed (Brassica napus)</t>
  </si>
  <si>
    <t>S090</t>
  </si>
  <si>
    <t>Wang, Pingping; Cao, Junli; Mao, Liangang; Zhu, Lizhen; Zhang, Yanning; Zhang, Lan; Jiang, Hongyun; Zheng, Yongquan; Liu, Xingang</t>
  </si>
  <si>
    <t>10.1016/j.scitotenv.2022.158278</t>
  </si>
  <si>
    <t>Effect of H3PO4-modified biochar on the fate of atrazine and remediation of bacterial community in atrazine-contaminated soil</t>
  </si>
  <si>
    <t>S091</t>
  </si>
  <si>
    <t>Printz, H.; Mittelstaedt, W.; Führ, F.</t>
  </si>
  <si>
    <t>10.1080/03601239509372939</t>
  </si>
  <si>
    <t>Effect of maize straw amendment on formation and translocation of residues of methabenzthiazuron in an orthic luvisol.</t>
  </si>
  <si>
    <t>Journal of Environmental Science and Health, Part B</t>
  </si>
  <si>
    <t>S092</t>
  </si>
  <si>
    <t>Jiang, Lei; Ma, Li; Sui, Ying; Han, Su Qing; Wu, Zhen Yu; Feng, Yu Xiao; Yang, Hong</t>
  </si>
  <si>
    <t>10.1016/j.jhazmat.2010.08.041</t>
  </si>
  <si>
    <t>Effect of manure compost on the herbicide prometryne bioavailability to wheat plants</t>
  </si>
  <si>
    <t>S093</t>
  </si>
  <si>
    <t>Reimer, M.; Farenhorst, A.; Gaultier, J.</t>
  </si>
  <si>
    <t>10.1081/PFC-200061562</t>
  </si>
  <si>
    <t>Effect of manure on glyphosate and trifluralin mineralization in soil</t>
  </si>
  <si>
    <t>S094</t>
  </si>
  <si>
    <t>Singh, Neera; Singh, Shashi B</t>
  </si>
  <si>
    <t>10.1080/03601234.2010.502445</t>
  </si>
  <si>
    <t>Effect of moisture and compost on fate of azoxystrobin in soils.</t>
  </si>
  <si>
    <t>Journal of environmental science and health. Part. B, Pesticides, food contaminants, and agricultural wastes</t>
  </si>
  <si>
    <t>S095</t>
  </si>
  <si>
    <t>Gámiz, Beatriz; Celis, Rafael; Hermosín, M. Carmen; Cornejo, Juan</t>
  </si>
  <si>
    <t>10.1016/j.jenvman.2013.04.055</t>
  </si>
  <si>
    <t>Effect of olive-mill waste addition to agricultural soil on the enantioselective behavior of the chiral fungicide metalaxyl</t>
  </si>
  <si>
    <t>S096</t>
  </si>
  <si>
    <t>Gámiz, B.; Celis, R.; Cox, L.; Hermosín, M.C.; Cornejo, J.</t>
  </si>
  <si>
    <t>10.1016/j.scitotenv.2012.04.038</t>
  </si>
  <si>
    <t>Effect of olive-mill waste addition to soil on sorption, persistence, and mobility of herbicides used in Mediterranean olive groves</t>
  </si>
  <si>
    <t>no degradation</t>
  </si>
  <si>
    <t>S097</t>
  </si>
  <si>
    <t>Mukherjee, Irani</t>
  </si>
  <si>
    <t>10.1007/s00128-009-9849-7</t>
  </si>
  <si>
    <t>Effect of organic Amendments on degradation of Atrazine</t>
  </si>
  <si>
    <t>S098</t>
  </si>
  <si>
    <t>Kadian, Neeru; Malik, Anushree; Satya, Santosh; Dureja, Prem</t>
  </si>
  <si>
    <t>10.1016/j.jenvman.2010.10.023</t>
  </si>
  <si>
    <t>Effect of organic amendments on microbial activity in chlorpyrifos contaminated soil</t>
  </si>
  <si>
    <t>S099</t>
  </si>
  <si>
    <t>Wagner, Stephen C.; Zablotowicz, Robert M.</t>
  </si>
  <si>
    <t>10.1080/03601239709373075</t>
  </si>
  <si>
    <t>Effect of organic amendments on the bioremediation of cyanazine and fluometuron in soil</t>
  </si>
  <si>
    <t>no amendment datas</t>
  </si>
  <si>
    <t>S100</t>
  </si>
  <si>
    <t>Ghosh, Rakesh Kumar; Singh, Neera</t>
  </si>
  <si>
    <t>10.1021/jf802716f</t>
  </si>
  <si>
    <t>Effect of organic manure on sorption and degradation of azoxystrobin In soil</t>
  </si>
  <si>
    <t>S101</t>
  </si>
  <si>
    <t>Eibisch, Nina; Schroll, Reiner; Fuß, Roland</t>
  </si>
  <si>
    <t>10.1016/j.chemosphere.2014.11.074</t>
  </si>
  <si>
    <t>Effect of pyrochar and hydrochar amendments on the mineralization of the herbicide isoproturon in an agricultural soil</t>
  </si>
  <si>
    <t>S102</t>
  </si>
  <si>
    <t>Perrin-Ganier, C.; Schiavon, F.; Morel, J.-L.; Schiavon, M.</t>
  </si>
  <si>
    <t>10.1016/S0045-6535(00)00283-6</t>
  </si>
  <si>
    <t>Effect of sludge-amendment or nutrient addition on the biodegradation of the herbicide isoproturon in soil</t>
  </si>
  <si>
    <t>S103</t>
  </si>
  <si>
    <t>Marín-Benito, Jesús M.; Rodríguez-Cruz, M. Sonia; Andrades, M. Soledad; Sánchez-Martín, María J.</t>
  </si>
  <si>
    <t>10.1021/jf902112d</t>
  </si>
  <si>
    <t>Effect of spent mushroom substrate amendment of vineyard soils on the behavior of fungicides: 2. Mobility of penconazole and metalaxyl in undisturbed soil cores</t>
  </si>
  <si>
    <t>Leaching study</t>
  </si>
  <si>
    <t>S104</t>
  </si>
  <si>
    <t>Dungan, Robert S.; Gan, Jianying; Yates, Scott R.</t>
  </si>
  <si>
    <t>10.1002/ps.400</t>
  </si>
  <si>
    <t>Effect of temperature, organic amendment rate and moisture content on the degradation of 1,3-dichloropropene in soil</t>
  </si>
  <si>
    <t>S105</t>
  </si>
  <si>
    <t>Huang, He; Zhang, Chaolan; Rong, Qun; Li, Chuangzhang; Mao, Jun; Liu, Yu; Chen, Junxian; Liu, Xutong</t>
  </si>
  <si>
    <t>10.1016/j.apsoil.2020.103564</t>
  </si>
  <si>
    <t>Effect of two organic amendments on atrazine degradation and microorganisms in soil</t>
  </si>
  <si>
    <t>Applied Soil Ecology</t>
  </si>
  <si>
    <t>S106</t>
  </si>
  <si>
    <t>Blasioli, Sonia; Braschi, Ilaria; Pinna, Maria V.; Pusino, Alba; Gessa, Carlo E.</t>
  </si>
  <si>
    <t>10.1021/jf7036906</t>
  </si>
  <si>
    <t>Effect of undesalted dissolved organic matter from composts on persistence, adsorption, and mobility of cyhalofop herbicide in soils</t>
  </si>
  <si>
    <t>No OA added</t>
  </si>
  <si>
    <t>S107</t>
  </si>
  <si>
    <t>Fernández-Bayo, Jesús D.; Nogales, Rogelio; Romero, Esperanza</t>
  </si>
  <si>
    <t>10.1021/jf900303j</t>
  </si>
  <si>
    <t>Effect of vermicomposts from wastes of the wine and alcohol industries in the persistence and distribution of lmidacloprid and diuron on agricultural soils</t>
  </si>
  <si>
    <t>S108</t>
  </si>
  <si>
    <t>Shi, Guoxin; Hou, Renjie; Fu, Qiang; Li, Tianxiao; Chen, Qingshan</t>
  </si>
  <si>
    <t>10.1016/j.jhazmat.2024.134397</t>
  </si>
  <si>
    <t>Effects of biochar and compost on microbial community assembly and metabolic processes in glyphosate, imidacloprid and pyraclostrobin polluted soil under freeze[sbnd]thaw cycles</t>
  </si>
  <si>
    <t>S109</t>
  </si>
  <si>
    <t>Shi, Guoxin; Li, Heng; Fu, Qiang; Li, Tianxiao; Hou, Renjie; Chen, Qingshan; Xue, Ping</t>
  </si>
  <si>
    <t>10.1016/j.envpol.2024.125003</t>
  </si>
  <si>
    <t>Effects of biochar and compost on the abundant and rare microbial communities assembly and multifunctionality in pesticide-contaminated soil under freeze‒thaw cycles</t>
  </si>
  <si>
    <t>S110</t>
  </si>
  <si>
    <t>Yang, Fan; Jiang, Qun; Zhu, Moran; Zhao, Lulu; Zhang, Ying</t>
  </si>
  <si>
    <t>10.1016/j.scitotenv.2016.10.053</t>
  </si>
  <si>
    <t>Effects of biochars and MWNTs on biodegradation behavior of atrazine by Acinetobacter lwoffii DNS32</t>
  </si>
  <si>
    <t>Not a soil study</t>
  </si>
  <si>
    <t>S111</t>
  </si>
  <si>
    <t>Li, Yao; Liu, Xingang; Wu, Xiaohu; Dong, Fengshou; Xu, Jun; Pan, Xinglu; Zheng, Yongquan</t>
  </si>
  <si>
    <t>10.1016/j.envpol.2018.05.079</t>
  </si>
  <si>
    <t>Effects of biochars on the fate of acetochlor in soil and on its uptake in maize seedling</t>
  </si>
  <si>
    <t>S112</t>
  </si>
  <si>
    <t>Ngigi, Anastasiah N.; Getenga, Zachary M.; Dörfler, Ulrike; Boga, Hamadi I.; Kuria, Benson; Ndalut, Paul; Schroll, Reiner</t>
  </si>
  <si>
    <t>10.1080/03601234.2012.716727</t>
  </si>
  <si>
    <t>Effects of carbon amendment on in situ atrazine degradation and total microbial biomass</t>
  </si>
  <si>
    <t>S113</t>
  </si>
  <si>
    <t>Accinelli, Cesare; Koskinen, William C.; Seebinger, Jeffrey D.; Vicari, Alberto; Sadowsky, Michael J.</t>
  </si>
  <si>
    <t>10.1021/jf050186r</t>
  </si>
  <si>
    <t>Effects of incorporated corn residues on glyphosate mineralization and sorption in soil</t>
  </si>
  <si>
    <t>S114</t>
  </si>
  <si>
    <t>Suduan, G.A.O.; Ruijun, Q.I.N.; Hanson, Bradley D.; Tharayil, Nishanth; Trout, Thomas J.; Wang, Dong; Gerik, James</t>
  </si>
  <si>
    <t>10.1021/jf900245f</t>
  </si>
  <si>
    <t>Effects of Manure and Water Applications on 1,3-Dichloropropene and Chloropicrin Emissions in a Field Trial</t>
  </si>
  <si>
    <t>S115</t>
  </si>
  <si>
    <t>Rouchaud, J.; Gustin, F.; Roisin, C.; Grevy, L.; Raimond, Y.</t>
  </si>
  <si>
    <t>10.1007/BF01061090</t>
  </si>
  <si>
    <t>Effects of organic fertilizers on aldicarb soil biodegradation in sugar beet crops</t>
  </si>
  <si>
    <t>Archives of Environmental Contamination and Toxicology</t>
  </si>
  <si>
    <t>S116</t>
  </si>
  <si>
    <t>Grenni, Paola; Rodríguez-Cruz, M. Sonia; Herrero-Hernández, Eliseo; Marín-Benito, Jesús M.; Sánchez-Martín, Maria J.; Caracciolo, Anna Barra</t>
  </si>
  <si>
    <t>10.1007/s11270-012-1289-z</t>
  </si>
  <si>
    <t>Effects of wood amendments on the degradation of terbuthylazine and on soil microbial community activity in a clay loam soil</t>
  </si>
  <si>
    <t>S117</t>
  </si>
  <si>
    <t>Tao, Yue; Hu, Songbo; Han, Siyue; Shi, Hongtao; Yang, Yang; Li, Hanxu; Jiao, Yaqi; Zhang, Qi; Akindolie, Modupe Sarah; Ji, Mingyuan; Chen, Zhaobo; Zhang, Ying</t>
  </si>
  <si>
    <t>10.1016/j.scitotenv.2019.05.134</t>
  </si>
  <si>
    <t>Efficient removal of atrazine by iron-modified biochar loaded Acinetobacter lwoffii DNS32</t>
  </si>
  <si>
    <t>S118</t>
  </si>
  <si>
    <t>Ding, Chunxia; Ye, Can; Zhu, Wei; Zeng, Guangyong; Yao, Xuemei; Ouyang, Yu; Rong, Jie; Tao, Yaping; Liu, Xiangying; Deng, Yaocheng</t>
  </si>
  <si>
    <t>10.1016/j.jenvman.2023.119090</t>
  </si>
  <si>
    <t>Engineered hydrochar from waste reed straw for peroxymonosulfate activation to degrade quinclorac and improve solanaceae plants growth</t>
  </si>
  <si>
    <t>S119</t>
  </si>
  <si>
    <t>Raimondo, Enzo E.; Aparicio, Juan D.; Bigliardo, Ana L.; Fuentes, María S.; Benimeli, Claudia S.</t>
  </si>
  <si>
    <t>10.1016/j.ecoenv.2019.110143</t>
  </si>
  <si>
    <t>Enhanced bioremediation of lindane-contaminated soils through microbial bioaugmentation assisted by biostimulation with sugarcane filter cake</t>
  </si>
  <si>
    <t>No control data</t>
  </si>
  <si>
    <t>S120</t>
  </si>
  <si>
    <t>Chu, Bei; Eivazi, Frieda</t>
  </si>
  <si>
    <t>10.2134/jeq2016.04.0124</t>
  </si>
  <si>
    <t>Enhanced dissipation of selected herbicides in a simulated organic matrix biobed: A system to control on-farm point-source pollution</t>
  </si>
  <si>
    <t>Biobed study</t>
  </si>
  <si>
    <t>S121</t>
  </si>
  <si>
    <t>Wang, Wei; Shi, Haojie; Liu, Xingang; Mao, Liangang; Zhang, Lan; Zhu, Lizhen; Wu, Chi; Wu, Wenzhu</t>
  </si>
  <si>
    <t>10.1016/j.scitotenv.2024.177359</t>
  </si>
  <si>
    <t>Enhanced remediation of acetochlor-contaminated soils using phosphate-modified biochar: Impacts on environmental fate, microbial communities, and plant health</t>
  </si>
  <si>
    <t>S122</t>
  </si>
  <si>
    <t>Ahmad, Fiaz; Ashraf, Noreen; Zhou, Ren-Bin; Da-Chuan, Yin</t>
  </si>
  <si>
    <t>10.1016/j.jenvman.2019.05.069</t>
  </si>
  <si>
    <t>Enhanced remediation of bispyribac sodium by wheat (Triticum aestivum)and a bispyribac sodium degrading bacterial consortium (BDAM)</t>
  </si>
  <si>
    <t>S123</t>
  </si>
  <si>
    <t>Cao, Yaoyao; Zhang, Hui; Chen, Jian; Ge, Jing; Sheng, Hongjie; Wan, Qun; Ma, Liya; Feng, Fayun; Lv, Kang; Yu, Xiangyang</t>
  </si>
  <si>
    <t>10.1007/s11270-025-08986-w</t>
  </si>
  <si>
    <t>Enhanced Remediation of Thiamethoxam Contaminated Soil by Biochar-Immobilized Enterobacter Cloacae TMX-6: Physicochemical Property Regulation and Microbial Response</t>
  </si>
  <si>
    <t>S124</t>
  </si>
  <si>
    <t>Yang, Yang; Kang, Zhichao; Wang, Jian; Xu, Guanghui; Yu, Yong</t>
  </si>
  <si>
    <t>10.1016/j.biortech.2023.129570</t>
  </si>
  <si>
    <t>Enhanced removal efficiency of bensulfuron-methyl by a novel boron doping biochar-based Acinetobacter YH0317 at a lower temperature</t>
  </si>
  <si>
    <t>S125</t>
  </si>
  <si>
    <t>Lv, Yuancai; Chen, Yuancai; Song, Wenzhe; Hu, Yongyou</t>
  </si>
  <si>
    <t>10.1016/j.jhazmat.2014.07.067</t>
  </si>
  <si>
    <t>Enhanced selection of micro-aerobic pentachlorophenol degrading granular sludge</t>
  </si>
  <si>
    <t>S126</t>
  </si>
  <si>
    <t>Cao, Yu; Jiang, Shanqing; Kang, Xudong; Zhang, Hankun; Zhang, Qiuya; Wang, Liping</t>
  </si>
  <si>
    <t>10.1016/j.chemosphere.2021.131399</t>
  </si>
  <si>
    <t>Enhancing degradation of atrazine by Fe-phenol modified biochar/ferrate(VI) under alkaline conditions: Analysis of the mechanism and intermediate products</t>
  </si>
  <si>
    <t>S127</t>
  </si>
  <si>
    <t>Tang, Xiaoyan; Chen, Yong; Zheng, Wei; Chen, Luying; Liu, Huanping; Li, Muzi; Yang, Yang</t>
  </si>
  <si>
    <t>10.1016/j.jhazmat.2024.135139</t>
  </si>
  <si>
    <t>Enhancing neonicotinoid removal in recirculating constructed wetlands: The impact of Fe/Mn biochar and microbial interactions</t>
  </si>
  <si>
    <t>S128</t>
  </si>
  <si>
    <t>Castillo Diaz, Jean Manuel; Delgado-Moreno, Laura; Núñez, Rafael; Nogales, Rogelio; Romero, Esperanza</t>
  </si>
  <si>
    <t>10.1016/j.biortech.2016.04.105</t>
  </si>
  <si>
    <t>Enhancing pesticide degradation using indigenous microorganisms isolated under high pesticide load in bioremediation systems with vermicomposts</t>
  </si>
  <si>
    <t>S129</t>
  </si>
  <si>
    <t>Fang, Wensheng; Wang, Qiuxia; Yan, Dongdong; Huang, Bin; Ren, Zongjie; Wang, Qian; Song, Zhaoxin; Liu, Xiaoman; Li, Yuan; Ouyang, Canbin; Cao, Aocheng</t>
  </si>
  <si>
    <t>10.2134/jeq2018.01.0003</t>
  </si>
  <si>
    <t>Environmental factors and soil amendment affect the decomposition rate of dazomet fumigant</t>
  </si>
  <si>
    <t>S130</t>
  </si>
  <si>
    <t>Sarker, Aniruddha; Yoo, Ji-Hyock; Jeong, Won-Tae</t>
  </si>
  <si>
    <t>10.1016/j.chemosphere.2023.140458</t>
  </si>
  <si>
    <t>Environmental fate and metabolic transformation of two non-ionic pesticides in soil: Effect of biochar, moisture, and soil sterilization</t>
  </si>
  <si>
    <t>S131</t>
  </si>
  <si>
    <t>Gámiz, Beatriz; Pignatello, Joseph J.; Cox, Lucía; Hermosín, María C.; Celis, Rafael</t>
  </si>
  <si>
    <t>10.1016/j.scitotenv.2015.09.097</t>
  </si>
  <si>
    <t>Environmental fate of the fungicide metalaxyl in soil amended with composted olive-mill waste and its biochar: An enantioselective study</t>
  </si>
  <si>
    <t>S132</t>
  </si>
  <si>
    <t>Said-Pullicino, Daniel; Gigliotti, Giovanni; Vella, Alfred J.</t>
  </si>
  <si>
    <t>10.2134/jeq2004.1743</t>
  </si>
  <si>
    <t>Environmental fate of triasulfuron in soils amended with municipal waste compost</t>
  </si>
  <si>
    <t>S133</t>
  </si>
  <si>
    <t>Ding, Chunxia; Zeng, Guangyong; Tao, Yaping; Long, Xiuyu; Gong, Daoxin; Zhou, Nan; Zeng, Rongying; Liu, Xiangying; Deng, Yaocheng; Zhong, Mei-E</t>
  </si>
  <si>
    <t>10.1016/j.scitotenv.2022.158917</t>
  </si>
  <si>
    <t>Environmental-friendly hydrochar-montmorillonite composite for efficient catalytic degradation of dicamba and alleviating its damage to crops</t>
  </si>
  <si>
    <t>S134</t>
  </si>
  <si>
    <t>Wang, Zhiwei; Du, Ziyan; Huang, Yanping; Qi, Peipei; Chu, Jianfeng; Wu, Shuchun; Di, Shanshan; Zhao, Huiyu; Liu, Zhenzhen; Wang, Xinquan</t>
  </si>
  <si>
    <t>10.1016/j.ecoenv.2026.119714</t>
  </si>
  <si>
    <t>Evaluating the role of biochar aging in pesticide dynamics in a continuous cropping soil-celery system</t>
  </si>
  <si>
    <t>S135</t>
  </si>
  <si>
    <t>Checa-Fernández, Alicia; Santos, Aurora; Chicaiza, Katherine Yomaira; Martin-Sanz, Juan P.; Valverde-Asenjo, Inmaculada; Quintana, Jose R.; Fernández, Javier; Domínguez, Carmen M.</t>
  </si>
  <si>
    <t>10.1016/j.jenvman.2024.121436</t>
  </si>
  <si>
    <t>Exploring the potential of horse amendment for the remediation of HCHs-polluted soils</t>
  </si>
  <si>
    <t>S136</t>
  </si>
  <si>
    <t>Ahmad, Khuram Shahzad</t>
  </si>
  <si>
    <t>10.1007/s10661-018-7119-z</t>
  </si>
  <si>
    <t>Exploring the potential of Juglans regia-derived activated carbon for the removal of adsorbed fungicide Ethaboxam from soils</t>
  </si>
  <si>
    <t>Environmental Monitoring and Assessment</t>
  </si>
  <si>
    <t>Sorption study</t>
  </si>
  <si>
    <t>S137</t>
  </si>
  <si>
    <t>Castillo Diaz, Jean Manuel; Martin-Laurent, Fabrice; Beguet, Jérèmie; Nogales, Rogelio; Romero, Esperanza</t>
  </si>
  <si>
    <t>10.1016/j.scitotenv.2016.11.082</t>
  </si>
  <si>
    <t>Fate and effect of imidacloprid on vermicompost-amended soils under dissimilar conditions: Risk for soil functions, structure, and bacterial abundance</t>
  </si>
  <si>
    <t>S138</t>
  </si>
  <si>
    <t>Fountoulakis, M.S.; Makridis, L.; Pirounaki, E.K.; Chroni, C.; Kyriacou, A.; Lasaridi, K.; Manios, T.</t>
  </si>
  <si>
    <t>10.1016/j.wasman.2009.08.014</t>
  </si>
  <si>
    <t>Fate and effect of linuron and metribuzin on the co-composting of green waste and sewage sludge</t>
  </si>
  <si>
    <t>Waste Management</t>
  </si>
  <si>
    <t>S139</t>
  </si>
  <si>
    <t>Haudin, Claire-Sophie; Zhang, Yuhai; Dumény, Valérie; Lashermes, Gwenaëlle; Bergheaud, Valérie; Barriuso, Enrique; Houot, Sabine</t>
  </si>
  <si>
    <t>10.1016/j.chemosphere.2013.02.041</t>
  </si>
  <si>
    <t>Fate of 14C-organic pollutant residues in composted sludge after application to soil</t>
  </si>
  <si>
    <t>Not a study of pesticide remediation in soil but the fate of pesticides introduced via biosolid application onto soil</t>
  </si>
  <si>
    <t>S140</t>
  </si>
  <si>
    <t>Cabrera, A.; Cox, Lucia; Velarde, P.; Koskinen, William C.; Cornejo, Juan</t>
  </si>
  <si>
    <t>10.1021/jf070525b</t>
  </si>
  <si>
    <t>Fate of diuron and terbuthylazine in soils amended with two-phase olive oil mill waste</t>
  </si>
  <si>
    <t>S141</t>
  </si>
  <si>
    <t>Siedt, Martin; Vonhoegen, Denise; Smith, Kilian E.C.; Roß-Nickoll, Martina; van Dongen, Joost T.; Schäffer, Andreas</t>
  </si>
  <si>
    <t>10.1016/j.chemosphere.2023.140298</t>
  </si>
  <si>
    <t>Fermented biochar has a markedly different effect on fate of pesticides in soil than compost, straw, and a mixed biochar-product</t>
  </si>
  <si>
    <t>S142</t>
  </si>
  <si>
    <t>Marín-Benito, Jesús M.; Carpio, M. José; Mamy, Laure; Andrades, M. Soledad; Sánchez-Martín, María J.; Rodríguez-Cruz, M. Sonia</t>
  </si>
  <si>
    <t>10.1016/j.scitotenv.2020.138374</t>
  </si>
  <si>
    <t>Field measurement and modelling of chlorotoluron and flufenacet persistence in unamended and amended soils</t>
  </si>
  <si>
    <t>S143</t>
  </si>
  <si>
    <t>Herrero-Hernández, E.; Marín-Benito, J.M.; Andrades, M.S.; Sánchez-Martín, M.J.; Rodríguez-Cruz, M.S.</t>
  </si>
  <si>
    <t>10.1016/j.jenvman.2015.08.010</t>
  </si>
  <si>
    <t>Field versus laboratory experiments to evaluate the fate of azoxystrobin in an amended vineyard soil</t>
  </si>
  <si>
    <t>S144</t>
  </si>
  <si>
    <t>Herrero-Hernández, Eliseo; Andrades, M. Soledad; Marín-Benito, Jesús M.; Sánchez-Martín, María J.; Rodríguez-Cruz, M. Sonia</t>
  </si>
  <si>
    <t>10.1016/j.ecoenv.2011.04.023</t>
  </si>
  <si>
    <t>Field-scale dissipation of tebuconazole in a vineyard soil amended with spent mushroom substrate and its potential environmental impact</t>
  </si>
  <si>
    <t>S145</t>
  </si>
  <si>
    <t>Lescano, M.R.; Pizzul, L.; Castillo, M.D.P.; Zalazar, C.S.</t>
  </si>
  <si>
    <t>10.1016/j.jenvman.2018.09.009</t>
  </si>
  <si>
    <t>Glyphosate and aminomethylphosphonic acid degradation in biomixtures based on alfalfa straw, wheat stubble and river waste</t>
  </si>
  <si>
    <t>S146</t>
  </si>
  <si>
    <t>Aliste, Marina; Ros, Caridad; Garrido, Isabel; Martínez, Carmen María; Vera, Alfonso; Siles, José; Contreras, Fulgencio; Flores, Pilar; Hellín, Pilar; Fenoll, José; Bastida, Felipe</t>
  </si>
  <si>
    <t>10.1016/j.jhazmat.2025.138984</t>
  </si>
  <si>
    <t>Green manure from cover crops enhances pesticide degradation and soil biological health</t>
  </si>
  <si>
    <t>Biosolarization</t>
  </si>
  <si>
    <t>S147</t>
  </si>
  <si>
    <t>Hu, Fangyu; An, Jing; Su, Ao; Wang, Baoyu; Ding, Ziming; Yan, Xiuxiu; Wei, Shuhe; Xu, Mingkai; Zhang, Huiwen</t>
  </si>
  <si>
    <t>10.1016/j.envres.2024.120478</t>
  </si>
  <si>
    <t>Green manure plants enhance atrazine degradation in agriculture soil through modulating rhizosphere microbial communities</t>
  </si>
  <si>
    <t>S148</t>
  </si>
  <si>
    <t>Liu, C.Y.; Jiang, X.; Yang, X.L.; Song, Y.</t>
  </si>
  <si>
    <t>10.1016/j.scitotenv.2009.10.031</t>
  </si>
  <si>
    <t>Hexachlorobenzene dechlorination as affected by organic fertilizer and urea applications in two rice planted paddy soils in a pot experiment</t>
  </si>
  <si>
    <t>S149</t>
  </si>
  <si>
    <t>WANG, Hui-li; LI, Yan-yan; WEI, Guo-hui; WANG, Xue-dong</t>
  </si>
  <si>
    <t>10.1016/S1001-0742(07)60180-6</t>
  </si>
  <si>
    <t>Imazaquin degradation and metabolism in a sandy loam soil amended with farm litters</t>
  </si>
  <si>
    <t>Journal of Environmental Sciences</t>
  </si>
  <si>
    <t>S150</t>
  </si>
  <si>
    <t>Huang, X.; Lee, L.S.; Nakatsu, C.</t>
  </si>
  <si>
    <t>10.1002/etc.5620191202</t>
  </si>
  <si>
    <t>Impact of animal waste lagoon effluents on chlorpyrifos degradation in soils</t>
  </si>
  <si>
    <t>No amendment application rate</t>
  </si>
  <si>
    <t>S151</t>
  </si>
  <si>
    <t>Peña, David; Albarrán, Ángel; López-Piñeiro, Antonio; Rato-Nunes, José Manuel; Sánchez-Llerena, Javier; Becerra, Daniel</t>
  </si>
  <si>
    <t>10.1080/03601234.2013.780884</t>
  </si>
  <si>
    <t>Impact of oiled and de-oiled olive mill waste amendments on the sorption, leaching, and persistence of S-metolachlor in a calcareous clay soil</t>
  </si>
  <si>
    <t>S152</t>
  </si>
  <si>
    <t>Ramasubramanian, T.</t>
  </si>
  <si>
    <t>10.1007/s10661-020-08374-3</t>
  </si>
  <si>
    <t>Impact of organic manures on the persistence of imidacloprid in the sandy clay loam soil of tropical sugarcane crop ecosystem</t>
  </si>
  <si>
    <t>S153</t>
  </si>
  <si>
    <t>Tatarková, Veronika; Hiller, Edgar; Vaculík, Marek</t>
  </si>
  <si>
    <t>10.1016/j.ecoenv.2013.02.005</t>
  </si>
  <si>
    <t>Impact of wheat straw biochar addition to soil on the sorption, leaching, dissipation of the herbicide (4-chloro-2-methylphenoxy)acetic acid and the growth of sunflower (Helianthus annuus L.)</t>
  </si>
  <si>
    <t>S154</t>
  </si>
  <si>
    <t>Yu, Xiang-Yang; Mu, Chang-Li; Gu, Cheng; Liu, Cun; Liu, Xian-Jin</t>
  </si>
  <si>
    <t>10.1016/j.chemosphere.2011.07.031</t>
  </si>
  <si>
    <t>Impact of woodchip biochar amendment on the sorption and dissipation of pesticide acetamiprid in agricultural soils</t>
  </si>
  <si>
    <t>S155</t>
  </si>
  <si>
    <t>Sopeña, Fatima; Bending, Gary D.</t>
  </si>
  <si>
    <t>10.1016/j.chemosphere.2012.12.031</t>
  </si>
  <si>
    <t>Impacts of biochar on bioavailability of the fungicide azoxystrobin: A comparison of the effect on biodegradation rate and toxicity to the fungal community</t>
  </si>
  <si>
    <t>S156</t>
  </si>
  <si>
    <t>Acosta-Sánchez, Alejandra; Soto-Garita, Claudio; Masís-Mora, Mario; Cambronero-Heinrichs, Juan Carlos; Rodríguez-Rodríguez, Carlos E.</t>
  </si>
  <si>
    <t>10.1016/j.ecoenv.2020.110460</t>
  </si>
  <si>
    <t>Impaired pesticide removal and detoxification by biomixtures during the simulated pesticide application cycle of a tropical agricultural system</t>
  </si>
  <si>
    <t>S157</t>
  </si>
  <si>
    <t>Adak, Totan; Mahapatra, Bibhab; Swain, Harekrushna; Patil, Naveenkumar B.; Pandi G, Guru P.; Gowda, G. Basana; Annamalai, M.; Pokhare, Somnath S.; Meena K, Sankari; Rath, P.C.; Jena, Mayabini</t>
  </si>
  <si>
    <t>10.1016/j.jenvman.2020.111084</t>
  </si>
  <si>
    <t>Indigenous biobed to limit point source pollution of imidacloprid in tropical countries</t>
  </si>
  <si>
    <t>S158</t>
  </si>
  <si>
    <t>Wang, Huili; Li, Yanyan; Lu, Yujie; Huang, Changjiang; Zhang, Minghua; Wang, Xuedong</t>
  </si>
  <si>
    <t>10.1016/j.ecoenv.2008.01.026</t>
  </si>
  <si>
    <t>Influence of bovine manure on dissipation of hexazinone in soil</t>
  </si>
  <si>
    <t>S159</t>
  </si>
  <si>
    <t>Rouchaud, J.; Gustin, F.; Benoit, F.; Ceustermans, N.; Gillet, J.; Van de Steene, F.; Pelerents, C.</t>
  </si>
  <si>
    <t>10.1007/BF00213310</t>
  </si>
  <si>
    <t>Influence of cow manure and composts on the effects of chlorfenvinphos on field crops</t>
  </si>
  <si>
    <t>S160</t>
  </si>
  <si>
    <t>Farenhorst, Annemieke</t>
  </si>
  <si>
    <t>10.1080/03601230701229155</t>
  </si>
  <si>
    <t>Influence of crop residues on trifluralin mineralization in a silty clay loam soil</t>
  </si>
  <si>
    <t>S161</t>
  </si>
  <si>
    <t>García-Delgado, Carlos; Barba-Vicente, Víctor; Marín-Benito, Jesús M.; Mariano Igual, J.; Sánchez-Martín, María J.; Sonia Rodríguez-Cruz, M.</t>
  </si>
  <si>
    <t>10.1016/j.scitotenv.2018.07.395</t>
  </si>
  <si>
    <t>Influence of different agricultural management practices on soil microbial community over dissipation time of two herbicides</t>
  </si>
  <si>
    <t>S162</t>
  </si>
  <si>
    <t>Dolaptsoglou, Christina; Karpouzas, Dimitrios G.; Menkissoglu-Spiroudi, Urania; Eleftherohorinos, Ilias; Voudrias, Evangelos A.</t>
  </si>
  <si>
    <t>10.2134/jeq2006.0388</t>
  </si>
  <si>
    <t>Influence of different organic amendments on the degradation, metabolism, and adsorption of terbuthylazine</t>
  </si>
  <si>
    <t>S163</t>
  </si>
  <si>
    <t>10.2134/jeq2008.0162</t>
  </si>
  <si>
    <t>Influence of different organic amendments on the leaching and dissipation of terbuthylazine in a column and a field study</t>
  </si>
  <si>
    <t>S164</t>
  </si>
  <si>
    <t>García-Jaramillo, M.; Cox, L.; Hermosín, M.C.; Cerli, C.; Kalbitz, K.</t>
  </si>
  <si>
    <t>10.1016/j.scitotenv.2016.01.142</t>
  </si>
  <si>
    <t>Influence of green waste compost on azimsulfuron dissipation and soil functions under oxic and anoxic conditions</t>
  </si>
  <si>
    <t>S165</t>
  </si>
  <si>
    <t>Alvey, S.; Crowley, D.E.</t>
  </si>
  <si>
    <t>10.2134/jeq1995.00472425002400060015x</t>
  </si>
  <si>
    <t>Influence of organic amendments on biodegradation of atrazine as a nitrogen source</t>
  </si>
  <si>
    <t>No usable soil data</t>
  </si>
  <si>
    <t>S166</t>
  </si>
  <si>
    <t>10.1007/s00128-012-0676-x</t>
  </si>
  <si>
    <t>Influence of organic amendments on the degradation of endosulfan</t>
  </si>
  <si>
    <t>S167</t>
  </si>
  <si>
    <t>Rodríguez-Cruz, M. Sonia; Marín-Benito, Jesús M.; Ordax, José M.; Azejjel, Hanane; Sánchez-Martín, María J.</t>
  </si>
  <si>
    <t>10.1016/j.jenvman.2010.10.043</t>
  </si>
  <si>
    <t>Influence of pine or oak wood on the degradation of alachlor and metalaxyl in soil</t>
  </si>
  <si>
    <t>S168</t>
  </si>
  <si>
    <t>Horswell, J.; Hodge, A.; Killham, K.</t>
  </si>
  <si>
    <t>10.1016/S0045-6535(97)00030-1</t>
  </si>
  <si>
    <t>Influence of plant carbon on the mineralisation of atrazine residues in soils</t>
  </si>
  <si>
    <t>S169</t>
  </si>
  <si>
    <t>Wanner, Uwe; Führ, Fritz; Burauel, Peter</t>
  </si>
  <si>
    <t>10.1016/j.envpol.2004.04.013</t>
  </si>
  <si>
    <t>Influence of the amendment of corn straw on the degradation behaviour of the fungicide dithianon in soil</t>
  </si>
  <si>
    <t>S170</t>
  </si>
  <si>
    <t>Sánchez, M.E.; Estrada, I.B.; Martínez, O.; Martín-Villacorta, J.; Aller, A.; Morán, A.</t>
  </si>
  <si>
    <t>10.1016/j.chemosphere.2004.07.023</t>
  </si>
  <si>
    <t>Influence of the application of sewage sludge on the degradation of pesticides in the soil</t>
  </si>
  <si>
    <t>S171</t>
  </si>
  <si>
    <t>Abhilash, P.C.; Singh, Nandita</t>
  </si>
  <si>
    <t>10.1016/j.biortech.2008.05.006</t>
  </si>
  <si>
    <t>Influence of the application of sugarcane bagasse on lindane (γ-HCH) mobility through soil column: Implication for biotreatment</t>
  </si>
  <si>
    <t>S172</t>
  </si>
  <si>
    <t>Peña-Álvarez, Verónica; Asensio, Verónica; Baragaño, Diego; Forján, Rubén; Peláez, Ana Isabel; Gallego, José Luis R.</t>
  </si>
  <si>
    <t>10.1016/j.jhazmat.2025.137637</t>
  </si>
  <si>
    <t>Integrated landfarming strategy for remediation of HCH-contaminated soil: Synergistic effects of bioaugmentation, organic amendments, and nanoscale zero-valent iron</t>
  </si>
  <si>
    <t>S173</t>
  </si>
  <si>
    <t>Qin, Ruijun; Gao, Suduan; Ajwa, Husein; Hanson, Bradley D.; Trout, Thomas J.; Wang, Dong; Guo, Mingxin</t>
  </si>
  <si>
    <t>10.1021/jf901737a</t>
  </si>
  <si>
    <t>Interactive Effect of Organic Amendment and Environmental Factors on Degradation of 1,3-Dichloropropene and Chloropicrin in Soil</t>
  </si>
  <si>
    <t>S174</t>
  </si>
  <si>
    <t>Amin, Muhammad; Raza Gurmani, Ali; Rafique, Mazhar; Ullah Khan, Sami; Mehmood, Ayaz; Muhammad, Dost; Hussain Syed, Jabir</t>
  </si>
  <si>
    <t>10.1016/j.sjbs.2021.06.035</t>
  </si>
  <si>
    <t>Investigating the degradation behavior of Cypermethrin (CYP) and Chlorpyrifos (CPP) in peach orchard soils using organic/inorganic amendments</t>
  </si>
  <si>
    <t>Saudi Journal of Biological Sciences</t>
  </si>
  <si>
    <t>S175</t>
  </si>
  <si>
    <t>Sharma, Neha; Kaur, Pervinder; Jain, Deepali; Bhullar, Makhan Singh</t>
  </si>
  <si>
    <t>10.1016/j.ecoenv.2020.110204</t>
  </si>
  <si>
    <t>In-vitro evaluation of rice straw biochars’ effect on bispyribac-sodium dissipation and microbial activity in soil</t>
  </si>
  <si>
    <t>S176</t>
  </si>
  <si>
    <t>Benoit, P.; Barriuso, E.; Vidon, Ph.; Réal, B.</t>
  </si>
  <si>
    <t>10.2134/jeq1999.00472425002800010014x</t>
  </si>
  <si>
    <t>Isoproturon sorption and degradation in a soil from grassed buffer strip</t>
  </si>
  <si>
    <t>S177</t>
  </si>
  <si>
    <t>Karanasios, Evangelos; Karpouzas, Dimitrios G.; Tsiropoulos, Nikolaos G.</t>
  </si>
  <si>
    <t>10.1080/03601234.2012.665753</t>
  </si>
  <si>
    <t>Key parameters and practices controlling pesticide degradation efficiency of biobed substrates</t>
  </si>
  <si>
    <t>S178</t>
  </si>
  <si>
    <t>Spliid, Niels Henrik; Helweg, Arne; Heinrichson, Kirsten</t>
  </si>
  <si>
    <t>10.1016/j.chemosphere.2006.05.049</t>
  </si>
  <si>
    <t>Leaching and degradation of 21 pesticides in a full-scale model biobed</t>
  </si>
  <si>
    <t>S179</t>
  </si>
  <si>
    <t>Cox, Lucía; Hermosín, M. Carmen; Cornejo, Juan</t>
  </si>
  <si>
    <t>10.1080/00103629909370322</t>
  </si>
  <si>
    <t>Leaching of simazine in organic-amended soils</t>
  </si>
  <si>
    <t>Communications in Soil Science and Plant Analysis</t>
  </si>
  <si>
    <t>S180</t>
  </si>
  <si>
    <t>Zhu, Min; Lv, Xiaofei; Franks, Ashley E.; Brooks, Philip C.; Xu, Jianming; He, Yan</t>
  </si>
  <si>
    <t>10.1016/j.jhazmat.2019.122002</t>
  </si>
  <si>
    <t>Maize straw biochar addition inhibited pentachlorophenol dechlorination by strengthening the predominant soil reduction processes in flooded soil</t>
  </si>
  <si>
    <t>Flooded soil, anaerobic incubation</t>
  </si>
  <si>
    <t>S181</t>
  </si>
  <si>
    <t>Zhang, Weijian; Ma, Yuexuan; Feng, Jingyi; Bai, Xueyan; Gao, Lei; Gu, Siyu</t>
  </si>
  <si>
    <t>10.1016/j.indcrop.2025.121398</t>
  </si>
  <si>
    <t>Mechanistic elucidation of citric acid-modified biochar-mediated atrazine degradation and drift risk mitigation in maize rhizosphere soil</t>
  </si>
  <si>
    <t>Industrial Crops and Products</t>
  </si>
  <si>
    <t>S182</t>
  </si>
  <si>
    <t>Carpio, María J.; Rodríguez-Cruz, M. Sonia; García-Delgado, Carlos; Sánchez-Martín, María J.; Marín-Benito, Jesús M.</t>
  </si>
  <si>
    <t>10.1016/j.jenvman.2020.110161</t>
  </si>
  <si>
    <t>Mobility monitoring of two herbicides in amended soils: A field study for modeling applications</t>
  </si>
  <si>
    <t>Mobility study</t>
  </si>
  <si>
    <t>S183</t>
  </si>
  <si>
    <t>Karn, Santosh Kr.; Eswari, J. Satya; Rajput, Vishnu Dayal; Kumar, Satish; Kumar, Awanish</t>
  </si>
  <si>
    <t>10.1089/ees.2016.0456</t>
  </si>
  <si>
    <t>Modeling of Simultaneous Application of Vibrio sp. (SK1) and Biochar Amendment for Removal of Pentachlorophenol in Soil</t>
  </si>
  <si>
    <t>Environmental Engineering Science</t>
  </si>
  <si>
    <t>It looks at the combination of microorganism strain and biochar</t>
  </si>
  <si>
    <t>S184</t>
  </si>
  <si>
    <t>Wang, Huili; Wang, Chengjun; Chen, Fan; Ma, Meiping; Lin, Zhenkun; Wang, Wenwei; Xu, Zhengti; Wang, Xuedong</t>
  </si>
  <si>
    <t>10.1016/j.jhazmat.2011.10.073</t>
  </si>
  <si>
    <t>Modification to degradation of hexazinone in forest soils amended with sewage sludge</t>
  </si>
  <si>
    <t>forest soils</t>
  </si>
  <si>
    <t>S185</t>
  </si>
  <si>
    <t>Castillo, Jean Manuel; Beguet, Jérèmie; Martin-Laurent, Fabrice; Romero, Esperanza</t>
  </si>
  <si>
    <t>10.1016/j.jhazmat.2015.10.056</t>
  </si>
  <si>
    <t>Multidisciplinary assessment of pesticide mitigation in soil amended with vermicomposted agroindustrial wastes</t>
  </si>
  <si>
    <t>S186</t>
  </si>
  <si>
    <t>Chen, Zhi-Feng; Ying, Guang-Guo; Ma, Yi-Bing; Lai, Hua-Jie; Chen, Feng; Pan, Chang-Gui</t>
  </si>
  <si>
    <t>10.1016/j.scitotenv.2013.03.004</t>
  </si>
  <si>
    <t>Occurrence and dissipation of three azole biocides climbazole, clotrimazole and miconazole in biosolid-amended soils</t>
  </si>
  <si>
    <t>S187</t>
  </si>
  <si>
    <t>Fernandes, María C.; Cox, Lucía; Hermosín, María C.; Cornejo, Juan</t>
  </si>
  <si>
    <t>10.1002/ps.1303</t>
  </si>
  <si>
    <t>Organic amendments affecting sorption, leaching and dissipation of fungicides in soils</t>
  </si>
  <si>
    <t>S188</t>
  </si>
  <si>
    <t>Romero, Esperanza; Delgado-Moreno, Laura; Nogales, Rogelio</t>
  </si>
  <si>
    <t>10.1007/s11270-019-4093-1</t>
  </si>
  <si>
    <t>Pesticide Dissipation and Enzyme Activities in Ungrassed and Grassed Biomixtures, Composed of Winery Wastes, Used in Biobed Bioremediation Systems</t>
  </si>
  <si>
    <t xml:space="preserve">Not in soil but in biobed </t>
  </si>
  <si>
    <t>S189</t>
  </si>
  <si>
    <t>Córdova-Méndez, Edgar A.; Góngora-Echeverría, Virgilio R.; González-Sánchez, Avel; Quintal-Franco, Carlos; Giácoman-Vallejos, Germán; Ponce-Caballero, Carmen</t>
  </si>
  <si>
    <t>10.1016/j.scitotenv.2021.145038</t>
  </si>
  <si>
    <t>Pesticide treatment in biobed systems at microcosms level under critical moisture and temperature range using an Orthic Solonchaks soil from southeastern Mexico amended with corn husk as support</t>
  </si>
  <si>
    <t>S190</t>
  </si>
  <si>
    <t>Guo, L.; Bicki, T.J.; Hinesly, T.D.; Felsot, A.S.</t>
  </si>
  <si>
    <t>10.1080/03601239109372753</t>
  </si>
  <si>
    <t>Phytotoxicity of atrazine and alachlor in soil amended with sludge, Manure and activated carbon</t>
  </si>
  <si>
    <t>Phytotoxycity study</t>
  </si>
  <si>
    <t>S191</t>
  </si>
  <si>
    <t>Nowak, Karolina M.; Miltner, Anja; Poll, Christian; Kandeler, Ellen; Streck, Thilo; Pagel, Holger</t>
  </si>
  <si>
    <t>10.1016/j.envint.2020.105867</t>
  </si>
  <si>
    <t>Plant litter enhances degradation of the herbicide MCPA and increases formation of biogenic non-extractable residues in soil</t>
  </si>
  <si>
    <t>Environment International</t>
  </si>
  <si>
    <t>S192</t>
  </si>
  <si>
    <t>Marín-Benito, Jesús M.; Carpio, M. José; Sánchez-Martín, María J.; Rodríguez-Cruz, M. Sonia</t>
  </si>
  <si>
    <t>10.1016/j.scitotenv.2018.11.015</t>
  </si>
  <si>
    <t>Previous degradation study of two herbicides to simulate their fate in a sandy loam soil: Effect of the temperature and the organic amendments</t>
  </si>
  <si>
    <t>S193</t>
  </si>
  <si>
    <t>Mielke, Kamila Cabral; Brochado, Maura Gabriela da Silva; Laube, Ana Flávia Souza; Guimarães, Tiago; Medeiros, Bruna Aparecida de Paula; Mendes, Kassio Ferreira</t>
  </si>
  <si>
    <t>10.3390/ijms241311154</t>
  </si>
  <si>
    <t>Pyrolysis Temperature vs. Application Rate of Biochar Amendments: Impacts on Soil Microbiota and Metribuzin Degradation</t>
  </si>
  <si>
    <t>International Journal of Molecular Sciences</t>
  </si>
  <si>
    <t>S194</t>
  </si>
  <si>
    <t>Marín-Benito, J.M.; Barba, V.; Ordax, J.M.; Sánchez-Martín, M.J.; Rodríguez-Cruz, M.S.</t>
  </si>
  <si>
    <t>10.1016/j.jenvman.2018.07.045</t>
  </si>
  <si>
    <t>Recycling organic residues in soils as amendments: Effect on the mobility of two herbicides under different management practices</t>
  </si>
  <si>
    <t>S195</t>
  </si>
  <si>
    <t>Farooq, Saba; Yasmeen, Tahira; Niaz, Abdullah; Rizwan, Muhammad; Ali, Shafaqat</t>
  </si>
  <si>
    <t>10.1016/j.chemosphere.2022.133854</t>
  </si>
  <si>
    <t>Rice straw biochar in combination with farmyard manure mitigates bromoxynil toxicity in wheat (Triticum aestivum L.)</t>
  </si>
  <si>
    <t>Study of concentration in wheat</t>
  </si>
  <si>
    <t>S196</t>
  </si>
  <si>
    <t>Boparai, Hardiljeet K.; Shea, Patrick J.; Comfort, Steve D.; Machacek, Thomas A.</t>
  </si>
  <si>
    <t>10.1007/s11270-008-9682-3</t>
  </si>
  <si>
    <t>Sequencing zerovalent iron treatment with carbon amendments to remediate agrichemical-contaminated soil</t>
  </si>
  <si>
    <t>Also not the organic amendment</t>
  </si>
  <si>
    <t>S197</t>
  </si>
  <si>
    <t>Parlavecchia, Marco; Carnimeo, Claudia; Loffredo, Elisabetta</t>
  </si>
  <si>
    <t>10.1007/s11270-020-04915-1</t>
  </si>
  <si>
    <t>Soil Amendment with Biochar, Hydrochar and Compost Mitigates the Accumulation of Emerging Pollutants in Rocket Salad Plants</t>
  </si>
  <si>
    <t>S198</t>
  </si>
  <si>
    <t>Mukherjee, Irani; Gopal, Madhuban; Das, T.K.</t>
  </si>
  <si>
    <t>10.1007/s00128-007-9221-8</t>
  </si>
  <si>
    <t>Soil amendment: A technique for soil remediation of lactofen</t>
  </si>
  <si>
    <t>S199</t>
  </si>
  <si>
    <t>Galán-Pérez, José A.; Gámiz, Beatriz; Celis, Rafael</t>
  </si>
  <si>
    <t>10.1016/j.jenvman.2021.114102</t>
  </si>
  <si>
    <t>Soil modification with organic amendments and organo-clays: Effects on sorption, degradation, and bioactivity of the allelochemical scopoletin</t>
  </si>
  <si>
    <t>S200</t>
  </si>
  <si>
    <t>Fenoll, José; Hellín, Pilar; Flores, Pilar; Lacasa, Alfredo; Navarro, Simón</t>
  </si>
  <si>
    <t>10.1016/j.jenvman.2014.05.007</t>
  </si>
  <si>
    <t>Solarization and biosolarization using organic wastes for the bioremediation of soil polluted with terbuthylazine and linuron residues</t>
  </si>
  <si>
    <t>S201</t>
  </si>
  <si>
    <t>Real, Miguel; Facenda, Gracia; Celis, Rafael</t>
  </si>
  <si>
    <t>10.1016/j.scitotenv.2021.145027</t>
  </si>
  <si>
    <t>Sorption and dissipation of the allelochemicals umbelliferone and salicylic acid in a Mediterranean soil environment: Effect of olive-mill waste addition</t>
  </si>
  <si>
    <t>S202</t>
  </si>
  <si>
    <t>Lashermes, G.; Houot, S.; Barriuso, E.</t>
  </si>
  <si>
    <t>10.1016/j.chemosphere.2010.01.041</t>
  </si>
  <si>
    <t>Sorption and mineralization of organic pollutants during different stages of composting</t>
  </si>
  <si>
    <t>Not in soil</t>
  </si>
  <si>
    <t>S203</t>
  </si>
  <si>
    <t>Wu, Chi; Liu, Xingang; Wu, Xiaohu; Dong, Fengshou; Xu, Jun; Zheng, Yongquan</t>
  </si>
  <si>
    <t>10.1016/j.scitotenv.2018.12.059</t>
  </si>
  <si>
    <t>Sorption, degradation and bioavailability of oxyfluorfen in biochar-amended soils</t>
  </si>
  <si>
    <t>S204</t>
  </si>
  <si>
    <t>López-Piñeiro, Antonio; Peña, David; Albarrán, Angel; Becerra, Daniel; Sánchez-Llerena, Javier</t>
  </si>
  <si>
    <t>10.1016/j.jenvman.2013.03.006</t>
  </si>
  <si>
    <t>Sorption, leaching and persistence of metribuzin in Mediterranean soils amended with olive mill waste of different degrees of organic matter maturity</t>
  </si>
  <si>
    <t>S205</t>
  </si>
  <si>
    <t>Obregón Alvarez, Dasiel; Mendes, Kassio Ferreira; Tosi, Micaela; Fonseca de Souza, Leandro; Campos Cedano, Johnny Carlos; de Souza Falcão, Newton Paulo; Dunfield, Kari; Tsai, Siu Mui; Tornisielo, Valdemar Luiz</t>
  </si>
  <si>
    <t>10.1016/j.ecoenv.2020.111222</t>
  </si>
  <si>
    <t>Sorption-desorption and biodegradation of sulfometuron-methyl and its effects on the bacterial communities in Amazonian soils amended with aged biochar</t>
  </si>
  <si>
    <t>S206</t>
  </si>
  <si>
    <t>Mukherjee, Santanu; Weihermüller, Lutz; Tappe, Wolfgang; Hofmann, Diana; Köppchen, Stephan; Laabs, Volker; Vereecken, Harry; Burauel, Peter</t>
  </si>
  <si>
    <t>10.1016/j.scitotenv.2016.03.145</t>
  </si>
  <si>
    <t>Sorption-desorption behaviour of bentazone, boscalid and pyrimethanil in biochar and digestate based soil mixtures for biopurification systems</t>
  </si>
  <si>
    <t>Not a degradation study</t>
  </si>
  <si>
    <t>S207</t>
  </si>
  <si>
    <t>Yang, Yatian; Zhang, Sufen; Yang, Jingying; Bai, Chan; Tang, Shenghua; Ye, Qingfu; Wang, Haiyan</t>
  </si>
  <si>
    <t>10.1016/j.scitotenv.2018.02.178</t>
  </si>
  <si>
    <t>Superabsorbent hydrogels coating increased degradation and decreased bound residues formation of carbendazim in soil</t>
  </si>
  <si>
    <t>Uses hydrogel as OA</t>
  </si>
  <si>
    <t>S208</t>
  </si>
  <si>
    <t>Doubi, Marwa; Rodríguez-Cruz, M. Sonia; Sánchez-Martín, María J.; Marín-Benito, Jesús M.</t>
  </si>
  <si>
    <t>10.1016/j.scitotenv.2024.174039</t>
  </si>
  <si>
    <t>Sustainable agricultural practices influence s-metolachlor, foramsulfuron and thiencarbazone-methyl degradation and their metabolites formation</t>
  </si>
  <si>
    <t>S209</t>
  </si>
  <si>
    <t>Udomkun, Patchimaporn; Rupngam, Thidarat; Boonupara, Thirasant; Kaewlom, Puangrat</t>
  </si>
  <si>
    <t>10.1016/j.hazadv.2025.100835</t>
  </si>
  <si>
    <t>Sustainable bioremediation of atrazine-contaminated soils via biochar and microbial ball co-amendments</t>
  </si>
  <si>
    <t>Journal of Hazardous Materials Advances</t>
  </si>
  <si>
    <t>S210</t>
  </si>
  <si>
    <t>Harindintwali, Jean Damascene; Wen, Xin; He, Chao; Zhao, Mingxu; Wang, Jianhao; Dou, Qingyuan; Xiang, Leilei; Fu, Yuhao; Alessi, Daniel S.; Jiang, Xin; Jiang, Jiandong; Wang, Fang</t>
  </si>
  <si>
    <t>10.1016/j.jenvman.2024.120951</t>
  </si>
  <si>
    <t>Synergistic mitigation of atrazine-induced oxidative stress on soybeans in black soil using biochar and Paenarthrobacter sp. AT5</t>
  </si>
  <si>
    <t>S211</t>
  </si>
  <si>
    <t>Kang, Zhichao; Li, Nannan; Han, Xuerong; Wang, Chenxu; Yue, Jing; Yu, Hongwen</t>
  </si>
  <si>
    <t>10.1016/j.envres.2025.122374</t>
  </si>
  <si>
    <t>Synergistically enhanced black soil conservation by Paenarthrobacter sp. KN0901 under straw amendment: dual promotion of atrazine degradation and nutrient retention</t>
  </si>
  <si>
    <t>S212</t>
  </si>
  <si>
    <t>Cabrera, Alegría; Cox, Lucía; Velarde, Pilar; Cornejo, Juan</t>
  </si>
  <si>
    <t>10.1080/03601230802388835</t>
  </si>
  <si>
    <t>Terbuthylazine persistence in an organic amended soil</t>
  </si>
  <si>
    <t>S213</t>
  </si>
  <si>
    <t>Baglieri, Andrea; Gennari, Mara; Arena, Maria; Abbate, Cristina</t>
  </si>
  <si>
    <t>10.1080/03601234.2011.583841</t>
  </si>
  <si>
    <t>The adsorption and degradation of chlorpyriphos-methyl, pendimethalin and metalaxyl in solid urban waste compost</t>
  </si>
  <si>
    <t>S214</t>
  </si>
  <si>
    <t>Erban, Tomas; Stehlik, Martin; Sopko, Bruno; Markovic, Martin; Seifrtova, Marcela; Halesova, Tatana; Kovaricek, Pavel</t>
  </si>
  <si>
    <t>10.1016/j.chemosphere.2018.05.004</t>
  </si>
  <si>
    <t>The different behaviors of glyphosate and AMPA in compost-amended soil</t>
  </si>
  <si>
    <t>S215</t>
  </si>
  <si>
    <t>Vischetti, Costantino; Monaci, Elga; Cardinali, Alessandra; Casucci, Cristiano; Perucci, Piero</t>
  </si>
  <si>
    <t>10.1016/j.chemosphere.2008.04.065</t>
  </si>
  <si>
    <t>The effect of initial concentration, co-application and repeated applications on pesticide degradation in a biobed mixture</t>
  </si>
  <si>
    <t>Not a soil but biomix study</t>
  </si>
  <si>
    <t>S216</t>
  </si>
  <si>
    <t>Shirani, Hossein; Zeraatkar, Mahboobeh Abolhasani; Hosseini, Seyed Ahmad; Sadr, Somayeh</t>
  </si>
  <si>
    <t>10.1007/s11270-025-08998-6</t>
  </si>
  <si>
    <t>The Effect of Organic Matter, Salinity and Soil Texture on the Degradation Rate of Glyphosate and Tribenuron-methyl Herbicides</t>
  </si>
  <si>
    <t>Maybe not the best data to use</t>
  </si>
  <si>
    <t>S217</t>
  </si>
  <si>
    <t>Lin, Jiajiang; Meng, Jun; He, Yan; Xu, Jianming; Chen, Zuliang; Brookes, Philip C.</t>
  </si>
  <si>
    <t>10.1016/j.envpol.2017.10.114</t>
  </si>
  <si>
    <t>The effects of different types of crop straw on the transformation of pentachlorophenol in flooded paddy soil</t>
  </si>
  <si>
    <t>S218</t>
  </si>
  <si>
    <t>Muter, Olga; Berzins, Andrejs; Strikauska, Silvija; Pugajeva, Iveta; Bartkevics, Vadims; Dobele, Galina; Truu, Jaak; Truu, Marika; Steiner, Christoph</t>
  </si>
  <si>
    <t>10.1016/j.ecoenv.2014.08.012</t>
  </si>
  <si>
    <t>The effects of woodchip- and straw-derived biochars on the persistence of the herbicide 4-chloro-2-methylphenoxyacetic acid (MCPA) in soils</t>
  </si>
  <si>
    <t>S219</t>
  </si>
  <si>
    <t>Yang, Fan; Zhang, Wei; Li, Jinmei; Wang, Shuyao; Tao, Yue; Wang, Yifan; Zhang, Ying</t>
  </si>
  <si>
    <t>10.1016/j.chemosphere.2017.09.022</t>
  </si>
  <si>
    <t>The enhancement of atrazine sorption and microbial transformation in biochars amended black soils</t>
  </si>
  <si>
    <t>S220</t>
  </si>
  <si>
    <t>Leland, Jarrod E.; Mullins, Donald E.; Berry, Duane F.</t>
  </si>
  <si>
    <t>10.1081/PFC-120025554</t>
  </si>
  <si>
    <t>The Fate of 14C-Diazinon in Compost, Compost-Amended Soil, and Uptake by Earthworms</t>
  </si>
  <si>
    <t>Not a soil degradation study</t>
  </si>
  <si>
    <t>S221</t>
  </si>
  <si>
    <t>Jemutai-Kimosop, Selly; Orata, Francis; Getenga, Zachary</t>
  </si>
  <si>
    <t>10.1007/s00128-012-0685-9</t>
  </si>
  <si>
    <t>The influence of filter mud compost and Tithonia diversifolia leaves on the dissipation of diuron in soils within the Nzoia River Drainage Basin, Kenya</t>
  </si>
  <si>
    <t>S222</t>
  </si>
  <si>
    <t>de Wilde, Tineke; Debaer, Christof; Ryckeboer, Jaak; Springael, Dirk; Spanoghe, Pieter</t>
  </si>
  <si>
    <t>10.1002/jsfa.3919</t>
  </si>
  <si>
    <t>The influence of small-and large-scale composting on the dissipation of pesticide residues in a biopurification matrix</t>
  </si>
  <si>
    <t>Does not include soil</t>
  </si>
  <si>
    <t>S223</t>
  </si>
  <si>
    <t>Hou, Xia; Ou, Yang; Wang, Xinhong; Liu, Huiping; Cheng, Lei; Yan, Liming</t>
  </si>
  <si>
    <t>10.1016/j.scitotenv.2024.175415</t>
  </si>
  <si>
    <t>The influence of vermicompost on atrazine microbial degradation performance and pathway in black soil, Northeast China</t>
  </si>
  <si>
    <t>S224</t>
  </si>
  <si>
    <t>García-Delgado, Carlos; Delgado-Moreno, Laura; Toro, Marta; Puñal, Marcos; Martín-Trueba, María; Eymar, Enrique; Ruíz, Ana I.</t>
  </si>
  <si>
    <t>10.1016/j.chemosphere.2023.140364</t>
  </si>
  <si>
    <t>The role of biochar and green compost amendments in the adsorption, leaching, and degradation of sulfamethoxazole in basic soil</t>
  </si>
  <si>
    <t>S225</t>
  </si>
  <si>
    <t>Marín-Benito, Jesús M.; Herrero-Hernández, Eliseo; Ordax, José M.; Sánchez-Martín, M. Jesús; Rodríguez-Cruz, M. Sonia</t>
  </si>
  <si>
    <t>10.1016/j.envres.2021.110871</t>
  </si>
  <si>
    <t>The role of two organic amendments to modify the environmental fate of S-metolachlor in agricultural soils</t>
  </si>
  <si>
    <t>S226</t>
  </si>
  <si>
    <t>Cheng, Lei; Wang, Lixia; Wang, Xinhong; Ou, Yang; Liu, Huiping; Hou, Xia; Yan, Liming; Li, Xinyi</t>
  </si>
  <si>
    <t>10.1016/j.chemosphere.2023.139325</t>
  </si>
  <si>
    <t>The various effect of cow manure compost on the degradation of imazethapyr in different soil types</t>
  </si>
  <si>
    <t>S227</t>
  </si>
  <si>
    <t>10.1021/jf4013949</t>
  </si>
  <si>
    <t>Typical azole biocides in biosolid-amended soils and plants following biosolid applications</t>
  </si>
  <si>
    <t>soil_properties</t>
  </si>
  <si>
    <t>One row per unique soil within a study. Always assign a Soil ID. even if only one soil is used.</t>
  </si>
  <si>
    <t>Soil ID</t>
  </si>
  <si>
    <t>Soil label in paper</t>
  </si>
  <si>
    <t>Soil collection site</t>
  </si>
  <si>
    <t>Geolocation coordinates</t>
  </si>
  <si>
    <t>Soil order/classification</t>
  </si>
  <si>
    <t>Texture class</t>
  </si>
  <si>
    <t>Clay (%)</t>
  </si>
  <si>
    <t>Silt (%)</t>
  </si>
  <si>
    <t>Sand (%)</t>
  </si>
  <si>
    <t>OC</t>
  </si>
  <si>
    <t>OC unit</t>
  </si>
  <si>
    <t>DOC</t>
  </si>
  <si>
    <t>DOC unit</t>
  </si>
  <si>
    <t>OM</t>
  </si>
  <si>
    <t>OM unit</t>
  </si>
  <si>
    <t>pH</t>
  </si>
  <si>
    <t>pH medium</t>
  </si>
  <si>
    <t>pH ratio</t>
  </si>
  <si>
    <t>EC</t>
  </si>
  <si>
    <t>EC unit</t>
  </si>
  <si>
    <t>CEC</t>
  </si>
  <si>
    <t>CEC unit</t>
  </si>
  <si>
    <t>Moisture</t>
  </si>
  <si>
    <t>Moisture unit</t>
  </si>
  <si>
    <t>WHC</t>
  </si>
  <si>
    <t>WHC unit</t>
  </si>
  <si>
    <t>Bulk density</t>
  </si>
  <si>
    <t>Bulk density unit</t>
  </si>
  <si>
    <t>CaCO3</t>
  </si>
  <si>
    <t>CaCO3 unit</t>
  </si>
  <si>
    <t>N total</t>
  </si>
  <si>
    <t>N total unit</t>
  </si>
  <si>
    <t>C/N</t>
  </si>
  <si>
    <t xml:space="preserve">P </t>
  </si>
  <si>
    <t>P unit</t>
  </si>
  <si>
    <t>NO3-N</t>
  </si>
  <si>
    <t>NO3-N unit</t>
  </si>
  <si>
    <t>NH4-N</t>
  </si>
  <si>
    <t>NH4-N unit</t>
  </si>
  <si>
    <t>N soluble/available</t>
  </si>
  <si>
    <t>N soluble/available unit</t>
  </si>
  <si>
    <t>P soluble/available</t>
  </si>
  <si>
    <t>P soluble/available unit</t>
  </si>
  <si>
    <t>S</t>
  </si>
  <si>
    <t>S unit</t>
  </si>
  <si>
    <t>S form</t>
  </si>
  <si>
    <t>K</t>
  </si>
  <si>
    <t>K unit</t>
  </si>
  <si>
    <t>Mg</t>
  </si>
  <si>
    <t>Mg unit</t>
  </si>
  <si>
    <t>Na</t>
  </si>
  <si>
    <t>Na unit</t>
  </si>
  <si>
    <t>Cu</t>
  </si>
  <si>
    <t>Cu unit</t>
  </si>
  <si>
    <t>Fe</t>
  </si>
  <si>
    <t>Fe unit</t>
  </si>
  <si>
    <t xml:space="preserve">Zn </t>
  </si>
  <si>
    <t>Zn unit</t>
  </si>
  <si>
    <t xml:space="preserve">DHA </t>
  </si>
  <si>
    <t>DHA unit</t>
  </si>
  <si>
    <t xml:space="preserve">Biomass </t>
  </si>
  <si>
    <t>Biomass unit</t>
  </si>
  <si>
    <t>humus</t>
  </si>
  <si>
    <t>humus unit</t>
  </si>
  <si>
    <t>S226_S1</t>
  </si>
  <si>
    <t>Black soil</t>
  </si>
  <si>
    <t>Changchun Agricultural Comprehensive
Experimental Station</t>
  </si>
  <si>
    <t>44.101530, 125.323537</t>
  </si>
  <si>
    <t>Clay loam</t>
  </si>
  <si>
    <t>g/kg</t>
  </si>
  <si>
    <t xml:space="preserve">H2O </t>
  </si>
  <si>
    <t>1:10 w/v</t>
  </si>
  <si>
    <t>g/m3</t>
  </si>
  <si>
    <t>mg/kg</t>
  </si>
  <si>
    <t>S226_S2</t>
  </si>
  <si>
    <t>Saline-alkali soil</t>
  </si>
  <si>
    <t>Dongying City, Shandong
Province, China</t>
  </si>
  <si>
    <t>37.561467, 118.742263</t>
  </si>
  <si>
    <t>S225_S1</t>
  </si>
  <si>
    <t>S3</t>
  </si>
  <si>
    <t>Salamanca (NW Spain)</t>
  </si>
  <si>
    <t>Clay sandy loam</t>
  </si>
  <si>
    <t xml:space="preserve">mg/g </t>
  </si>
  <si>
    <t>%</t>
  </si>
  <si>
    <t>cmol/kg</t>
  </si>
  <si>
    <t>S225_S2</t>
  </si>
  <si>
    <t>S8</t>
  </si>
  <si>
    <t>Sandy loam</t>
  </si>
  <si>
    <t>S224_S1</t>
  </si>
  <si>
    <t>Gumiel de Iz´an, Spain</t>
  </si>
  <si>
    <t>41.755833, -3.689444</t>
  </si>
  <si>
    <t>Loamy sand</t>
  </si>
  <si>
    <t>1:2.5 w/v</t>
  </si>
  <si>
    <t>dS/cm</t>
  </si>
  <si>
    <t>S223_S1</t>
  </si>
  <si>
    <t>Changchun City, Jilin Province, Northeast China</t>
  </si>
  <si>
    <t>43.999747, 125.395252</t>
  </si>
  <si>
    <t>Loam</t>
  </si>
  <si>
    <t>S221_S1</t>
  </si>
  <si>
    <t>Nzoia River Drainage Basin (NRDB) in Kenya</t>
  </si>
  <si>
    <t>0.833453, 35.158323</t>
  </si>
  <si>
    <t>S219_S1</t>
  </si>
  <si>
    <t>HT</t>
  </si>
  <si>
    <t>Harbin, Heilongjiang Province, northeast China</t>
  </si>
  <si>
    <t>45.722759, 126.432022</t>
  </si>
  <si>
    <t>Clay</t>
  </si>
  <si>
    <t>S219_S2</t>
  </si>
  <si>
    <t>ST</t>
  </si>
  <si>
    <t>Shuangcheng, Heilongjiang Province, northeast China</t>
  </si>
  <si>
    <t>45.387832, 126.221662</t>
  </si>
  <si>
    <t>S218_S1</t>
  </si>
  <si>
    <t>Loamy sand soil</t>
  </si>
  <si>
    <t xml:space="preserve">Loamy sand </t>
  </si>
  <si>
    <t xml:space="preserve">KCl 1M </t>
  </si>
  <si>
    <t>1:5 w/v</t>
  </si>
  <si>
    <t>mS/cm</t>
  </si>
  <si>
    <t>g/cm3</t>
  </si>
  <si>
    <t>S218_S2</t>
  </si>
  <si>
    <t>Sand soil</t>
  </si>
  <si>
    <t>S217_S1</t>
  </si>
  <si>
    <t>Red soil</t>
  </si>
  <si>
    <t>Plinthudult</t>
  </si>
  <si>
    <t>Silty clay</t>
  </si>
  <si>
    <t>SO4</t>
  </si>
  <si>
    <t>S217_S2</t>
  </si>
  <si>
    <t>Latosol</t>
  </si>
  <si>
    <t>Troupudult</t>
  </si>
  <si>
    <t>S216_S1</t>
  </si>
  <si>
    <t>Rafsanjan region of Kerman province</t>
  </si>
  <si>
    <t>dS/m</t>
  </si>
  <si>
    <t>S216_S2</t>
  </si>
  <si>
    <t>Loamy clay</t>
  </si>
  <si>
    <t>S211_S1</t>
  </si>
  <si>
    <t>Northeast Institute of Geography and Agroecology, Changchun, Jilin Province, China</t>
  </si>
  <si>
    <t>44.000000, 125.395556</t>
  </si>
  <si>
    <t>Silt loam</t>
  </si>
  <si>
    <t>mgC/kg</t>
  </si>
  <si>
    <t>S210_S1</t>
  </si>
  <si>
    <t>S208_S1</t>
  </si>
  <si>
    <t>S1</t>
  </si>
  <si>
    <t>Munovela experimental farm</t>
  </si>
  <si>
    <t xml:space="preserve">Sandy loam </t>
  </si>
  <si>
    <t>mg/g</t>
  </si>
  <si>
    <t>S208_S2</t>
  </si>
  <si>
    <t>S2</t>
  </si>
  <si>
    <t>S205_S1</t>
  </si>
  <si>
    <t>Soil</t>
  </si>
  <si>
    <t>Experimental Station of Tropical Fruits, National Institute of Amazonian Research (INPA), located in Manaus, Brazil</t>
  </si>
  <si>
    <t>-2.620000, -60.040833</t>
  </si>
  <si>
    <t>Ferralsol</t>
  </si>
  <si>
    <t>CaCl2</t>
  </si>
  <si>
    <t>mmol/dm3</t>
  </si>
  <si>
    <t>mg/dm3</t>
  </si>
  <si>
    <t>S204_S1</t>
  </si>
  <si>
    <t>Extremadura, Spain</t>
  </si>
  <si>
    <t>38.9000, -6.9000</t>
  </si>
  <si>
    <t>Typic Xerofluvent</t>
  </si>
  <si>
    <t>1:1 w/v</t>
  </si>
  <si>
    <t>mgINTF/g/h</t>
  </si>
  <si>
    <t>S204_S2</t>
  </si>
  <si>
    <t>38.9000, -6.8833</t>
  </si>
  <si>
    <t>Dystric Xeropsament</t>
  </si>
  <si>
    <t>S204_S3</t>
  </si>
  <si>
    <t>38.8000, -7.1000</t>
  </si>
  <si>
    <t>Chromic Haploxerert</t>
  </si>
  <si>
    <t>S204_S4</t>
  </si>
  <si>
    <t>S4</t>
  </si>
  <si>
    <t>Alentejo, Portugal</t>
  </si>
  <si>
    <t>38.8833, -6.9833</t>
  </si>
  <si>
    <t>Typic Haploxeralf</t>
  </si>
  <si>
    <t>Sandy clay loam</t>
  </si>
  <si>
    <t>S203_S1</t>
  </si>
  <si>
    <t>HNS</t>
  </si>
  <si>
    <t>Langfang, Hebei, China</t>
  </si>
  <si>
    <t>39.5000, 116.6000</t>
  </si>
  <si>
    <t>S203_S2</t>
  </si>
  <si>
    <t>HBS</t>
  </si>
  <si>
    <t>Changsha, Hunan, China</t>
  </si>
  <si>
    <t>39.5000, 116.600</t>
  </si>
  <si>
    <t>S203_S3</t>
  </si>
  <si>
    <t>DBS</t>
  </si>
  <si>
    <t>Harbin, Heilongjiang, China</t>
  </si>
  <si>
    <t>45.7833, 126.4833</t>
  </si>
  <si>
    <t>S201_S1</t>
  </si>
  <si>
    <t>Coria del Río, Seville, Spain</t>
  </si>
  <si>
    <t>37.283333, -6.066111</t>
  </si>
  <si>
    <t>Calcic Cambisol</t>
  </si>
  <si>
    <t>uS/cm</t>
  </si>
  <si>
    <t>S200_S1</t>
  </si>
  <si>
    <t>Clay loam soil</t>
  </si>
  <si>
    <t>S001_S1</t>
  </si>
  <si>
    <t>Newdale Clay Loam</t>
  </si>
  <si>
    <t>southern Manitoba, Canada</t>
  </si>
  <si>
    <t>S001_S2</t>
  </si>
  <si>
    <t>Newdale Sandy Clay Loam</t>
  </si>
  <si>
    <t>S001_S3</t>
  </si>
  <si>
    <t>Wellwood Silty Loam</t>
  </si>
  <si>
    <t>Sandy silt</t>
  </si>
  <si>
    <t>S001_S4</t>
  </si>
  <si>
    <t>Long Plain Sandy Loam</t>
  </si>
  <si>
    <t>S003_S1</t>
  </si>
  <si>
    <t>Non bioactive soils (NB)</t>
  </si>
  <si>
    <t>suburban field Guandong Ocean University</t>
  </si>
  <si>
    <t>110.314439, 21.152797</t>
  </si>
  <si>
    <t>S003_S2</t>
  </si>
  <si>
    <t>Original soils (OS)</t>
  </si>
  <si>
    <t>S004_S1</t>
  </si>
  <si>
    <t>arable field, Chuncheon, Korea</t>
  </si>
  <si>
    <t>37.868307, 127.802544</t>
  </si>
  <si>
    <t>µS/cm</t>
  </si>
  <si>
    <t>S008_S1</t>
  </si>
  <si>
    <t>Inceptisol</t>
  </si>
  <si>
    <t>Xinxiang</t>
  </si>
  <si>
    <t>113.8, 35.45</t>
  </si>
  <si>
    <t>S009_S1</t>
  </si>
  <si>
    <t>Guadalajara</t>
  </si>
  <si>
    <t>S009_S2</t>
  </si>
  <si>
    <t>Madrid</t>
  </si>
  <si>
    <t>S009_S3</t>
  </si>
  <si>
    <t>Soil amended during 8 years</t>
  </si>
  <si>
    <t>Soil amended with 12000kg/ha sewage sludges</t>
  </si>
  <si>
    <t>S011_S1</t>
  </si>
  <si>
    <t>Clay Ultisol</t>
  </si>
  <si>
    <t>Alajuela, Costa Rica</t>
  </si>
  <si>
    <t>S013_S1</t>
  </si>
  <si>
    <t>agricultural fields in Yuhang district, Hangzhou</t>
  </si>
  <si>
    <t>30.65, 120.46</t>
  </si>
  <si>
    <t>I don't have access to supplementary data</t>
  </si>
  <si>
    <t>S199_S1</t>
  </si>
  <si>
    <t>southern Spain</t>
  </si>
  <si>
    <t>37.281806, -6.066389</t>
  </si>
  <si>
    <t>S197_S1</t>
  </si>
  <si>
    <t>Loamy soil</t>
  </si>
  <si>
    <t>Valenzano, Italy</t>
  </si>
  <si>
    <t>41.044054, 16.871329</t>
  </si>
  <si>
    <t>S193_S1</t>
  </si>
  <si>
    <t>Viiçosa, MG, Brazil</t>
  </si>
  <si>
    <t>-20.768056, -42.868889</t>
  </si>
  <si>
    <t>Oxisol</t>
  </si>
  <si>
    <t xml:space="preserve">Sandy clay </t>
  </si>
  <si>
    <t>S019_S1</t>
  </si>
  <si>
    <t>Zamora, Spain</t>
  </si>
  <si>
    <t>H2O</t>
  </si>
  <si>
    <t>Cmol/kg</t>
  </si>
  <si>
    <t>S192_S1</t>
  </si>
  <si>
    <t>Munovela, Salamanca, Spain</t>
  </si>
  <si>
    <t>Eutric-Chromic Cambisol</t>
  </si>
  <si>
    <t>S191_S1</t>
  </si>
  <si>
    <t>Scheyern, Germany</t>
  </si>
  <si>
    <t>48.500000, 11.350000</t>
  </si>
  <si>
    <t>Luvisol</t>
  </si>
  <si>
    <t>S020_S1</t>
  </si>
  <si>
    <t>Beijing, China</t>
  </si>
  <si>
    <t>39.932449, 116.026660</t>
  </si>
  <si>
    <t>S187_S1</t>
  </si>
  <si>
    <t>AL</t>
  </si>
  <si>
    <t>Southern Spain</t>
  </si>
  <si>
    <t>1:2 w/v</t>
  </si>
  <si>
    <t>S187_S2</t>
  </si>
  <si>
    <t>P2</t>
  </si>
  <si>
    <t>S187_S3</t>
  </si>
  <si>
    <t>P10</t>
  </si>
  <si>
    <t>S021_S1</t>
  </si>
  <si>
    <t>25 years Isoproturon soil</t>
  </si>
  <si>
    <t>Warwick University, UK</t>
  </si>
  <si>
    <t>S185_S1</t>
  </si>
  <si>
    <t>South-eastern Spain</t>
  </si>
  <si>
    <t>37.372058, -3.601539</t>
  </si>
  <si>
    <t>Silty clay loam</t>
  </si>
  <si>
    <t>S022_S1</t>
  </si>
  <si>
    <t>Paddy soil</t>
  </si>
  <si>
    <t>Sevilla, Spain</t>
  </si>
  <si>
    <t>37.2, -5.78</t>
  </si>
  <si>
    <t>2:5 w/v</t>
  </si>
  <si>
    <t>S022_S2</t>
  </si>
  <si>
    <t>Galicia, Spain</t>
  </si>
  <si>
    <t>43.23, -8.26</t>
  </si>
  <si>
    <t>S181_S1</t>
  </si>
  <si>
    <t>Harbin City, Heilongjiang Province</t>
  </si>
  <si>
    <t>44.066667, 125.700000</t>
  </si>
  <si>
    <t>S179_S1</t>
  </si>
  <si>
    <t>F0</t>
  </si>
  <si>
    <t>S177_S1</t>
  </si>
  <si>
    <t>Soil1</t>
  </si>
  <si>
    <t>Ampelies, Edessa, Greece</t>
  </si>
  <si>
    <t>S177_S2</t>
  </si>
  <si>
    <t>Soil 2</t>
  </si>
  <si>
    <t>Velestino,Volos, Greece</t>
  </si>
  <si>
    <t>nd</t>
  </si>
  <si>
    <t>S176_S1</t>
  </si>
  <si>
    <t>S023_S1</t>
  </si>
  <si>
    <t>Spain</t>
  </si>
  <si>
    <t>Typic Haploxerept</t>
  </si>
  <si>
    <t>S024_S1</t>
  </si>
  <si>
    <t>southwestern Spain</t>
  </si>
  <si>
    <t>S026_S1</t>
  </si>
  <si>
    <t>Qingdao</t>
  </si>
  <si>
    <t>S027_S1</t>
  </si>
  <si>
    <t>38.9, -6.9</t>
  </si>
  <si>
    <t>S027_S2</t>
  </si>
  <si>
    <t>38..9 -6.3</t>
  </si>
  <si>
    <t>S027_S3</t>
  </si>
  <si>
    <t>39 , -7.1</t>
  </si>
  <si>
    <t>S027_S4</t>
  </si>
  <si>
    <t>Alentejo, Spain</t>
  </si>
  <si>
    <t>38.89, -6.94</t>
  </si>
  <si>
    <t>S175_S1</t>
  </si>
  <si>
    <t>Sandy loam soil</t>
  </si>
  <si>
    <t>Shaheed Bhagat Singh Nagar, Punjab</t>
  </si>
  <si>
    <t>31.145278°N, 75.978611°E</t>
  </si>
  <si>
    <t>S028_S1</t>
  </si>
  <si>
    <t>Badajoz, Spain</t>
  </si>
  <si>
    <t>1:2 w/w</t>
  </si>
  <si>
    <t>S174_S1</t>
  </si>
  <si>
    <t>district Swat, Pakistan</t>
  </si>
  <si>
    <t>35.2227 N, 72.4258 E</t>
  </si>
  <si>
    <t>mmol/L</t>
  </si>
  <si>
    <t>S173_S1</t>
  </si>
  <si>
    <t>Atwater loamy sand</t>
  </si>
  <si>
    <t>San Joaquin Valley, California</t>
  </si>
  <si>
    <t>S173_S2</t>
  </si>
  <si>
    <t>Hanford sandy loam</t>
  </si>
  <si>
    <t>S173_S3</t>
  </si>
  <si>
    <t>Madera loam</t>
  </si>
  <si>
    <t>S034_S1</t>
  </si>
  <si>
    <t>Belgian soil</t>
  </si>
  <si>
    <t>Beverst, Belgium</t>
  </si>
  <si>
    <t>Gleyic Luvisol</t>
  </si>
  <si>
    <t>was exposed to 30 years of Atrazine application</t>
  </si>
  <si>
    <t>S034_S2</t>
  </si>
  <si>
    <t>Brazilian soil</t>
  </si>
  <si>
    <t>Campinas do Sul, in southern Brazil</t>
  </si>
  <si>
    <t>Rhodic Ferralsol</t>
  </si>
  <si>
    <t>was exposed to 20 years of Atrazine application</t>
  </si>
  <si>
    <t>S037_S1</t>
  </si>
  <si>
    <t>New Delhi, India</t>
  </si>
  <si>
    <t>S172_S1</t>
  </si>
  <si>
    <t>O Porrino, Pontevedra, Galicia, Spain)</t>
  </si>
  <si>
    <t>42.153913 N, -8.647288 W</t>
  </si>
  <si>
    <t>S171_S1</t>
  </si>
  <si>
    <t>Garden soil</t>
  </si>
  <si>
    <t>Garden Block of National Botanic Research Institute, Lucknow</t>
  </si>
  <si>
    <t>26.926695, 80.792156</t>
  </si>
  <si>
    <t>S170_S1</t>
  </si>
  <si>
    <t>Leon, in Spain</t>
  </si>
  <si>
    <t>meq/100g</t>
  </si>
  <si>
    <t>S039_S1</t>
  </si>
  <si>
    <t>Guru Jambheshwar Girls’ Hostel</t>
  </si>
  <si>
    <t>kg/ha</t>
  </si>
  <si>
    <t>S043_S1</t>
  </si>
  <si>
    <t>BM1</t>
  </si>
  <si>
    <t>mS/m</t>
  </si>
  <si>
    <t>soil without pesticide history</t>
  </si>
  <si>
    <t>S043_S2</t>
  </si>
  <si>
    <t>BM2</t>
  </si>
  <si>
    <t>soil with 12 years glyphosate history</t>
  </si>
  <si>
    <t>S043_S3</t>
  </si>
  <si>
    <t>BM3</t>
  </si>
  <si>
    <t>soil with 5 years glyphosate history</t>
  </si>
  <si>
    <t>S043_S4</t>
  </si>
  <si>
    <t>BM4</t>
  </si>
  <si>
    <t>soil with 1tricyclazole history</t>
  </si>
  <si>
    <t>S169_S1</t>
  </si>
  <si>
    <t>Orthic luvisol</t>
  </si>
  <si>
    <t>S168_S1</t>
  </si>
  <si>
    <t>Craibstone Field Station in Aberdeen</t>
  </si>
  <si>
    <t>CaCl2 0.01M</t>
  </si>
  <si>
    <t>ug/g</t>
  </si>
  <si>
    <t>S167_S1</t>
  </si>
  <si>
    <t>Aldearrubia (Salamanca,Spain)</t>
  </si>
  <si>
    <t>S166_S1</t>
  </si>
  <si>
    <t>cmol/lg</t>
  </si>
  <si>
    <t>g/cm</t>
  </si>
  <si>
    <t>S164_S1</t>
  </si>
  <si>
    <t>Guadalquivir river valley, Southern Spain</t>
  </si>
  <si>
    <t>37.231944°N, 6.142222°W</t>
  </si>
  <si>
    <t>Fluvisol</t>
  </si>
  <si>
    <t>mg/L</t>
  </si>
  <si>
    <t>S163_S1</t>
  </si>
  <si>
    <t>g/mL</t>
  </si>
  <si>
    <t>S162_S1</t>
  </si>
  <si>
    <t>S057_S1</t>
  </si>
  <si>
    <t>Elvas, Portugal</t>
  </si>
  <si>
    <t>38530 N; 790 W</t>
  </si>
  <si>
    <t>Cutanic Luvisol</t>
  </si>
  <si>
    <t>S160_S1</t>
  </si>
  <si>
    <t>Crop Diversification Centre at Carberry, Manitoba, Canada</t>
  </si>
  <si>
    <t>Orthic Black Chernozemic</t>
  </si>
  <si>
    <t xml:space="preserve">Sily clay loam </t>
  </si>
  <si>
    <t>S158_S1</t>
  </si>
  <si>
    <t>Pinghu,Zhejiangprovince,SoutheastChina</t>
  </si>
  <si>
    <t>S155_S1</t>
  </si>
  <si>
    <t>Wellesbourne campus of Warwick University, Warwick shire UK</t>
  </si>
  <si>
    <t>S154_S1</t>
  </si>
  <si>
    <t>RS</t>
  </si>
  <si>
    <t>Nanchang city of Jiangxi Province, southeast China</t>
  </si>
  <si>
    <t>S154_S2</t>
  </si>
  <si>
    <t>BS</t>
  </si>
  <si>
    <t>wheat field near Haerbin city of Heilongjiang Province, northeast China</t>
  </si>
  <si>
    <t>S154_S3</t>
  </si>
  <si>
    <t>PS</t>
  </si>
  <si>
    <t>paddy soil collected from a paddy field near Wuxi city of Jiangsu Province, east China</t>
  </si>
  <si>
    <t>S153_S1</t>
  </si>
  <si>
    <t>MostpriBratislaveinthe ˇZitny´ ostrov region,Slovakia</t>
  </si>
  <si>
    <t>481080 65000 N, 171140 96500 E</t>
  </si>
  <si>
    <t>Calcaric Fluvisol</t>
  </si>
  <si>
    <t>S151_S1</t>
  </si>
  <si>
    <t>Badajoz, South-Western Spain</t>
  </si>
  <si>
    <t>38.800000°N, 7.100000°W</t>
  </si>
  <si>
    <t>S061_S1</t>
  </si>
  <si>
    <t>Zhejiang Province, China</t>
  </si>
  <si>
    <t>S149_S1</t>
  </si>
  <si>
    <t>Pinghu, Zhejiang Province, Southeast China</t>
  </si>
  <si>
    <t>S063_S1</t>
  </si>
  <si>
    <t>FELCRA Seberang Perak</t>
  </si>
  <si>
    <t>4° 7´ North, 101° 4´ East</t>
  </si>
  <si>
    <t>S143_S1</t>
  </si>
  <si>
    <t>Sajazarra, La Rioja, Spain</t>
  </si>
  <si>
    <t>42.350000°N, 2.570000°W</t>
  </si>
  <si>
    <t>Typic Calcixerept</t>
  </si>
  <si>
    <t>S064_S1</t>
  </si>
  <si>
    <t>soil</t>
  </si>
  <si>
    <t>Uppsala, Sweden</t>
  </si>
  <si>
    <t>59.864466, 17.743589</t>
  </si>
  <si>
    <t>S140_S1</t>
  </si>
  <si>
    <t>SS</t>
  </si>
  <si>
    <t>Coria del Rio (Sevilla, Spain</t>
  </si>
  <si>
    <t xml:space="preserve">Sandy </t>
  </si>
  <si>
    <t>S140_S2</t>
  </si>
  <si>
    <t>SC</t>
  </si>
  <si>
    <t>Mengı´bar (Jaen, Spain</t>
  </si>
  <si>
    <t xml:space="preserve">Silty clay </t>
  </si>
  <si>
    <t>S137_S1</t>
  </si>
  <si>
    <t>south-east of Spain</t>
  </si>
  <si>
    <t>37.372058°N, 3.601539°W</t>
  </si>
  <si>
    <t>S135_S1</t>
  </si>
  <si>
    <t>CS</t>
  </si>
  <si>
    <t>old Bailín landfill</t>
  </si>
  <si>
    <t>S135_S2</t>
  </si>
  <si>
    <t>S132_S1</t>
  </si>
  <si>
    <t>Filoncia loam</t>
  </si>
  <si>
    <t>S132_S2</t>
  </si>
  <si>
    <t>Molinaccio</t>
  </si>
  <si>
    <t>S131_S1</t>
  </si>
  <si>
    <t>Olive orchard in Seville, Spain</t>
  </si>
  <si>
    <t>S129_S1</t>
  </si>
  <si>
    <t>Beijing province</t>
  </si>
  <si>
    <t>Fluvo-aquic soil</t>
  </si>
  <si>
    <t>loamy sand</t>
  </si>
  <si>
    <t>S129_S2</t>
  </si>
  <si>
    <t>Zhejiang province</t>
  </si>
  <si>
    <t>Lateritic red soil</t>
  </si>
  <si>
    <t>S123_S1</t>
  </si>
  <si>
    <t>Jiangsu Academy of Agricultural Sciences ­</t>
  </si>
  <si>
    <t>22.802340, 108.188040</t>
  </si>
  <si>
    <t>S116_S1</t>
  </si>
  <si>
    <t>Assisi, Central Italy</t>
  </si>
  <si>
    <t>Calcaric cambisol</t>
  </si>
  <si>
    <t>S130_S1</t>
  </si>
  <si>
    <t>SL</t>
  </si>
  <si>
    <t>Jeollabuk province, Republic of Korea</t>
  </si>
  <si>
    <t>S130_S2</t>
  </si>
  <si>
    <t>L</t>
  </si>
  <si>
    <t>S067_S1</t>
  </si>
  <si>
    <t>Bonn, Germany</t>
  </si>
  <si>
    <t>mg INF kg- i dry soil 4 h - l</t>
  </si>
  <si>
    <t>S121_S1</t>
  </si>
  <si>
    <t>MS</t>
  </si>
  <si>
    <t>Hebei</t>
  </si>
  <si>
    <t>39°30’N,116°36’E</t>
  </si>
  <si>
    <t>S121_S2</t>
  </si>
  <si>
    <t>Hunan</t>
  </si>
  <si>
    <t>28°12’N,113°5’E</t>
  </si>
  <si>
    <t>S121_S3</t>
  </si>
  <si>
    <t>Hielongjiang</t>
  </si>
  <si>
    <t>51°55’N,124°35’E</t>
  </si>
  <si>
    <t>S141_S1</t>
  </si>
  <si>
    <t>RefeSol 01-A,Fraunhofer Institute for Molecular Ecology, Germany</t>
  </si>
  <si>
    <t>Dystric cambisol</t>
  </si>
  <si>
    <t>S068_S1</t>
  </si>
  <si>
    <t>Inceptisol soil</t>
  </si>
  <si>
    <t>New Dehli, India</t>
  </si>
  <si>
    <t>S068_S2</t>
  </si>
  <si>
    <t>Ultisol soil</t>
  </si>
  <si>
    <t>Karnataka, India</t>
  </si>
  <si>
    <t>Ultisol</t>
  </si>
  <si>
    <t>S111_S1</t>
  </si>
  <si>
    <t>Chinese Academy of Agricultural Sciences in Langfang, Hebei province of China</t>
  </si>
  <si>
    <t>S109_S1</t>
  </si>
  <si>
    <t>Mollisol</t>
  </si>
  <si>
    <t>S073_S1</t>
  </si>
  <si>
    <t>Dengta City, China</t>
  </si>
  <si>
    <t>S107_S1</t>
  </si>
  <si>
    <t>Chromic cambisol</t>
  </si>
  <si>
    <t>S107_S2</t>
  </si>
  <si>
    <t>Chromic vertisol</t>
  </si>
  <si>
    <t>S105_S1</t>
  </si>
  <si>
    <t>farm of Guangxi University in Nanning City of Guangxi Zhuang Autonomous Region, PRC</t>
  </si>
  <si>
    <t>22.860269, 108.468343</t>
  </si>
  <si>
    <t>g/lkg</t>
  </si>
  <si>
    <t>S104_S1</t>
  </si>
  <si>
    <t>University if California, Riverside, Agricultural Experiment Station</t>
  </si>
  <si>
    <t>Haplic Durixeralf</t>
  </si>
  <si>
    <t>S075_S1</t>
  </si>
  <si>
    <t>Kaldenkirchen, Germany</t>
  </si>
  <si>
    <t>51°19′13N and 6°11′47E</t>
  </si>
  <si>
    <t xml:space="preserve">CaCl2 </t>
  </si>
  <si>
    <t>S076_S1</t>
  </si>
  <si>
    <t>Aldeanueva de Ebro (La Rioja, Spain)</t>
  </si>
  <si>
    <t>S081_S1</t>
  </si>
  <si>
    <t>LB</t>
  </si>
  <si>
    <t>Länna, Sweden</t>
  </si>
  <si>
    <t>59° 52′ N, 17° 58′ E</t>
  </si>
  <si>
    <t>historically charcoal-enriched</t>
  </si>
  <si>
    <t>S081_S2</t>
  </si>
  <si>
    <t>S081_S3</t>
  </si>
  <si>
    <t>U</t>
  </si>
  <si>
    <t>Ulleråker, Sweden</t>
  </si>
  <si>
    <t>59° 49′ N, 17° 39′ E</t>
  </si>
  <si>
    <t>S083_S1</t>
  </si>
  <si>
    <t>1:1.25 w/v</t>
  </si>
  <si>
    <t>S085_S1</t>
  </si>
  <si>
    <t>Region de Los Ríos, in southern Chile</t>
  </si>
  <si>
    <t>40° 03′ 34″S; 72° 32′ 46″ W</t>
  </si>
  <si>
    <t>Andisol</t>
  </si>
  <si>
    <t>S086_S1</t>
  </si>
  <si>
    <t>southern Chile, Futrono locality</t>
  </si>
  <si>
    <t>S087_S1</t>
  </si>
  <si>
    <t>Castilla–Leon region (NW-Spain)</t>
  </si>
  <si>
    <t>41° 38′ 34″N latitude and 4° 9′ 27″ W longitude</t>
  </si>
  <si>
    <t>Typic Xerorthent</t>
  </si>
  <si>
    <t>S093_S1</t>
  </si>
  <si>
    <t>Birtle History</t>
  </si>
  <si>
    <t>Manitoba, Canada</t>
  </si>
  <si>
    <t>101◦05 W, 50◦42 N</t>
  </si>
  <si>
    <t>Orthic Black Chernozems</t>
  </si>
  <si>
    <t>&gt;60</t>
  </si>
  <si>
    <t>µg/g</t>
  </si>
  <si>
    <t>historical annual application around  60,000 L ha−1 for 40 years</t>
  </si>
  <si>
    <t>S093_S2</t>
  </si>
  <si>
    <t>Neepawa History</t>
  </si>
  <si>
    <t>99◦47 W, 50◦23 N</t>
  </si>
  <si>
    <t>historical every 2 years application around  60,000 L ha−1 for 35 years</t>
  </si>
  <si>
    <t>S093_S3</t>
  </si>
  <si>
    <t>Decker History</t>
  </si>
  <si>
    <t>100◦78 W, 50◦27 N</t>
  </si>
  <si>
    <t>historical annual application around  60,000 L ha−1 for 10 years</t>
  </si>
  <si>
    <t>S093_S4</t>
  </si>
  <si>
    <t>Birtle Control</t>
  </si>
  <si>
    <t>S093_S5</t>
  </si>
  <si>
    <t>Neepawa Control</t>
  </si>
  <si>
    <t>S093_S6</t>
  </si>
  <si>
    <t>Decker Control</t>
  </si>
  <si>
    <t>S094_S1</t>
  </si>
  <si>
    <t>Soil 1</t>
  </si>
  <si>
    <t>Birbhum Distt., West Bengal</t>
  </si>
  <si>
    <t>laterite soil</t>
  </si>
  <si>
    <t>Silty loam</t>
  </si>
  <si>
    <t>S094_S2</t>
  </si>
  <si>
    <t>Mandya Distt., Karnataka</t>
  </si>
  <si>
    <t>red soil</t>
  </si>
  <si>
    <t>S095_S1</t>
  </si>
  <si>
    <t>Seville, Spain</t>
  </si>
  <si>
    <t>S097_S1</t>
  </si>
  <si>
    <t>g/cm^3</t>
  </si>
  <si>
    <t>S098_S1</t>
  </si>
  <si>
    <t>IIT, New Delhi</t>
  </si>
  <si>
    <t>kgP/ha</t>
  </si>
  <si>
    <t>ppm</t>
  </si>
  <si>
    <t>S100_S1</t>
  </si>
  <si>
    <t>S010_S1</t>
  </si>
  <si>
    <t>SCS</t>
  </si>
  <si>
    <t>Meghalaya, India</t>
  </si>
  <si>
    <t>25◦280 N, 92◦080E</t>
  </si>
  <si>
    <t>µg/kg</t>
  </si>
  <si>
    <t>S010_S2</t>
  </si>
  <si>
    <t>SLS</t>
  </si>
  <si>
    <t>Lucknow, India</t>
  </si>
  <si>
    <t>26◦53′41′′N, 80◦58′50′′E</t>
  </si>
  <si>
    <t>S010_S3</t>
  </si>
  <si>
    <t>26◦53′40′′ N, 80◦50′ 0′′ E</t>
  </si>
  <si>
    <t>Sandy clay</t>
  </si>
  <si>
    <t>S032_S1</t>
  </si>
  <si>
    <t>Zhanjiang City, Guangdong Province, China</t>
  </si>
  <si>
    <t>(N: 21 110 ◦ ◦ 04’1.85", E: 19’27.86"</t>
  </si>
  <si>
    <t>S015_S1</t>
  </si>
  <si>
    <t>former agricultural pharmaceutical factory in Wuxi, China</t>
  </si>
  <si>
    <t>31.645531, 120.347220</t>
  </si>
  <si>
    <t>S079_S1</t>
  </si>
  <si>
    <t>soybean field in Piatt County, Illinois</t>
  </si>
  <si>
    <t>S090_S1</t>
  </si>
  <si>
    <t>t Changchun City, Jilin Province, China</t>
  </si>
  <si>
    <t>44°23′52″N, 125°10′2″ E</t>
  </si>
  <si>
    <t>S084_S1</t>
  </si>
  <si>
    <t>Silt Loam</t>
  </si>
  <si>
    <t>S084_S2</t>
  </si>
  <si>
    <t>Alfisol</t>
  </si>
  <si>
    <t>S084_S3</t>
  </si>
  <si>
    <t>Vertisol</t>
  </si>
  <si>
    <t>amendment_properties</t>
  </si>
  <si>
    <t>One row per unique amendment-treatment combination within a study. Use AM0 for the control (no amendment). Different amendment rates get different Amendment IDs.</t>
  </si>
  <si>
    <t>Amendment ID</t>
  </si>
  <si>
    <t>Amendment label in paper</t>
  </si>
  <si>
    <t>Amendment category</t>
  </si>
  <si>
    <t>Amendment type</t>
  </si>
  <si>
    <t>Control?</t>
  </si>
  <si>
    <t>Origin/material</t>
  </si>
  <si>
    <t>Biochar feed</t>
  </si>
  <si>
    <t>Biochar temperature</t>
  </si>
  <si>
    <t>Application Rate</t>
  </si>
  <si>
    <t>Application Rate unit</t>
  </si>
  <si>
    <t>Application basis</t>
  </si>
  <si>
    <t>Application method</t>
  </si>
  <si>
    <t>Application depth (cm)</t>
  </si>
  <si>
    <t xml:space="preserve">OC </t>
  </si>
  <si>
    <t xml:space="preserve">DOC </t>
  </si>
  <si>
    <t xml:space="preserve">OM </t>
  </si>
  <si>
    <t>Moisture content</t>
  </si>
  <si>
    <t>Moisture content unit</t>
  </si>
  <si>
    <t xml:space="preserve">C </t>
  </si>
  <si>
    <t>C unit</t>
  </si>
  <si>
    <t xml:space="preserve">N </t>
  </si>
  <si>
    <t>N unit</t>
  </si>
  <si>
    <t>C:N ratio</t>
  </si>
  <si>
    <t>H</t>
  </si>
  <si>
    <t>H unit</t>
  </si>
  <si>
    <t>H/C</t>
  </si>
  <si>
    <t>O</t>
  </si>
  <si>
    <t>O unit</t>
  </si>
  <si>
    <t>Ash</t>
  </si>
  <si>
    <t>Ash unit</t>
  </si>
  <si>
    <t>Dry matter</t>
  </si>
  <si>
    <t>Dry matter unit</t>
  </si>
  <si>
    <t>Pore volume</t>
  </si>
  <si>
    <t>Pore volume unit</t>
  </si>
  <si>
    <t>Pore diameter</t>
  </si>
  <si>
    <t>Pore diameter unit</t>
  </si>
  <si>
    <t>Specific surfcae area</t>
  </si>
  <si>
    <t>Specific surfcae area unit</t>
  </si>
  <si>
    <t>Particule size</t>
  </si>
  <si>
    <t>Particule size unit</t>
  </si>
  <si>
    <t>P</t>
  </si>
  <si>
    <t>Ca</t>
  </si>
  <si>
    <t>Ca unit</t>
  </si>
  <si>
    <t>Si</t>
  </si>
  <si>
    <t>Si unit</t>
  </si>
  <si>
    <t>Al</t>
  </si>
  <si>
    <t>Al unit</t>
  </si>
  <si>
    <t>Colony counts</t>
  </si>
  <si>
    <t>Colony counts unit</t>
  </si>
  <si>
    <t>S226_AM0</t>
  </si>
  <si>
    <t>S226_AM1</t>
  </si>
  <si>
    <t>CWM</t>
  </si>
  <si>
    <t>Compost</t>
  </si>
  <si>
    <t>Cow manure and corn stalks mixed at volume ration 1:3</t>
  </si>
  <si>
    <t>S225_AM0</t>
  </si>
  <si>
    <t xml:space="preserve">% (w/w) </t>
  </si>
  <si>
    <t>dry weight</t>
  </si>
  <si>
    <t>Uniformly mixed into the soil</t>
  </si>
  <si>
    <t>(1:2.5 w/v)</t>
  </si>
  <si>
    <t>S225_AM1</t>
  </si>
  <si>
    <t>GC</t>
  </si>
  <si>
    <t>Composted plant waste from pruning</t>
  </si>
  <si>
    <t>S225_AM2</t>
  </si>
  <si>
    <t>PM</t>
  </si>
  <si>
    <t>Manure</t>
  </si>
  <si>
    <t>Sheep-pig-chicken manure 3-4-9</t>
  </si>
  <si>
    <t>S224_AM0</t>
  </si>
  <si>
    <t>S224_AM1</t>
  </si>
  <si>
    <t>BC</t>
  </si>
  <si>
    <t>Carbonized amendment</t>
  </si>
  <si>
    <t>Biochar</t>
  </si>
  <si>
    <t>Holm oat pruning 500 C</t>
  </si>
  <si>
    <t>Oak</t>
  </si>
  <si>
    <t>w/w</t>
  </si>
  <si>
    <t>S224_AM2</t>
  </si>
  <si>
    <t>pruning of plants and trees in parks and gardens of Madrid aerobically composted</t>
  </si>
  <si>
    <t>S223_AM0</t>
  </si>
  <si>
    <t>S223_AM1</t>
  </si>
  <si>
    <t>V</t>
  </si>
  <si>
    <t>Vermicompost</t>
  </si>
  <si>
    <t>Commercially obtained from Xianglong Earthworm Farm in Xinxiang City. Produced by Eisenia Foetida</t>
  </si>
  <si>
    <t>(1:10 w/v)</t>
  </si>
  <si>
    <t>S221_AM0</t>
  </si>
  <si>
    <t>S221_AM1</t>
  </si>
  <si>
    <t>TD</t>
  </si>
  <si>
    <t>Green waste</t>
  </si>
  <si>
    <t>T.diversifolia leaves</t>
  </si>
  <si>
    <t>t/ha</t>
  </si>
  <si>
    <t>S221_AM2</t>
  </si>
  <si>
    <t>FMC</t>
  </si>
  <si>
    <t>Filter mud compost from Nzioa Sugar Company</t>
  </si>
  <si>
    <t>S219_AM0</t>
  </si>
  <si>
    <t>S219_AM1</t>
  </si>
  <si>
    <t>BC350</t>
  </si>
  <si>
    <t xml:space="preserve">Wheat straw </t>
  </si>
  <si>
    <t>Wheat straw</t>
  </si>
  <si>
    <t>cm3/g</t>
  </si>
  <si>
    <t>m2/g</t>
  </si>
  <si>
    <t>S219_AM2</t>
  </si>
  <si>
    <t>BC700</t>
  </si>
  <si>
    <t>S218_AM0</t>
  </si>
  <si>
    <t>S218_AM1</t>
  </si>
  <si>
    <t>W</t>
  </si>
  <si>
    <t>Wood chip</t>
  </si>
  <si>
    <t>m3/g</t>
  </si>
  <si>
    <t>nm</t>
  </si>
  <si>
    <t>S218_AM2</t>
  </si>
  <si>
    <t>St</t>
  </si>
  <si>
    <t>Straw pellet biochar</t>
  </si>
  <si>
    <t>Straw pellet</t>
  </si>
  <si>
    <t>S217_AM0</t>
  </si>
  <si>
    <t>S217_AM1</t>
  </si>
  <si>
    <t>Straw</t>
  </si>
  <si>
    <t>S217_AM2</t>
  </si>
  <si>
    <t>Rice straw</t>
  </si>
  <si>
    <t>S217_AM3</t>
  </si>
  <si>
    <t>Rape straw</t>
  </si>
  <si>
    <t>S217_AM4</t>
  </si>
  <si>
    <t>Chineese milk vetch straw</t>
  </si>
  <si>
    <t>S216_AM0</t>
  </si>
  <si>
    <t>S216_AM1</t>
  </si>
  <si>
    <t>Cow manure</t>
  </si>
  <si>
    <t>S216_AM2</t>
  </si>
  <si>
    <t>Municipal waste</t>
  </si>
  <si>
    <t>S216_AM3</t>
  </si>
  <si>
    <t>S216_AM4</t>
  </si>
  <si>
    <t>Pistachio pulp</t>
  </si>
  <si>
    <t>Agro-industrial by-product</t>
  </si>
  <si>
    <t>S211_AM0</t>
  </si>
  <si>
    <t>S211_AM1</t>
  </si>
  <si>
    <t>Maize straw</t>
  </si>
  <si>
    <t>S210_AM0</t>
  </si>
  <si>
    <t>S210_AM1</t>
  </si>
  <si>
    <t>cm3/kg</t>
  </si>
  <si>
    <t>A</t>
  </si>
  <si>
    <t>Micropore volume</t>
  </si>
  <si>
    <t>S208_AM0</t>
  </si>
  <si>
    <t>S208_AM1</t>
  </si>
  <si>
    <t>S205_AM0</t>
  </si>
  <si>
    <t>S205_AM1</t>
  </si>
  <si>
    <t>Waste of the industrial charcoral production (300 -500C)</t>
  </si>
  <si>
    <t>Charcoral production waste</t>
  </si>
  <si>
    <t>300-500</t>
  </si>
  <si>
    <t>S205_AM2</t>
  </si>
  <si>
    <t>S204_AM0</t>
  </si>
  <si>
    <t>S204_AM1</t>
  </si>
  <si>
    <t>OW</t>
  </si>
  <si>
    <t>Olive mill waste</t>
  </si>
  <si>
    <t>(1:5 w/v)</t>
  </si>
  <si>
    <t>S204_AM2</t>
  </si>
  <si>
    <t>COW</t>
  </si>
  <si>
    <t>Composted olive mill waste</t>
  </si>
  <si>
    <t>S204_AM3</t>
  </si>
  <si>
    <t>S204_AM4</t>
  </si>
  <si>
    <t>S203_AM0</t>
  </si>
  <si>
    <t>S203_AM1</t>
  </si>
  <si>
    <t>BCR0.5</t>
  </si>
  <si>
    <t>Rice hull</t>
  </si>
  <si>
    <t>S203_AM2</t>
  </si>
  <si>
    <t>BCR1</t>
  </si>
  <si>
    <t>S203_AM3</t>
  </si>
  <si>
    <t>BCR2</t>
  </si>
  <si>
    <t>S201_AM0</t>
  </si>
  <si>
    <t>S201_AM1</t>
  </si>
  <si>
    <t>OMW</t>
  </si>
  <si>
    <t>S201_AM2</t>
  </si>
  <si>
    <t>S200_AM0</t>
  </si>
  <si>
    <t>S200_AM1</t>
  </si>
  <si>
    <t>Composted sheep manure</t>
  </si>
  <si>
    <t>Sheep manure compost</t>
  </si>
  <si>
    <t>(1:1 w/v)</t>
  </si>
  <si>
    <t>S200_AM2</t>
  </si>
  <si>
    <t>Sugar beet vinasse</t>
  </si>
  <si>
    <t>Vinasse</t>
  </si>
  <si>
    <t>Sugar beet vinasse from Azucarera del Ebro</t>
  </si>
  <si>
    <t xml:space="preserve">% </t>
  </si>
  <si>
    <t>v/w</t>
  </si>
  <si>
    <t>S001_AM0</t>
  </si>
  <si>
    <t>S001_AM1</t>
  </si>
  <si>
    <t>Hog manure</t>
  </si>
  <si>
    <t>hog manure from a manure storage pit for a sow barn</t>
  </si>
  <si>
    <t>mL/kg</t>
  </si>
  <si>
    <t>kg/L</t>
  </si>
  <si>
    <t>&lt;0.1</t>
  </si>
  <si>
    <t>S001_AM2</t>
  </si>
  <si>
    <t>S001_AM3</t>
  </si>
  <si>
    <t>S001_AM4</t>
  </si>
  <si>
    <t>municipal biosolids</t>
  </si>
  <si>
    <t>Solid waste</t>
  </si>
  <si>
    <t>Biosolids</t>
  </si>
  <si>
    <t>biosolids from City of Winnipeg North End Water Pollution Control Center in Winnipeg</t>
  </si>
  <si>
    <t>S001_AM5</t>
  </si>
  <si>
    <t>S001_AM6</t>
  </si>
  <si>
    <t>S003_AM0</t>
  </si>
  <si>
    <t>S003_AM1</t>
  </si>
  <si>
    <t>Goat production unit near Guandong Ocean University</t>
  </si>
  <si>
    <t>S003_AM2</t>
  </si>
  <si>
    <t>SM</t>
  </si>
  <si>
    <t>S004_AM0</t>
  </si>
  <si>
    <t>30% wtaer</t>
  </si>
  <si>
    <t>S004_AM1</t>
  </si>
  <si>
    <t>compost + 30% water</t>
  </si>
  <si>
    <t>Commercial organic compost</t>
  </si>
  <si>
    <t>S004_AM2</t>
  </si>
  <si>
    <t>S008_AM0</t>
  </si>
  <si>
    <t>S008_AM1</t>
  </si>
  <si>
    <t>Chicken manure</t>
  </si>
  <si>
    <t>chicken farm in Kaifeng</t>
  </si>
  <si>
    <t>S008_AM2</t>
  </si>
  <si>
    <t>S008_AM3</t>
  </si>
  <si>
    <t>S008_AM4</t>
  </si>
  <si>
    <t>Biogas slurry</t>
  </si>
  <si>
    <t>Other</t>
  </si>
  <si>
    <t>Slurry</t>
  </si>
  <si>
    <t>household biogas digester</t>
  </si>
  <si>
    <t>S008_AM5</t>
  </si>
  <si>
    <t>S009_AM0</t>
  </si>
  <si>
    <t>S009_AM1</t>
  </si>
  <si>
    <t>compost 8% (80g/kg)</t>
  </si>
  <si>
    <t>mixture of sewage sludges</t>
  </si>
  <si>
    <t>S009_AM2</t>
  </si>
  <si>
    <t>compost 2.5%(25g/kg)</t>
  </si>
  <si>
    <t>S011_AM0</t>
  </si>
  <si>
    <t>S011_AM1</t>
  </si>
  <si>
    <t>PS (300°)</t>
  </si>
  <si>
    <t>Torrefied material</t>
  </si>
  <si>
    <t>Pineapple stubble</t>
  </si>
  <si>
    <t>kg/m²</t>
  </si>
  <si>
    <t>S011_AM2</t>
  </si>
  <si>
    <t>PS (600°)</t>
  </si>
  <si>
    <t>S011_AM3</t>
  </si>
  <si>
    <t>PF (300°)</t>
  </si>
  <si>
    <t>Palm oil fiber</t>
  </si>
  <si>
    <t>S011_AM4</t>
  </si>
  <si>
    <t>PF (600°)</t>
  </si>
  <si>
    <t>S011_AM5</t>
  </si>
  <si>
    <t>CH (300°)</t>
  </si>
  <si>
    <t>Coffee hulls</t>
  </si>
  <si>
    <t>S011_AM6</t>
  </si>
  <si>
    <t>CH (600°)</t>
  </si>
  <si>
    <t>S011_AM7</t>
  </si>
  <si>
    <t>S011_AM8</t>
  </si>
  <si>
    <t>S011_AM9</t>
  </si>
  <si>
    <t>S011_AM10</t>
  </si>
  <si>
    <t>S011_AM11</t>
  </si>
  <si>
    <t>S011_AM12</t>
  </si>
  <si>
    <t>S013_AM0</t>
  </si>
  <si>
    <t>S013_AM1</t>
  </si>
  <si>
    <t>m²/g</t>
  </si>
  <si>
    <t>0.25-2.00</t>
  </si>
  <si>
    <t>mm</t>
  </si>
  <si>
    <t>S013_AM2</t>
  </si>
  <si>
    <t>CM</t>
  </si>
  <si>
    <t>S013_AM3</t>
  </si>
  <si>
    <t>Corn straw</t>
  </si>
  <si>
    <t>S013_AM4</t>
  </si>
  <si>
    <t>TR</t>
  </si>
  <si>
    <t>Tire rubber</t>
  </si>
  <si>
    <t>S013_AM5</t>
  </si>
  <si>
    <t>SARS</t>
  </si>
  <si>
    <t>Rice straw steam activated</t>
  </si>
  <si>
    <t>S013_AM6</t>
  </si>
  <si>
    <t>SACM</t>
  </si>
  <si>
    <t>Chicken manure steam activated</t>
  </si>
  <si>
    <t>S013_AM7</t>
  </si>
  <si>
    <t>SACS</t>
  </si>
  <si>
    <t>Corn straw steam activated</t>
  </si>
  <si>
    <t>S013_AM8</t>
  </si>
  <si>
    <t>SATR</t>
  </si>
  <si>
    <t>Tire rubber steam activated</t>
  </si>
  <si>
    <t>S199_AM0</t>
  </si>
  <si>
    <t>N</t>
  </si>
  <si>
    <t>S199_AM1</t>
  </si>
  <si>
    <t>(1:200 w/v)</t>
  </si>
  <si>
    <t>S199_AM2</t>
  </si>
  <si>
    <t>OMWc</t>
  </si>
  <si>
    <t xml:space="preserve">Olive mill waste </t>
  </si>
  <si>
    <t>S199_AM3</t>
  </si>
  <si>
    <t>S197_AM0</t>
  </si>
  <si>
    <t>S197_AM1</t>
  </si>
  <si>
    <t>Grapevine pruning 550C</t>
  </si>
  <si>
    <t>Grapewine pruning</t>
  </si>
  <si>
    <t>S197_AM2</t>
  </si>
  <si>
    <t>HC</t>
  </si>
  <si>
    <t>Hydrochar</t>
  </si>
  <si>
    <t>Urban pruning residues</t>
  </si>
  <si>
    <t>S197_AM3</t>
  </si>
  <si>
    <t>Greenery waste, crop residues, wood processing waste</t>
  </si>
  <si>
    <t>S193_AM0</t>
  </si>
  <si>
    <t>S193_AM1</t>
  </si>
  <si>
    <t>Sugarcane straw</t>
  </si>
  <si>
    <t>S193_AM2</t>
  </si>
  <si>
    <t>S193_AM3</t>
  </si>
  <si>
    <t>S193_AM4</t>
  </si>
  <si>
    <t>S193_AM5</t>
  </si>
  <si>
    <t>S193_AM6</t>
  </si>
  <si>
    <t>S193_AM7</t>
  </si>
  <si>
    <t>BC550</t>
  </si>
  <si>
    <t>S193_AM8</t>
  </si>
  <si>
    <t>S193_AM9</t>
  </si>
  <si>
    <t>S193_AM10</t>
  </si>
  <si>
    <t>S193_AM11</t>
  </si>
  <si>
    <t>S193_AM12</t>
  </si>
  <si>
    <t>S193_AM13</t>
  </si>
  <si>
    <t>BC750</t>
  </si>
  <si>
    <t>S193_AM14</t>
  </si>
  <si>
    <t>S193_AM15</t>
  </si>
  <si>
    <t>S193_AM16</t>
  </si>
  <si>
    <t>S193_AM17</t>
  </si>
  <si>
    <t>S193_AM18</t>
  </si>
  <si>
    <t>S019_AM0</t>
  </si>
  <si>
    <t>S019_AM1</t>
  </si>
  <si>
    <t>Sludge</t>
  </si>
  <si>
    <t>S019_AM2</t>
  </si>
  <si>
    <t>C</t>
  </si>
  <si>
    <t>Green compost</t>
  </si>
  <si>
    <t>S192_AM0</t>
  </si>
  <si>
    <t>S192_AM1</t>
  </si>
  <si>
    <t>SMS</t>
  </si>
  <si>
    <t>Spent mushroom substrate  from Agaricus bisporus and Pleurotus ostreatus (2:1) cultivation</t>
  </si>
  <si>
    <t>S192_AM2</t>
  </si>
  <si>
    <t>vegetal residue from the pruning of plants and trees in parks andgardens</t>
  </si>
  <si>
    <t>S191_AM0</t>
  </si>
  <si>
    <t>S191_AM1</t>
  </si>
  <si>
    <t>Corn litter</t>
  </si>
  <si>
    <t>One-to-one mixture of chopped maize leaves and stems</t>
  </si>
  <si>
    <t>Added on top of soil cores</t>
  </si>
  <si>
    <t>S020_AM0</t>
  </si>
  <si>
    <t>Treatment CK</t>
  </si>
  <si>
    <t>S020_AM1</t>
  </si>
  <si>
    <t>Treatment LA</t>
  </si>
  <si>
    <t>sewage sludge management plant</t>
  </si>
  <si>
    <t>S187_AM0</t>
  </si>
  <si>
    <t>S187_AM1</t>
  </si>
  <si>
    <t>SF</t>
  </si>
  <si>
    <t>Olive-millling solid waste</t>
  </si>
  <si>
    <t>(1:2 w/v)</t>
  </si>
  <si>
    <t>S187_AM2</t>
  </si>
  <si>
    <t>LF</t>
  </si>
  <si>
    <t>Olive-millling liquid waste</t>
  </si>
  <si>
    <t>S187_AM3</t>
  </si>
  <si>
    <t>Olive oil production industry residue</t>
  </si>
  <si>
    <t>S021_AM0</t>
  </si>
  <si>
    <t>0% BC</t>
  </si>
  <si>
    <t>S021_AM1</t>
  </si>
  <si>
    <t>0.1% BC</t>
  </si>
  <si>
    <t>Red gum wood</t>
  </si>
  <si>
    <t>2.5-4</t>
  </si>
  <si>
    <t>S021_AM2</t>
  </si>
  <si>
    <t>1% BC</t>
  </si>
  <si>
    <t>S021_AM3</t>
  </si>
  <si>
    <t>2% BC</t>
  </si>
  <si>
    <t>S185_AM0</t>
  </si>
  <si>
    <t>S185_AM1</t>
  </si>
  <si>
    <t>S185_AM2</t>
  </si>
  <si>
    <t>S022_AM0</t>
  </si>
  <si>
    <t>S022_AM1</t>
  </si>
  <si>
    <t>Alperujo compost (40%)</t>
  </si>
  <si>
    <t>(2:5 w/v)</t>
  </si>
  <si>
    <t>S022_AM2</t>
  </si>
  <si>
    <t>Alperujo compost (60%)</t>
  </si>
  <si>
    <t>S022_AM3</t>
  </si>
  <si>
    <t>biochar (5%)</t>
  </si>
  <si>
    <t>Holm oak</t>
  </si>
  <si>
    <t>S022_AM4</t>
  </si>
  <si>
    <t>biochar (10%)</t>
  </si>
  <si>
    <t>S181_AM0</t>
  </si>
  <si>
    <t>S181_AM1</t>
  </si>
  <si>
    <t>Bagasse pyrolyzed at 550</t>
  </si>
  <si>
    <t>Bagasse</t>
  </si>
  <si>
    <t>S181_AM2</t>
  </si>
  <si>
    <t>CABC</t>
  </si>
  <si>
    <t>Bagasse pyrolyzed at 550 modified with Citric Acid</t>
  </si>
  <si>
    <t>S179_AM0</t>
  </si>
  <si>
    <t>S179_AM1</t>
  </si>
  <si>
    <t>Fertiormont</t>
  </si>
  <si>
    <t>Humic amendment</t>
  </si>
  <si>
    <t>Fertiormont, Fertilizantes Montano, Antequera, Spain</t>
  </si>
  <si>
    <t>S179_AM2</t>
  </si>
  <si>
    <t>S177_AM0</t>
  </si>
  <si>
    <t>v/v</t>
  </si>
  <si>
    <t>S177_AM1</t>
  </si>
  <si>
    <t>S177_AM2</t>
  </si>
  <si>
    <t>Compost 1</t>
  </si>
  <si>
    <t>S023_AM0</t>
  </si>
  <si>
    <t>S023_AM1</t>
  </si>
  <si>
    <t>pruning of plants</t>
  </si>
  <si>
    <t>S024_AM0</t>
  </si>
  <si>
    <t>S024_AM1</t>
  </si>
  <si>
    <t>0.5% SS</t>
  </si>
  <si>
    <t>sewage sludge</t>
  </si>
  <si>
    <t>S024_AM2</t>
  </si>
  <si>
    <t>2% SS</t>
  </si>
  <si>
    <t>S024_AM3</t>
  </si>
  <si>
    <t>4% SS</t>
  </si>
  <si>
    <t>S024_AM4</t>
  </si>
  <si>
    <t>0.5% USR</t>
  </si>
  <si>
    <t>reactor with  food residues</t>
  </si>
  <si>
    <t>S024_AM5</t>
  </si>
  <si>
    <t>2% USR</t>
  </si>
  <si>
    <t>S024_AM6</t>
  </si>
  <si>
    <t>4% USR</t>
  </si>
  <si>
    <t>S026_AM0</t>
  </si>
  <si>
    <t>T</t>
  </si>
  <si>
    <t>S026_AM1</t>
  </si>
  <si>
    <t>straw derived biochar</t>
  </si>
  <si>
    <t>S027_AM0</t>
  </si>
  <si>
    <t>S027_AM1</t>
  </si>
  <si>
    <t>OW2.5</t>
  </si>
  <si>
    <t>S027_AM2</t>
  </si>
  <si>
    <t>OW5</t>
  </si>
  <si>
    <t>S027_AM3</t>
  </si>
  <si>
    <t>COW2.5</t>
  </si>
  <si>
    <t>9:1 (OW/Olive leaves)</t>
  </si>
  <si>
    <t>S027_AM4</t>
  </si>
  <si>
    <t>COW5</t>
  </si>
  <si>
    <t>S027_AM5</t>
  </si>
  <si>
    <t>OW10</t>
  </si>
  <si>
    <t>S175_AM0</t>
  </si>
  <si>
    <t>S175_AM1</t>
  </si>
  <si>
    <t>URS</t>
  </si>
  <si>
    <t>S175_AM2</t>
  </si>
  <si>
    <t>S175_AM3</t>
  </si>
  <si>
    <t>S175_AM4</t>
  </si>
  <si>
    <t>350BC</t>
  </si>
  <si>
    <t>Rice straw carbonized at 350C</t>
  </si>
  <si>
    <t>S175_AM5</t>
  </si>
  <si>
    <t>S175_AM6</t>
  </si>
  <si>
    <t>S175_AM7</t>
  </si>
  <si>
    <t>550BC</t>
  </si>
  <si>
    <t>Rice straw carbonized at 550C</t>
  </si>
  <si>
    <t>S175_AM8</t>
  </si>
  <si>
    <t>S175_AM9</t>
  </si>
  <si>
    <t>S175_AM10</t>
  </si>
  <si>
    <t>CBC</t>
  </si>
  <si>
    <t>Rice straw carbonized at 380-400C in abscence of oxygen</t>
  </si>
  <si>
    <t>S175_AM11</t>
  </si>
  <si>
    <t>S175_AM12</t>
  </si>
  <si>
    <t>S028_AM0</t>
  </si>
  <si>
    <t>S028_AM1</t>
  </si>
  <si>
    <t>SOMW2</t>
  </si>
  <si>
    <t>Alperujo</t>
  </si>
  <si>
    <t>(1:2 w/w)</t>
  </si>
  <si>
    <t>S028_AM2</t>
  </si>
  <si>
    <t>S174_AM0</t>
  </si>
  <si>
    <t>T1</t>
  </si>
  <si>
    <t>S174_AM1</t>
  </si>
  <si>
    <t>T3</t>
  </si>
  <si>
    <t>Farmyard manure</t>
  </si>
  <si>
    <t>S173_AM0</t>
  </si>
  <si>
    <t>S173_AM1</t>
  </si>
  <si>
    <t>Composted steer manure</t>
  </si>
  <si>
    <t>S173_AM2</t>
  </si>
  <si>
    <t>Composted chicken manure</t>
  </si>
  <si>
    <t>S173_AM3</t>
  </si>
  <si>
    <t>One-Earth organic compost</t>
  </si>
  <si>
    <t>S173_AM4</t>
  </si>
  <si>
    <t>OSH organic compost</t>
  </si>
  <si>
    <t>S173_AM5</t>
  </si>
  <si>
    <t>Grape pomace</t>
  </si>
  <si>
    <t>S034_AM0</t>
  </si>
  <si>
    <t>S034_AM1</t>
  </si>
  <si>
    <t>0.5% biochar</t>
  </si>
  <si>
    <t>Dynamotive USA, McLean, VA, USA)</t>
  </si>
  <si>
    <t>Hardwood</t>
  </si>
  <si>
    <t>450-500</t>
  </si>
  <si>
    <t>S034_AM2</t>
  </si>
  <si>
    <t>1% biochar</t>
  </si>
  <si>
    <t>S034_AM3</t>
  </si>
  <si>
    <t>5% biochar</t>
  </si>
  <si>
    <t>S037_AM0</t>
  </si>
  <si>
    <t>T-0</t>
  </si>
  <si>
    <t>S037_AM1</t>
  </si>
  <si>
    <t>T-1</t>
  </si>
  <si>
    <t>Uttar Pradesh, India</t>
  </si>
  <si>
    <t>(1:2.5 w/w)</t>
  </si>
  <si>
    <t>S037_AM2</t>
  </si>
  <si>
    <t>T-2</t>
  </si>
  <si>
    <t>S172_AM0</t>
  </si>
  <si>
    <t>S172_AM1</t>
  </si>
  <si>
    <t>Biostabilized A</t>
  </si>
  <si>
    <t>Composite amendment</t>
  </si>
  <si>
    <t>30% paper mill sludge, 10% wastewater sludge, 2% chicken manure, and 8% industrial wastewater sludge</t>
  </si>
  <si>
    <t>S172_AM2</t>
  </si>
  <si>
    <t>Biostabilized B</t>
  </si>
  <si>
    <t>18% paper mill sludge, 5% wastewater sludge, 7% chicken manure, 15% industrial wastewater sludge, and 5% biochar</t>
  </si>
  <si>
    <t>S171_AM0</t>
  </si>
  <si>
    <t>S171_AM1</t>
  </si>
  <si>
    <t>ligno-cellulosic residue of cane stalks left over after the crushing and extraction of the juice from the sugar cane</t>
  </si>
  <si>
    <t>S171_AM2</t>
  </si>
  <si>
    <t>S171_AM3</t>
  </si>
  <si>
    <t>S171_AM4</t>
  </si>
  <si>
    <t>S171_AM5</t>
  </si>
  <si>
    <t>S170_AM0</t>
  </si>
  <si>
    <t>S170_AM1</t>
  </si>
  <si>
    <t>Sludge SSf</t>
  </si>
  <si>
    <t>food processing plant</t>
  </si>
  <si>
    <t>S170_AM2</t>
  </si>
  <si>
    <t>Sludge SSu</t>
  </si>
  <si>
    <t>Leon city waste water treatment plant</t>
  </si>
  <si>
    <t>S039_AM0</t>
  </si>
  <si>
    <t>S039_AM1</t>
  </si>
  <si>
    <t>FM</t>
  </si>
  <si>
    <t>Farm manure</t>
  </si>
  <si>
    <t>S039_AM2</t>
  </si>
  <si>
    <t>S039_AM3</t>
  </si>
  <si>
    <t>Mushroom spent</t>
  </si>
  <si>
    <t>S043_AM0</t>
  </si>
  <si>
    <t>S043_AM1</t>
  </si>
  <si>
    <t>WBC1</t>
  </si>
  <si>
    <t>Wheat biochar</t>
  </si>
  <si>
    <t>S043_AM2</t>
  </si>
  <si>
    <t>WBC5</t>
  </si>
  <si>
    <t>S169_AM0</t>
  </si>
  <si>
    <t>S169_AM1</t>
  </si>
  <si>
    <t>S167_AM0</t>
  </si>
  <si>
    <t>S167_AM1</t>
  </si>
  <si>
    <t>S+P</t>
  </si>
  <si>
    <t>Pine sawdust</t>
  </si>
  <si>
    <t>S167_AM2</t>
  </si>
  <si>
    <t>S+O</t>
  </si>
  <si>
    <t>Oak sawdust</t>
  </si>
  <si>
    <t>S166_AM0</t>
  </si>
  <si>
    <t>Untreated soil</t>
  </si>
  <si>
    <t>S166_AM1</t>
  </si>
  <si>
    <t>S166_AM2</t>
  </si>
  <si>
    <t>FYM amendment</t>
  </si>
  <si>
    <t>S166_AM3</t>
  </si>
  <si>
    <t>Charcoral</t>
  </si>
  <si>
    <t>S166_AM4</t>
  </si>
  <si>
    <t>Sea babul leaves</t>
  </si>
  <si>
    <t>S164_AM0</t>
  </si>
  <si>
    <t>S164_AM1</t>
  </si>
  <si>
    <t>AC</t>
  </si>
  <si>
    <t>residue from the olive oil industry, alperujo, previously composted with straw and sheep manure</t>
  </si>
  <si>
    <t>S163_AM0</t>
  </si>
  <si>
    <t>S163_AM1</t>
  </si>
  <si>
    <t>10 cm top layer</t>
  </si>
  <si>
    <t>S163_AM2</t>
  </si>
  <si>
    <t>PC</t>
  </si>
  <si>
    <t>Poultry compost</t>
  </si>
  <si>
    <t>S163_AM3</t>
  </si>
  <si>
    <t>USS</t>
  </si>
  <si>
    <t>Urban sewage sludge</t>
  </si>
  <si>
    <t>S162_AM0</t>
  </si>
  <si>
    <t>S162_AM1</t>
  </si>
  <si>
    <t>S162_AM2</t>
  </si>
  <si>
    <t>S162_AM3</t>
  </si>
  <si>
    <t>S057_AM0</t>
  </si>
  <si>
    <t>DW0C</t>
  </si>
  <si>
    <t>S057_AM1</t>
  </si>
  <si>
    <t>DW5</t>
  </si>
  <si>
    <t>de-oiled two-phase olive mill waste</t>
  </si>
  <si>
    <t>S057_AM2</t>
  </si>
  <si>
    <t>DW10</t>
  </si>
  <si>
    <t>S160_AM0</t>
  </si>
  <si>
    <t>S160_AM1</t>
  </si>
  <si>
    <t>Wheat</t>
  </si>
  <si>
    <t>wheat (Triticum aestivum)</t>
  </si>
  <si>
    <t>S160_AM2</t>
  </si>
  <si>
    <t>S160_AM3</t>
  </si>
  <si>
    <t>S160_AM4</t>
  </si>
  <si>
    <t>S160_AM5</t>
  </si>
  <si>
    <t>Oats</t>
  </si>
  <si>
    <t>oats (Avena sativa)</t>
  </si>
  <si>
    <t>S160_AM6</t>
  </si>
  <si>
    <t>S160_AM7</t>
  </si>
  <si>
    <t>S160_AM8</t>
  </si>
  <si>
    <t>S160_AM9</t>
  </si>
  <si>
    <t>Canola</t>
  </si>
  <si>
    <t>canola (Brassica napus)</t>
  </si>
  <si>
    <t>S160_AM10</t>
  </si>
  <si>
    <t>S160_AM11</t>
  </si>
  <si>
    <t>S160_AM12</t>
  </si>
  <si>
    <t>S160_AM13</t>
  </si>
  <si>
    <t>Potato</t>
  </si>
  <si>
    <t>leaves and stems of potato (Solanum tuberosum)</t>
  </si>
  <si>
    <t>S160_AM14</t>
  </si>
  <si>
    <t>S160_AM15</t>
  </si>
  <si>
    <t>S160_AM16</t>
  </si>
  <si>
    <t>S160_AM17</t>
  </si>
  <si>
    <t>Alfalfa</t>
  </si>
  <si>
    <t xml:space="preserve">alfalfa (Medicago sativa) </t>
  </si>
  <si>
    <t>S160_AM18</t>
  </si>
  <si>
    <t>S160_AM19</t>
  </si>
  <si>
    <t>S160_AM20</t>
  </si>
  <si>
    <t>S158_AM0</t>
  </si>
  <si>
    <t>S158_AM1</t>
  </si>
  <si>
    <t>BM</t>
  </si>
  <si>
    <t>Bovine manure from a farmhouse, composted and matured for 6 months.</t>
  </si>
  <si>
    <t>S155_AM0</t>
  </si>
  <si>
    <t>S155_AM1</t>
  </si>
  <si>
    <t>BC 0.1</t>
  </si>
  <si>
    <t>red gum wood (Eucalyptus dunni ) biochar, produced at 500 C</t>
  </si>
  <si>
    <t>S155_AM2</t>
  </si>
  <si>
    <t>BC 1</t>
  </si>
  <si>
    <t>S155_AM3</t>
  </si>
  <si>
    <t>BC 2</t>
  </si>
  <si>
    <t>S154_AM0</t>
  </si>
  <si>
    <t>S154_AM1</t>
  </si>
  <si>
    <t>red gum woodchips pyrolyzed at 450 _x0003_C</t>
  </si>
  <si>
    <t>S153_AM0</t>
  </si>
  <si>
    <t>S153_AM1</t>
  </si>
  <si>
    <t>Wheat straw, pyrolized at 300C</t>
  </si>
  <si>
    <t>S151_AM0</t>
  </si>
  <si>
    <t>S151_AM1</t>
  </si>
  <si>
    <t>oiled two-phase olive mill waste, OW</t>
  </si>
  <si>
    <t>S151_AM2</t>
  </si>
  <si>
    <t>S151_AM3</t>
  </si>
  <si>
    <t>DW2.5</t>
  </si>
  <si>
    <t xml:space="preserve">solid residue de-oiled two-phase olive mill waste </t>
  </si>
  <si>
    <t>S151_AM4</t>
  </si>
  <si>
    <t>S061_AM0</t>
  </si>
  <si>
    <t>S061_AM1</t>
  </si>
  <si>
    <t>Fertilizer</t>
  </si>
  <si>
    <t>mmol/L for 600g</t>
  </si>
  <si>
    <t>S149_AM0</t>
  </si>
  <si>
    <t>S149_AM1</t>
  </si>
  <si>
    <t>Bovine manure composted</t>
  </si>
  <si>
    <t>S149_AM2</t>
  </si>
  <si>
    <t>S063_AM0</t>
  </si>
  <si>
    <t>S063_AM1</t>
  </si>
  <si>
    <t>RH</t>
  </si>
  <si>
    <t xml:space="preserve">Rice husk </t>
  </si>
  <si>
    <t>S063_AM2</t>
  </si>
  <si>
    <t>EFB</t>
  </si>
  <si>
    <t>Oil palm empty fruit bunch</t>
  </si>
  <si>
    <t>S143_AM0</t>
  </si>
  <si>
    <t>S143_AM1</t>
  </si>
  <si>
    <t>Spent mushroom substrate  supplied by INTRAVAL Environmental Group TRADEBE S.L. (Spain)</t>
  </si>
  <si>
    <t>S140_AM0</t>
  </si>
  <si>
    <t>S140_AM1</t>
  </si>
  <si>
    <t>composted olive oil extraction solid waste (alperujo)</t>
  </si>
  <si>
    <t>S140_AM2</t>
  </si>
  <si>
    <t>Composted alperujo</t>
  </si>
  <si>
    <t>olive oil extraction solid waste (alperujo)</t>
  </si>
  <si>
    <t>S064_AM0</t>
  </si>
  <si>
    <t>S064_AM1</t>
  </si>
  <si>
    <t>Biomixte + soil + peat (B1)</t>
  </si>
  <si>
    <t>Biomixte = straw</t>
  </si>
  <si>
    <t>S064_AM2</t>
  </si>
  <si>
    <t>Biomixte + soil + peat (B2)</t>
  </si>
  <si>
    <t>S064_AM3</t>
  </si>
  <si>
    <t>Biomixte + soil + peat (B3)</t>
  </si>
  <si>
    <t>12.5:52.5:25</t>
  </si>
  <si>
    <t>S137_AM0</t>
  </si>
  <si>
    <t>S137_AM1</t>
  </si>
  <si>
    <t>Olive-cake waste (alperujo) vermicompost</t>
  </si>
  <si>
    <t>S137_AM2</t>
  </si>
  <si>
    <t>Vine shoot vermicompost</t>
  </si>
  <si>
    <t>S135_AM0</t>
  </si>
  <si>
    <t>S135_AM1</t>
  </si>
  <si>
    <t>Horse amendment</t>
  </si>
  <si>
    <t xml:space="preserve">Horse manure compost </t>
  </si>
  <si>
    <t>S132_AM0</t>
  </si>
  <si>
    <t>S132_AM1</t>
  </si>
  <si>
    <t>Compost 30</t>
  </si>
  <si>
    <t>Uinformly mixed into the soil</t>
  </si>
  <si>
    <t>g.kg</t>
  </si>
  <si>
    <t>S131_AM0</t>
  </si>
  <si>
    <t>S131_AM1</t>
  </si>
  <si>
    <t>S131_AM2</t>
  </si>
  <si>
    <t>Biochar obtained from the olive mill waste at 400 C</t>
  </si>
  <si>
    <t>S129_AM0</t>
  </si>
  <si>
    <t>S129_AM1</t>
  </si>
  <si>
    <t>Dry chicken manure</t>
  </si>
  <si>
    <t>S129_AM2</t>
  </si>
  <si>
    <t>S129_AM3</t>
  </si>
  <si>
    <t>S123_AM0</t>
  </si>
  <si>
    <t>S123_AM1</t>
  </si>
  <si>
    <t>Treatment 2 (C)</t>
  </si>
  <si>
    <t>Rice husk at 500C</t>
  </si>
  <si>
    <t>Rice husk</t>
  </si>
  <si>
    <t>S116_AM0</t>
  </si>
  <si>
    <t>S116_AM1</t>
  </si>
  <si>
    <t>Pine wood residue</t>
  </si>
  <si>
    <t>S116_AM2</t>
  </si>
  <si>
    <t>Oak wood residue</t>
  </si>
  <si>
    <t>S130_AM0</t>
  </si>
  <si>
    <t>S130_AM1</t>
  </si>
  <si>
    <t>S067_AM0</t>
  </si>
  <si>
    <t>S067_AM1</t>
  </si>
  <si>
    <t>Leaf powder</t>
  </si>
  <si>
    <t>S121_AM0</t>
  </si>
  <si>
    <t>S121_AM1</t>
  </si>
  <si>
    <t>0.1% PBC</t>
  </si>
  <si>
    <t>Phosphate-modified rice straw biochar 800C</t>
  </si>
  <si>
    <t>S121_AM2</t>
  </si>
  <si>
    <t>0.5% PBC</t>
  </si>
  <si>
    <t>S141_AM0</t>
  </si>
  <si>
    <t>S141_AM1</t>
  </si>
  <si>
    <t>FBC</t>
  </si>
  <si>
    <t>80% wood pyrolized at 800C; 10% organic wastes and 10% mineral compounds -&gt; fermented</t>
  </si>
  <si>
    <t>S141_AM2</t>
  </si>
  <si>
    <t>BRBC</t>
  </si>
  <si>
    <t>80% processed soiled waste from maize digestion and 20% of FBC</t>
  </si>
  <si>
    <t>S141_AM3</t>
  </si>
  <si>
    <t>Green waste compost matured</t>
  </si>
  <si>
    <t>S141_AM4</t>
  </si>
  <si>
    <t>Shredded wheat straw</t>
  </si>
  <si>
    <t>S068_AM0</t>
  </si>
  <si>
    <t>S068_AM1</t>
  </si>
  <si>
    <t>BGA</t>
  </si>
  <si>
    <t>Algae</t>
  </si>
  <si>
    <t>Blue green Algae</t>
  </si>
  <si>
    <t>10^4</t>
  </si>
  <si>
    <t>CFU g-1</t>
  </si>
  <si>
    <t>S111_AM0</t>
  </si>
  <si>
    <t>S111_AM1</t>
  </si>
  <si>
    <t>BCH</t>
  </si>
  <si>
    <t>Crofton weed (herb) 500C</t>
  </si>
  <si>
    <t>S111_AM2</t>
  </si>
  <si>
    <t>BCW</t>
  </si>
  <si>
    <t>Hardwood 500C</t>
  </si>
  <si>
    <t>S111_AM3</t>
  </si>
  <si>
    <t>BCR</t>
  </si>
  <si>
    <t>Rice hull  500C</t>
  </si>
  <si>
    <t>S109_AM0</t>
  </si>
  <si>
    <t>S109_AM1</t>
  </si>
  <si>
    <t>corn straw 450C</t>
  </si>
  <si>
    <t>S109_AM2</t>
  </si>
  <si>
    <t>Cow manure aerobically fermented for 15 days</t>
  </si>
  <si>
    <t>S107_AM0</t>
  </si>
  <si>
    <t>S107_AM1</t>
  </si>
  <si>
    <t>V1</t>
  </si>
  <si>
    <t>Spent grape marc</t>
  </si>
  <si>
    <t>S107_AM2</t>
  </si>
  <si>
    <t>V2</t>
  </si>
  <si>
    <t>2:1 mixture of biosolid vinasse and wine shoots</t>
  </si>
  <si>
    <t>S073_AM0</t>
  </si>
  <si>
    <t>CK</t>
  </si>
  <si>
    <t>S073_AM1</t>
  </si>
  <si>
    <t>BR</t>
  </si>
  <si>
    <t>Biogas residue</t>
  </si>
  <si>
    <t>S073_AM2</t>
  </si>
  <si>
    <t>S073_AM3</t>
  </si>
  <si>
    <t>S105_AM0</t>
  </si>
  <si>
    <t>S105_AM1</t>
  </si>
  <si>
    <t>Silkworm excrement</t>
  </si>
  <si>
    <t>Silkworm excrement farm of Wuming District in Nanning City</t>
  </si>
  <si>
    <t>S105_AM2</t>
  </si>
  <si>
    <t>Silkworm excrement farm of Wuming District in Nanning City pyrolized at 500C</t>
  </si>
  <si>
    <t>S104_AM0</t>
  </si>
  <si>
    <t>S104_AM1</t>
  </si>
  <si>
    <t>Dewatered biosolids from the Riverside municipal sewage treatment plant</t>
  </si>
  <si>
    <t>S104_AM2</t>
  </si>
  <si>
    <t>FC</t>
  </si>
  <si>
    <t>Composted forest products from Kellogg Supply Inc</t>
  </si>
  <si>
    <t>S104_AM3</t>
  </si>
  <si>
    <t>CKM</t>
  </si>
  <si>
    <t>S104_AM4</t>
  </si>
  <si>
    <t>S075_AM0</t>
  </si>
  <si>
    <t>S075_AM1</t>
  </si>
  <si>
    <t>Pine woodchips biochar</t>
  </si>
  <si>
    <t>CaC</t>
  </si>
  <si>
    <t>l2 (1:2 w/v)</t>
  </si>
  <si>
    <t>m²/g (CO2)</t>
  </si>
  <si>
    <t>S075_AM2</t>
  </si>
  <si>
    <t>S075_AM3</t>
  </si>
  <si>
    <t>DG</t>
  </si>
  <si>
    <t>Digestate</t>
  </si>
  <si>
    <t>maize silage, chicken manure, as well as beef and pig urine as feedstock (in a ratio of 15:1:5:4)</t>
  </si>
  <si>
    <t>S075_AM4</t>
  </si>
  <si>
    <t>S075_AM5</t>
  </si>
  <si>
    <t>5%DG:1%BC</t>
  </si>
  <si>
    <t>S075_AM6</t>
  </si>
  <si>
    <t>5%DG:5%BC</t>
  </si>
  <si>
    <t>S075_AM7</t>
  </si>
  <si>
    <t>30%DG:5%BC</t>
  </si>
  <si>
    <t>S076_AM0</t>
  </si>
  <si>
    <t>S076_AM1</t>
  </si>
  <si>
    <t>Al+C-SMS1</t>
  </si>
  <si>
    <t>composted SMS (commercial name, Intracompost SPCH-SPS) from Agaricus bisporus (75%) and Pleurotus spp. (25%) cultivation</t>
  </si>
  <si>
    <t>S076_AM2</t>
  </si>
  <si>
    <t>Al+F-SMS2</t>
  </si>
  <si>
    <t>fresh SMS from Lentinula edodes, or shiitake, cultivation</t>
  </si>
  <si>
    <t>S081_AM0</t>
  </si>
  <si>
    <t>S081_AM1</t>
  </si>
  <si>
    <t>Skogens kol ( 80%
hardwood, mainly birchwood (Betula sp.) and 20%
wood from Norway spruce (Picea abies))</t>
  </si>
  <si>
    <t xml:space="preserve">80% birchwood and 20%
wood from Norway spruce </t>
  </si>
  <si>
    <t>380-430</t>
  </si>
  <si>
    <t>S081_AM2</t>
  </si>
  <si>
    <t>S081_AM3</t>
  </si>
  <si>
    <t>S081_AM4</t>
  </si>
  <si>
    <t>S083_AM0</t>
  </si>
  <si>
    <t>S083_AM1</t>
  </si>
  <si>
    <t>biocompost, Simbhaoli Sugar
Mills Ltd., Simbhaoli, Uttar Pradesh, India</t>
  </si>
  <si>
    <t>(1:1.25 w/v)</t>
  </si>
  <si>
    <t>S083_AM2</t>
  </si>
  <si>
    <t>S085_AM0</t>
  </si>
  <si>
    <t>S085_AM1</t>
  </si>
  <si>
    <t>Cow slurry</t>
  </si>
  <si>
    <t>g/L</t>
  </si>
  <si>
    <t>S085_AM2</t>
  </si>
  <si>
    <t>S085_AM3</t>
  </si>
  <si>
    <t>S300</t>
  </si>
  <si>
    <t>S086_AM0</t>
  </si>
  <si>
    <t>S086_AM1</t>
  </si>
  <si>
    <t>liquid cow manure</t>
  </si>
  <si>
    <t>S086_AM2</t>
  </si>
  <si>
    <t>S086_AM3</t>
  </si>
  <si>
    <t>S087_AM0</t>
  </si>
  <si>
    <t>S087_AM1</t>
  </si>
  <si>
    <t>sewadge sludge</t>
  </si>
  <si>
    <t>g/mg</t>
  </si>
  <si>
    <t>S087_AM2</t>
  </si>
  <si>
    <t>GM</t>
  </si>
  <si>
    <t>grape marc</t>
  </si>
  <si>
    <t>S087_AM3</t>
  </si>
  <si>
    <t>spent mushroom substrate</t>
  </si>
  <si>
    <t>S093_AM0</t>
  </si>
  <si>
    <t>S093_AM1</t>
  </si>
  <si>
    <t>Fresh liquid hog manure from a farm near Fannystelle, MB</t>
  </si>
  <si>
    <t>S094_AM0</t>
  </si>
  <si>
    <t>S094_AM1</t>
  </si>
  <si>
    <t>compost</t>
  </si>
  <si>
    <t>green manure</t>
  </si>
  <si>
    <t>S095_AM0</t>
  </si>
  <si>
    <t>S095_AM1</t>
  </si>
  <si>
    <t>S097_AM0</t>
  </si>
  <si>
    <t>control</t>
  </si>
  <si>
    <t>S097_AM1</t>
  </si>
  <si>
    <t>FYM</t>
  </si>
  <si>
    <t>Farm yard manure</t>
  </si>
  <si>
    <t>S097_AM2</t>
  </si>
  <si>
    <t>S097_AM3</t>
  </si>
  <si>
    <t>Saw dust</t>
  </si>
  <si>
    <t>S097_AM4</t>
  </si>
  <si>
    <t>Charcoal</t>
  </si>
  <si>
    <t>S098_AM0</t>
  </si>
  <si>
    <t>S098_AM1</t>
  </si>
  <si>
    <t>S098_AM2</t>
  </si>
  <si>
    <t>S098_AM3</t>
  </si>
  <si>
    <t>S098_AM4</t>
  </si>
  <si>
    <t>VC</t>
  </si>
  <si>
    <t>S100_AM0</t>
  </si>
  <si>
    <t>S100_AM1</t>
  </si>
  <si>
    <t>S010_AM0</t>
  </si>
  <si>
    <t>S010_AM1</t>
  </si>
  <si>
    <t>distilled waste of Mentha arvensis</t>
  </si>
  <si>
    <t>distilled waste of Mentha arvensis </t>
  </si>
  <si>
    <t>µS</t>
  </si>
  <si>
    <t>S032_AM0</t>
  </si>
  <si>
    <t>S032_AM1</t>
  </si>
  <si>
    <t>bagasse</t>
  </si>
  <si>
    <t>S032_AM2</t>
  </si>
  <si>
    <t>BC + chitosan</t>
  </si>
  <si>
    <t>No access to sup. data</t>
  </si>
  <si>
    <t>S032_AM3</t>
  </si>
  <si>
    <t>BC + citric acid</t>
  </si>
  <si>
    <t>S032_AM4</t>
  </si>
  <si>
    <t>HBC</t>
  </si>
  <si>
    <t>BC + nano-hydroxyapatite</t>
  </si>
  <si>
    <t>S015_AM0</t>
  </si>
  <si>
    <t>blank experiment</t>
  </si>
  <si>
    <t>S015_AM1</t>
  </si>
  <si>
    <t xml:space="preserve">Biochar experimental </t>
  </si>
  <si>
    <t>peanut shell</t>
  </si>
  <si>
    <t>S015_AM2</t>
  </si>
  <si>
    <t>nano zero valent experimental</t>
  </si>
  <si>
    <t>S015_AM3</t>
  </si>
  <si>
    <t>0.5% BC/nZVI</t>
  </si>
  <si>
    <t>S015_AM4</t>
  </si>
  <si>
    <t>1% BC/nZVI</t>
  </si>
  <si>
    <t>S079_AM0</t>
  </si>
  <si>
    <t>S079_AM1</t>
  </si>
  <si>
    <t>Cornmeal</t>
  </si>
  <si>
    <t>Quaker Oats brand</t>
  </si>
  <si>
    <t>S090_AM0</t>
  </si>
  <si>
    <t>S090_AM1</t>
  </si>
  <si>
    <t>Peanut shells at 450°C</t>
  </si>
  <si>
    <t>S090_AM2</t>
  </si>
  <si>
    <t>PBC</t>
  </si>
  <si>
    <t>Peanut shells at 450°C + H3PO4</t>
  </si>
  <si>
    <t>S084_AM0</t>
  </si>
  <si>
    <t>No amendment</t>
  </si>
  <si>
    <t>S084_AM1</t>
  </si>
  <si>
    <t>Charcoal 10g</t>
  </si>
  <si>
    <t>Shanghai Hainuo Charcoal Co.,</t>
  </si>
  <si>
    <t>S084_AM2</t>
  </si>
  <si>
    <t>Charcoal 30g</t>
  </si>
  <si>
    <t>S084_AM3</t>
  </si>
  <si>
    <t>Charcoal 50g</t>
  </si>
  <si>
    <t>pesticide_properties</t>
  </si>
  <si>
    <t>One row per unique parent pesticide compound. Use the full standardized pesticide name written in lower case, not abbreviations or trade names.</t>
  </si>
  <si>
    <t>Pesticide ID</t>
  </si>
  <si>
    <t>Pesticide name</t>
  </si>
  <si>
    <t>Abbreviation in paper</t>
  </si>
  <si>
    <t>SMILES code</t>
  </si>
  <si>
    <t>Pesticide class</t>
  </si>
  <si>
    <t>PPDB DT50 (field) (days)</t>
  </si>
  <si>
    <t>PPDB DT50 (lab 20°C)(days)</t>
  </si>
  <si>
    <t>PPDB DT50 min (lab)</t>
  </si>
  <si>
    <t>PPDB DT50max (lab)</t>
  </si>
  <si>
    <t>PPDB DT50 (typical)(days)</t>
  </si>
  <si>
    <t>PPDB DT50 min</t>
  </si>
  <si>
    <t>PPDB DT50max</t>
  </si>
  <si>
    <t>Parent compound?</t>
  </si>
  <si>
    <t>S104_P2</t>
  </si>
  <si>
    <t> D-1,3-dichloropropene</t>
  </si>
  <si>
    <t>C(/C=C/Cl)Cl</t>
  </si>
  <si>
    <t>Fumigant</t>
  </si>
  <si>
    <t>S104_P1</t>
  </si>
  <si>
    <t> Z-1,3-dichloropropene</t>
  </si>
  <si>
    <t>C(/C=C\\Cl)Cl</t>
  </si>
  <si>
    <t>S095_P3</t>
  </si>
  <si>
    <t>(S+R)-Metalaxyl</t>
  </si>
  <si>
    <t>CC1=C(C(=CC=C1)C)N(C(C)C(=O)OC)C(=O)COC</t>
  </si>
  <si>
    <t>Fungicide</t>
  </si>
  <si>
    <t>S001_P1</t>
  </si>
  <si>
    <t>2,4-(dichlorophenoxy)acetic acid</t>
  </si>
  <si>
    <t>2,4-D</t>
  </si>
  <si>
    <t>C(C)(=O)OC1=C(C(=O)O)C=CC=C1</t>
  </si>
  <si>
    <t>Herbicide</t>
  </si>
  <si>
    <t>S013_P3</t>
  </si>
  <si>
    <t>3-Hydroxycarbofuran</t>
  </si>
  <si>
    <t>3-OH</t>
  </si>
  <si>
    <t>CC1(C(C2=C(O1)C(=CC=C2)OC(=O)NC)O)C</t>
  </si>
  <si>
    <t>Insecticide</t>
  </si>
  <si>
    <t>It is only a degradation product</t>
  </si>
  <si>
    <t>S013_P4</t>
  </si>
  <si>
    <t>3-Ketocarbofuran</t>
  </si>
  <si>
    <t>3-Keto</t>
  </si>
  <si>
    <t>CC1(C(=O)C2=C(O1)C(=CC=C2)OC(=O)NC)C</t>
  </si>
  <si>
    <t xml:space="preserve">It is only a degradation product </t>
  </si>
  <si>
    <t>S218_P1</t>
  </si>
  <si>
    <t>4-chloro-2-methylphenoxyacetic acid</t>
  </si>
  <si>
    <t>MCPA</t>
  </si>
  <si>
    <t>CC1=C(C=CC(=C1)Cl)OCC(=O)O</t>
  </si>
  <si>
    <t>S191_P1</t>
  </si>
  <si>
    <t>S027_P1</t>
  </si>
  <si>
    <t>S153_P1</t>
  </si>
  <si>
    <t>S141_P1</t>
  </si>
  <si>
    <t>S154_P1</t>
  </si>
  <si>
    <t>Acetamiprid</t>
  </si>
  <si>
    <t>[2H]C([2H])([2H])N(CC1=CN=C(C=C1)Cl)C(=NC#N)C</t>
  </si>
  <si>
    <t>S061_P1</t>
  </si>
  <si>
    <t>Acetochlor</t>
  </si>
  <si>
    <t>CCC1=CC=CC(=C1N(COCC)C(=O)CCl)C</t>
  </si>
  <si>
    <t>S121_P1</t>
  </si>
  <si>
    <t>ACT</t>
  </si>
  <si>
    <t>S111_P1</t>
  </si>
  <si>
    <t>S167_P1</t>
  </si>
  <si>
    <t>Alachlor</t>
  </si>
  <si>
    <r>
      <t> </t>
    </r>
    <r>
      <rPr>
        <sz val="11"/>
        <color theme="1"/>
        <rFont val="Gill Sans MT"/>
        <family val="2"/>
        <scheme val="minor"/>
      </rPr>
      <t>CCC1=C(C(=CC=C1)CC)N(COC)C(=O)CCl</t>
    </r>
  </si>
  <si>
    <t>S079_P1</t>
  </si>
  <si>
    <t>CCC1=C(C(=CC=C1)CC)N(COC)C(=O)CCl</t>
  </si>
  <si>
    <t>S015_P1</t>
  </si>
  <si>
    <t>alpah-Hexachlorocyclohexane</t>
  </si>
  <si>
    <t>alpha-HCH</t>
  </si>
  <si>
    <t>[2H]C1(C(C(C(C(C1([2H])Cl)([2H])Cl)([2H])Cl)([2H])Cl)([2H])Cl)Cl</t>
  </si>
  <si>
    <t>S020_P1</t>
  </si>
  <si>
    <t>S073_P6</t>
  </si>
  <si>
    <t>aR,CR-metolachlor</t>
  </si>
  <si>
    <t>CCC1=CC=CC(C)=C1[C@](N([C@H](C)COC)C(=O)CCl)=C1</t>
  </si>
  <si>
    <t>S073_P7</t>
  </si>
  <si>
    <t>aR,CS-metolachlor</t>
  </si>
  <si>
    <t>CC[C@]1=C(N([C@@H](C)COC)C(=O)CCl)C(C)=CC=C1</t>
  </si>
  <si>
    <t>S073_P3</t>
  </si>
  <si>
    <t>aR-acetochlor</t>
  </si>
  <si>
    <t>CCN([C@]1=C(C)C=CC=C1CC)C(=O)CCl</t>
  </si>
  <si>
    <t>S073_P8</t>
  </si>
  <si>
    <t>aS,CR-metolachlor</t>
  </si>
  <si>
    <t>CC[C@@]1=C(N([C@H](C)COC)C(=O)CCl)C(C)=CC=C1</t>
  </si>
  <si>
    <t>S073_P9</t>
  </si>
  <si>
    <t>aS,CS-metolachlor</t>
  </si>
  <si>
    <t>CC[C@@]1=C(N([C@@H](C)COC)C(=O)CCl)C(C)=CC=C1</t>
  </si>
  <si>
    <t>S073_P4</t>
  </si>
  <si>
    <t>aS-acetochlor</t>
  </si>
  <si>
    <t>CCN([C@@]1=C(C)C=CC=C1CC)C(=O)CCl</t>
  </si>
  <si>
    <t>S223_P1</t>
  </si>
  <si>
    <t>Atrazine</t>
  </si>
  <si>
    <t>ATR</t>
  </si>
  <si>
    <t>CCNC1=NC(=NC(=N1)Cl)NC(C)C</t>
  </si>
  <si>
    <t>S219_P1</t>
  </si>
  <si>
    <t>S211_P1</t>
  </si>
  <si>
    <t>S210_P1</t>
  </si>
  <si>
    <t>AT</t>
  </si>
  <si>
    <t>S003_P1</t>
  </si>
  <si>
    <t>S181_P1</t>
  </si>
  <si>
    <t>S034_P1</t>
  </si>
  <si>
    <t>S039_P1</t>
  </si>
  <si>
    <t>S105_P1</t>
  </si>
  <si>
    <t>S085_P1</t>
  </si>
  <si>
    <t>S086_P1</t>
  </si>
  <si>
    <t>S097_P1</t>
  </si>
  <si>
    <t>S010_P1</t>
  </si>
  <si>
    <t>S032_P1</t>
  </si>
  <si>
    <t>S090_P1</t>
  </si>
  <si>
    <t>S164_P1</t>
  </si>
  <si>
    <t>Azimsulfuron</t>
  </si>
  <si>
    <r>
      <t> </t>
    </r>
    <r>
      <rPr>
        <sz val="11"/>
        <color theme="1"/>
        <rFont val="Gill Sans MT"/>
        <family val="2"/>
        <scheme val="minor"/>
      </rPr>
      <t>CN1C(=C(C=N1)C2=NN(N=N2)C)S(=O)(=O)NC(=O)NC3=NC(=CC(=N3)OC)OC</t>
    </r>
  </si>
  <si>
    <t>S177_P4</t>
  </si>
  <si>
    <t>Azoxystrobin</t>
  </si>
  <si>
    <t>AZX</t>
  </si>
  <si>
    <t>CO/C=C(\\C1=CC=CC=C1OC2=NC=NC(=C2)OC3=CC=CC=C3C#N)/C(=O)OC</t>
  </si>
  <si>
    <t>S155_P1</t>
  </si>
  <si>
    <t>S143_P1</t>
  </si>
  <si>
    <t>S094_P1</t>
  </si>
  <si>
    <t>S100_P1</t>
  </si>
  <si>
    <t>S064_P1</t>
  </si>
  <si>
    <t>Bentazone</t>
  </si>
  <si>
    <t>BEN</t>
  </si>
  <si>
    <t>CC(C)N1C(=O)C2=CC=CC=C2NS1(=O)=O</t>
  </si>
  <si>
    <t>S075_P1</t>
  </si>
  <si>
    <t>S020_P2</t>
  </si>
  <si>
    <t>Beta-HCH</t>
  </si>
  <si>
    <t>C1(C(C(C(C(C1Cl)Cl)Cl)Cl)Cl)Cl</t>
  </si>
  <si>
    <t>S175_P1</t>
  </si>
  <si>
    <t>bispyribac-sodium</t>
  </si>
  <si>
    <t>COC1=CC(=NC(=N1)OC2=C(C(=CC=C2)OC3=NC(=CC(=N3)OC)OC)C(=O)[O-])OC.[Na+]</t>
  </si>
  <si>
    <t>S197_P2</t>
  </si>
  <si>
    <t>Boscalid</t>
  </si>
  <si>
    <t>BOC</t>
  </si>
  <si>
    <t>C1=CC=C(C(=C1)C2=CC=C(C=C2)Cl)NC(=O)C3=C(N=CC=C3)Cl</t>
  </si>
  <si>
    <t>S075_P2</t>
  </si>
  <si>
    <t>S011_P1</t>
  </si>
  <si>
    <t>Bromacil</t>
  </si>
  <si>
    <t>BMC</t>
  </si>
  <si>
    <t>CCC(C)N1C(=O)C(=C(NC1=O)C)Br</t>
  </si>
  <si>
    <t>S177_P2</t>
  </si>
  <si>
    <t>Buprofezin</t>
  </si>
  <si>
    <t>BUO</t>
  </si>
  <si>
    <t>[2H]C([2H])([2H])C(C([2H])([2H])[2H])N1C(=NC(C)(C)C)SCN(C1=O)C2=CC=CC=C2</t>
  </si>
  <si>
    <t>S073_P1</t>
  </si>
  <si>
    <t>Butachlor</t>
  </si>
  <si>
    <t>CCCCOCN(C1=C(C=CC=C1CC)CC)C(=O)CCl</t>
  </si>
  <si>
    <t>S013_P2</t>
  </si>
  <si>
    <t>Carbofuran</t>
  </si>
  <si>
    <t>CAN</t>
  </si>
  <si>
    <t>CC1(CC2=C(O1)C(=CC=C2)OC(=O)NC)C</t>
  </si>
  <si>
    <t>S013_P1</t>
  </si>
  <si>
    <t>Carbosulfan</t>
  </si>
  <si>
    <t>CAS</t>
  </si>
  <si>
    <t>CCCCN(CCCC)SN(C)C(=O)OC1=CC=CC2=C1OC(C2)(C)C</t>
  </si>
  <si>
    <t>S173_P3</t>
  </si>
  <si>
    <t>Chloropicrin</t>
  </si>
  <si>
    <t>CP</t>
  </si>
  <si>
    <t>C([N+](=O)[O-])(Cl)(Cl)Cl</t>
  </si>
  <si>
    <t>S192_P1</t>
  </si>
  <si>
    <t>Chlorotoluron</t>
  </si>
  <si>
    <t>CC1=C(C=C(C=C1)NC(=O)N(C)C)C</t>
  </si>
  <si>
    <t>S174_P2</t>
  </si>
  <si>
    <t>Chlorpyrifos</t>
  </si>
  <si>
    <t>CPP</t>
  </si>
  <si>
    <t>CCOP(=S)(OCC)OC1=NC(=C(C=C1Cl)Cl)Cl</t>
  </si>
  <si>
    <t>S098_P1</t>
  </si>
  <si>
    <t>CPF</t>
  </si>
  <si>
    <t>S173_P1</t>
  </si>
  <si>
    <t>cis - 1,3-Dichloropropene</t>
  </si>
  <si>
    <t>cis-1,3-D</t>
  </si>
  <si>
    <r>
      <t> </t>
    </r>
    <r>
      <rPr>
        <sz val="11"/>
        <color theme="1"/>
        <rFont val="Gill Sans MT"/>
        <family val="2"/>
        <scheme val="minor"/>
      </rPr>
      <t>C(/C=C\\Cl)Cl</t>
    </r>
  </si>
  <si>
    <t>S174_P1</t>
  </si>
  <si>
    <t>Cypermethrin</t>
  </si>
  <si>
    <t>CYP</t>
  </si>
  <si>
    <t>CC1(C(C1C(=O)OC(C#N)C2=CC(=CC=C2)OC3=CC=CC=C3)C=C(Cl)Cl)C</t>
  </si>
  <si>
    <t>S129_P1</t>
  </si>
  <si>
    <t>Dazomet</t>
  </si>
  <si>
    <t>CN1CN(C(=S)SC1)C</t>
  </si>
  <si>
    <t>S170_P2</t>
  </si>
  <si>
    <t>Diazinon</t>
  </si>
  <si>
    <t>ai II</t>
  </si>
  <si>
    <t>CCOP(=S)(OCC)OC1=NC(=NC(=C1)C)C(C)C</t>
  </si>
  <si>
    <t>S087_P2</t>
  </si>
  <si>
    <t>S067_P1</t>
  </si>
  <si>
    <t>Difenoconazole</t>
  </si>
  <si>
    <t>CC1COC(O1)(CN2C=NC=N2)C3=C(C=C(C=C3)OC4=CC=C(C=C4)Cl)Cl</t>
  </si>
  <si>
    <t>S177_P6</t>
  </si>
  <si>
    <t>Dimethoate</t>
  </si>
  <si>
    <t>DIM</t>
  </si>
  <si>
    <t>CNC(=O)CSP(=S)(OC)OC</t>
  </si>
  <si>
    <t>S170_P3</t>
  </si>
  <si>
    <t xml:space="preserve">ai III </t>
  </si>
  <si>
    <t>S169_P1</t>
  </si>
  <si>
    <t>Dithianon</t>
  </si>
  <si>
    <t>C1=CC=C2C(=C1)C(=O)C3=C(C2=O)SC(=C(S3)C#N)C#N</t>
  </si>
  <si>
    <t>S221_P1</t>
  </si>
  <si>
    <t>Diuron</t>
  </si>
  <si>
    <t>CN(C)C(=O)NC1=CC(=C(C=C1)Cl)Cl</t>
  </si>
  <si>
    <t>S011_P2</t>
  </si>
  <si>
    <t>DRN</t>
  </si>
  <si>
    <t>S185_P1</t>
  </si>
  <si>
    <t>S024_P1</t>
  </si>
  <si>
    <t>S057_P1</t>
  </si>
  <si>
    <t>S140_P1</t>
  </si>
  <si>
    <t>S107_P1</t>
  </si>
  <si>
    <t>S081_P1</t>
  </si>
  <si>
    <t>S166_P1</t>
  </si>
  <si>
    <t>Endosulfan</t>
  </si>
  <si>
    <t>C1C2C(COS(=O)O1)C3(C(=C(C2(C3(Cl)Cl)Cl)Cl)Cl)Cl</t>
  </si>
  <si>
    <t>S170_P1</t>
  </si>
  <si>
    <t>Fenitrothion</t>
  </si>
  <si>
    <t>ai1</t>
  </si>
  <si>
    <r>
      <t> </t>
    </r>
    <r>
      <rPr>
        <sz val="11"/>
        <color theme="1"/>
        <rFont val="Gill Sans MT"/>
        <family val="2"/>
        <scheme val="minor"/>
      </rPr>
      <t>CC1=C(C=CC(=C1)OP(=S)(OC)OC)[N+](=O)[O-]</t>
    </r>
  </si>
  <si>
    <t>S192_P2</t>
  </si>
  <si>
    <t>Flufenacet</t>
  </si>
  <si>
    <t>CC(C)N(C1=CC=C(C=C1)F)C(=O)COC2=NN=C(S2)C(F)(F)F</t>
  </si>
  <si>
    <t>S208_P2</t>
  </si>
  <si>
    <t>Foramsulfuron</t>
  </si>
  <si>
    <t>FORAM</t>
  </si>
  <si>
    <t>CN(C)C(=O)C1=C(C=C(C=C1)NC=O)S(=O)(=O)NC(=O)NC2=NC(=CC(=N2)OC)OC</t>
  </si>
  <si>
    <t>S015_P2</t>
  </si>
  <si>
    <t>gamma-Hexachlorocyclohexane</t>
  </si>
  <si>
    <t>gamma-HCH</t>
  </si>
  <si>
    <t>[13CH]1([13CH]([13CH]([13CH]([13CH]([13CH]1Cl)Cl)Cl)Cl)Cl)Cl</t>
  </si>
  <si>
    <t>S216_P1</t>
  </si>
  <si>
    <t>Glyphosate</t>
  </si>
  <si>
    <t>C(C(=O)O)NCP(=O)(O)O</t>
  </si>
  <si>
    <t>S043_P1</t>
  </si>
  <si>
    <t>GLY</t>
  </si>
  <si>
    <t>S109_P1</t>
  </si>
  <si>
    <t>S081_P2</t>
  </si>
  <si>
    <t>S093_P1</t>
  </si>
  <si>
    <t>S172_P1</t>
  </si>
  <si>
    <t>Hexachlorocyclohexane</t>
  </si>
  <si>
    <t>HCH</t>
  </si>
  <si>
    <t>S135_P1</t>
  </si>
  <si>
    <t>S158_P1</t>
  </si>
  <si>
    <t>Hexazinone</t>
  </si>
  <si>
    <t>CN1C(=NC(=O)N(C1=O)C2CCCCC2)N(C)C</t>
  </si>
  <si>
    <t>S008_P1</t>
  </si>
  <si>
    <t>Imazapic</t>
  </si>
  <si>
    <t>CC1=CC(=C(N=C1)C2=NC(C(=O)N2)(C)C(C)C)C(=O)O</t>
  </si>
  <si>
    <t>S063_P1</t>
  </si>
  <si>
    <t>S063_P2</t>
  </si>
  <si>
    <t>Imazapyr</t>
  </si>
  <si>
    <t>CC(C)C1(C(=O)NC(=N1)C2=C(C=CC=N2)C(=O)O)C</t>
  </si>
  <si>
    <t>S149_P1</t>
  </si>
  <si>
    <t>Imazaquin</t>
  </si>
  <si>
    <t>CC(C)C1(C(=O)NC(=N1)C2=NC3=CC=CC=C3C=C2C(=O)O)C</t>
  </si>
  <si>
    <t>S226_P1</t>
  </si>
  <si>
    <t>Imazethapyr</t>
  </si>
  <si>
    <t>IMET</t>
  </si>
  <si>
    <t>CCC1=CC(=C(N=C1)C2=NC(C(=O)N2)(C)C(C)C)C(=O)O</t>
  </si>
  <si>
    <t>S197_P1</t>
  </si>
  <si>
    <t>Imidacloprid</t>
  </si>
  <si>
    <t>IMI</t>
  </si>
  <si>
    <r>
      <t> </t>
    </r>
    <r>
      <rPr>
        <sz val="11"/>
        <color theme="1"/>
        <rFont val="Gill Sans MT"/>
        <family val="2"/>
        <scheme val="minor"/>
      </rPr>
      <t>C1CN(/C(=N/[N+](=O)[O-])/N1)CC2=CN=C(C=C2)Cl</t>
    </r>
  </si>
  <si>
    <t>S137_P1</t>
  </si>
  <si>
    <r>
      <t> </t>
    </r>
    <r>
      <rPr>
        <sz val="11"/>
        <color theme="1"/>
        <rFont val="Arial"/>
        <family val="2"/>
      </rPr>
      <t>C1CN(/C(=N/[N+](=O)[O-])/N1)CC2=CN=C(C=C2)Cl</t>
    </r>
  </si>
  <si>
    <t>S109_P2</t>
  </si>
  <si>
    <t>S107_P2</t>
  </si>
  <si>
    <t>S177_P5</t>
  </si>
  <si>
    <t>Iprodione</t>
  </si>
  <si>
    <t>IPR</t>
  </si>
  <si>
    <t>CC(C)NC(=O)N1CC(=O)N(C1=O)C2=CC(=CC(=C2)Cl)Cl</t>
  </si>
  <si>
    <t>S076_P1</t>
  </si>
  <si>
    <t>Iprovalicarb</t>
  </si>
  <si>
    <t>CC1=CC=C(C=C1)C(C)NC(=O)[C@H](C(C)C)NC(=O)OC(C)C</t>
  </si>
  <si>
    <t>S021_P1</t>
  </si>
  <si>
    <t>Isoproturon</t>
  </si>
  <si>
    <t>IPU</t>
  </si>
  <si>
    <t>CC(C)C1=CC=C(C=C1)NC(=O)N(C)C</t>
  </si>
  <si>
    <t>S064_P2</t>
  </si>
  <si>
    <t>S084_P1</t>
  </si>
  <si>
    <t xml:space="preserve">IPU </t>
  </si>
  <si>
    <t>S171_P1</t>
  </si>
  <si>
    <t>Lindane</t>
  </si>
  <si>
    <t>c-HCH</t>
  </si>
  <si>
    <t>CNC(=O)OC1=CC=CC2=CC=CC=C21.C1(C(C(C(C(C1Cl)Cl)Cl)Cl)Cl)Cl</t>
  </si>
  <si>
    <t>S200_P2</t>
  </si>
  <si>
    <t>Linuron</t>
  </si>
  <si>
    <t>CN(C(=O)NC1=CC(=C(C=C1)Cl)Cl)OC</t>
  </si>
  <si>
    <t>S087_P1</t>
  </si>
  <si>
    <t>S019_P1</t>
  </si>
  <si>
    <t>Mesotrione</t>
  </si>
  <si>
    <t>CS(=O)(=O)C1=CC(=C(C=C1)C(=O)C2C(=O)CCCC2=O)[N+](=O)[O-]</t>
  </si>
  <si>
    <t>S187_P1</t>
  </si>
  <si>
    <t>Metalaxyl</t>
  </si>
  <si>
    <t>S167_P2</t>
  </si>
  <si>
    <t>S076_P2</t>
  </si>
  <si>
    <t>S177_P3</t>
  </si>
  <si>
    <t>Metalaxyl-M</t>
  </si>
  <si>
    <t>MTX</t>
  </si>
  <si>
    <t>CC1=C(C(=CC=C1)C)N([C@H](C)C(=O)OC)C(=O)COC</t>
  </si>
  <si>
    <t>S141_P2</t>
  </si>
  <si>
    <t>S004_P1</t>
  </si>
  <si>
    <t>Metolachlor</t>
  </si>
  <si>
    <t>CCC1=CC=CC(=C1NC(=O)CCl)C</t>
  </si>
  <si>
    <t>S204_P1</t>
  </si>
  <si>
    <t>Metribuzin</t>
  </si>
  <si>
    <t>CC(C)(C)C1=NN=C(N(C1=O)N)SC</t>
  </si>
  <si>
    <t>S197_P3</t>
  </si>
  <si>
    <t>MET</t>
  </si>
  <si>
    <t>S193_P1</t>
  </si>
  <si>
    <t>S177_P1</t>
  </si>
  <si>
    <t>MTR</t>
  </si>
  <si>
    <t>S037_P1</t>
  </si>
  <si>
    <t>S087_P3</t>
  </si>
  <si>
    <t>Myclobutanil</t>
  </si>
  <si>
    <t>CCCCC(CN1C=NC=N1)(C#N)C2=CC=C(C=C2)Cl</t>
  </si>
  <si>
    <t>S063_P3</t>
  </si>
  <si>
    <t>Onduty®</t>
  </si>
  <si>
    <t>Mixture of Imazapyr and Imazapic</t>
  </si>
  <si>
    <t>S020_P5</t>
  </si>
  <si>
    <t>op'DDT</t>
  </si>
  <si>
    <t>C1=CC=C(C(=C1)C(C2=CC=C(C=C2)Cl)C(Cl)(Cl)Cl)Cl</t>
  </si>
  <si>
    <t>S203_P1</t>
  </si>
  <si>
    <t>Oxyfluorfen</t>
  </si>
  <si>
    <t>CCOC1=C(C=CC(=C1)OC2=C(C=C(C=C2)C(F)(F)F)Cl)[N+](=O)[O-]</t>
  </si>
  <si>
    <t>S076_P3</t>
  </si>
  <si>
    <t>Penconazole</t>
  </si>
  <si>
    <t>CCCC(CN1C=NC=N1)C2=C(C=C(C=C2)Cl)Cl</t>
  </si>
  <si>
    <t>S083_P1</t>
  </si>
  <si>
    <t>S217_P1</t>
  </si>
  <si>
    <t>Pentachlorophenol</t>
  </si>
  <si>
    <t>PCP</t>
  </si>
  <si>
    <t>C1(=C(C(=C(C(=C1Cl)Cl)Cl)Cl)Cl)O</t>
  </si>
  <si>
    <t>S130_P1</t>
  </si>
  <si>
    <t>Phorate</t>
  </si>
  <si>
    <t>CCOP(=S)(OCC)SCSCC</t>
  </si>
  <si>
    <t>S020_P6</t>
  </si>
  <si>
    <t>pp'DDD</t>
  </si>
  <si>
    <t>C1=CC(=CC=C1C(C2=CC=C(C=C2)Cl)C(Cl)Cl)Cl</t>
  </si>
  <si>
    <t>S020_P4</t>
  </si>
  <si>
    <t>pp'DDE</t>
  </si>
  <si>
    <t>C1=CC(=CC=C1C(=C(Cl)Cl)C2=CC=C(C=C2)Cl)Cl</t>
  </si>
  <si>
    <t>S020_P3</t>
  </si>
  <si>
    <t>pp'DDT</t>
  </si>
  <si>
    <t>C1=CC(=CC=C1C(C2=CC=C(C=C2)Cl)C(Cl)(Cl)Cl)Cl</t>
  </si>
  <si>
    <t>S022_P1</t>
  </si>
  <si>
    <t>Profoxydim</t>
  </si>
  <si>
    <t>CCCC(=NOCC(C)OC1=CC=C(C=C1)Cl)C2=C(CC(CC2=O)C3CCCSC3)O</t>
  </si>
  <si>
    <t>S083_P2</t>
  </si>
  <si>
    <t>Propiconazole</t>
  </si>
  <si>
    <t>CCCC1COC(O1)(CN2C=NC=N2)C3=C(C=C(C=C3)Cl)Cl</t>
  </si>
  <si>
    <t>S023_P1</t>
  </si>
  <si>
    <t>Prosulfocarb</t>
  </si>
  <si>
    <t>PSC</t>
  </si>
  <si>
    <t>CCCN(CCC)C(=O)SCC1=CC=CC=C1</t>
  </si>
  <si>
    <t>S109_P3</t>
  </si>
  <si>
    <t>Pyraclostrobin</t>
  </si>
  <si>
    <t>COC(=O)N(C1=CC=CC=C1COC2=NN(C=C2)C3=CC=C(C=C3)Cl)OC</t>
  </si>
  <si>
    <t>S075_P3</t>
  </si>
  <si>
    <t>Pyrimethanil</t>
  </si>
  <si>
    <t>CC1=CC(=NC(=N1)NC2=CC=CC=C2)C</t>
  </si>
  <si>
    <t>S076_P4</t>
  </si>
  <si>
    <t>S073_P2</t>
  </si>
  <si>
    <t>rac-acetochlor</t>
  </si>
  <si>
    <t>CCN(COCC)C(=O)CCl.C1=CC=C(CC)C(=C1C)</t>
  </si>
  <si>
    <t>S073_P5</t>
  </si>
  <si>
    <t>rac-metolachlor</t>
  </si>
  <si>
    <t>CCC1=CC=CC(C)=C1N(C(C)COC)C(=O)CCl</t>
  </si>
  <si>
    <t>S131_P2</t>
  </si>
  <si>
    <t>R-Metalaxyl</t>
  </si>
  <si>
    <t>S095_P2</t>
  </si>
  <si>
    <t>S199_P1</t>
  </si>
  <si>
    <t>Scopoletin</t>
  </si>
  <si>
    <t>COC1=C(C=C2C(=C1)C=CC(=O)O2)O</t>
  </si>
  <si>
    <t>Bioherbicide</t>
  </si>
  <si>
    <t>S179_P1</t>
  </si>
  <si>
    <t>Simazine</t>
  </si>
  <si>
    <t>CCNC1=NC(=NC(=N1)Cl)NCC</t>
  </si>
  <si>
    <t>S028_P1</t>
  </si>
  <si>
    <t>S131_P1</t>
  </si>
  <si>
    <t>S-Metalaxyl</t>
  </si>
  <si>
    <t>CC1=C(C(=CC=C1)C)N([C@@H](C)C(=O)OC)C(=O)COC</t>
  </si>
  <si>
    <t>S095_P1</t>
  </si>
  <si>
    <t>S225_P1</t>
  </si>
  <si>
    <t>S-metolachlor</t>
  </si>
  <si>
    <r>
      <t> </t>
    </r>
    <r>
      <rPr>
        <sz val="11"/>
        <color theme="1"/>
        <rFont val="Gill Sans MT"/>
        <family val="2"/>
        <scheme val="minor"/>
      </rPr>
      <t>CCC1=CC=CC(=C1N([C@@H](C)COC)C(=O)CCl)C</t>
    </r>
  </si>
  <si>
    <t>S208_P1</t>
  </si>
  <si>
    <t>SMOC</t>
  </si>
  <si>
    <t>CCC1=CC=CC(=C1N([C@@H](C)COC)C(=O)CCl)C</t>
  </si>
  <si>
    <t>S151_P1</t>
  </si>
  <si>
    <t>S224_P1</t>
  </si>
  <si>
    <t>Sulfamethoxazole</t>
  </si>
  <si>
    <t>SMX</t>
  </si>
  <si>
    <t>CC1=CC(=NO1)NS(=O)(=O)C2=CC=C(C=C2)N</t>
  </si>
  <si>
    <t>Antibiotic</t>
  </si>
  <si>
    <t>S205_P1</t>
  </si>
  <si>
    <t>Sulfometuron-methyl</t>
  </si>
  <si>
    <t>CC1=CC(=NC(=N1)NC(=O)NS(=O)(=O)C2=CC=CC=C2C(=O)OC)C</t>
  </si>
  <si>
    <t>S026_P1</t>
  </si>
  <si>
    <t>Tebuconazole</t>
  </si>
  <si>
    <t>CC(C)(C)C(CCC1=CC=C(C=C1)Cl)(CN2C=NC=N2)O</t>
  </si>
  <si>
    <t>S130_P2</t>
  </si>
  <si>
    <t>Terbufos</t>
  </si>
  <si>
    <t>CCOP(=S)(OCC)SCSC(C)(C)C</t>
  </si>
  <si>
    <t>S200_P1</t>
  </si>
  <si>
    <t>Terbuthylazine</t>
  </si>
  <si>
    <t>CCNC1=NC(=NC(=N1)Cl)NC(C)(C)C</t>
  </si>
  <si>
    <t>S177_P7</t>
  </si>
  <si>
    <t>TRB</t>
  </si>
  <si>
    <t>S163_P1</t>
  </si>
  <si>
    <t>S162_P1</t>
  </si>
  <si>
    <t>S140_P2</t>
  </si>
  <si>
    <t>S116_P1</t>
  </si>
  <si>
    <t>S123_P1</t>
  </si>
  <si>
    <t>Thiamethoxam</t>
  </si>
  <si>
    <t>CN\1COCN(/C1=N/[N+](=O)[O-])CC2=CN=C(S2)Cl</t>
  </si>
  <si>
    <t>S009_P1</t>
  </si>
  <si>
    <t>Thiazopyr</t>
  </si>
  <si>
    <t>CC(C)CC1=C(C(=NC(=C1C(=O)OC)C(F)F)C(F)(F)F)C2=NCCS2</t>
  </si>
  <si>
    <t>S208_P3</t>
  </si>
  <si>
    <t>Thiencarbazone-methyl</t>
  </si>
  <si>
    <t>TCM</t>
  </si>
  <si>
    <t>CC1=C(C(=CS1)C(=O)OC)S(=O)(=O)NC(=O)N2C(=O)N(C(=N2)OC)C</t>
  </si>
  <si>
    <t>S173_P2</t>
  </si>
  <si>
    <t>trans  - 1,3-Dichloropropene</t>
  </si>
  <si>
    <t>trans-1,3-D</t>
  </si>
  <si>
    <t>S132_P1</t>
  </si>
  <si>
    <t>Triasulfuron</t>
  </si>
  <si>
    <t>CC1=NC(=NC(=N1)OC)NC(=O)NS(=O)(=O)C2=CC=CC=C2OCCCl</t>
  </si>
  <si>
    <t>S216_P2</t>
  </si>
  <si>
    <t>Tribenuron-methyl</t>
  </si>
  <si>
    <t>CC1=NC(=NC(=N1)OC)N(C)C(=O)NS(=O)(=O)C2=CC=CC=C2C(=O)OC</t>
  </si>
  <si>
    <t>S187_P2</t>
  </si>
  <si>
    <t>Tricyclazole</t>
  </si>
  <si>
    <t>CC1=C2C(=CC=C1)SC3=NN=CN23</t>
  </si>
  <si>
    <t>S043_P2</t>
  </si>
  <si>
    <t>TRCZ</t>
  </si>
  <si>
    <t>S068_P1</t>
  </si>
  <si>
    <t>S160_P1</t>
  </si>
  <si>
    <t>Trifluralin</t>
  </si>
  <si>
    <t>CCCN(CCC)C1=C(C=C(C=C1[N+](=O)[O-])C(F)(F)F)[N+](=O)[O-]</t>
  </si>
  <si>
    <t>S093_P2</t>
  </si>
  <si>
    <t>S201_P1</t>
  </si>
  <si>
    <t>Umbelliferone</t>
  </si>
  <si>
    <t>UM</t>
  </si>
  <si>
    <t>C1=CC(=CC2=C1C=CC(=O)O2)O</t>
  </si>
  <si>
    <t>Alternative pesticide</t>
  </si>
  <si>
    <t>experimental_conditions</t>
  </si>
  <si>
    <t>One row per unique experimental setup within a study. Use a new Experiment ID when temperature, moisture, design, or major setup conditions differ.</t>
  </si>
  <si>
    <t>Experiment ID</t>
  </si>
  <si>
    <t>Experiment label in paper</t>
  </si>
  <si>
    <t>Incubation type</t>
  </si>
  <si>
    <t>Temperature</t>
  </si>
  <si>
    <t>Temperature unit</t>
  </si>
  <si>
    <t>Water content</t>
  </si>
  <si>
    <t>Water content unit</t>
  </si>
  <si>
    <t>Relative humidity</t>
  </si>
  <si>
    <t>Relative humidity unit</t>
  </si>
  <si>
    <t>Duration</t>
  </si>
  <si>
    <t>Duration unit</t>
  </si>
  <si>
    <t>Sterile/non-sterile</t>
  </si>
  <si>
    <t>Light regime</t>
  </si>
  <si>
    <t>Replicates</t>
  </si>
  <si>
    <t>Artificial greenhouse</t>
  </si>
  <si>
    <t>◦C</t>
  </si>
  <si>
    <t>days</t>
  </si>
  <si>
    <t>Non-sterile</t>
  </si>
  <si>
    <t>S225_EXP1</t>
  </si>
  <si>
    <t>Batch test</t>
  </si>
  <si>
    <t>dark</t>
  </si>
  <si>
    <t>S225_EXP2</t>
  </si>
  <si>
    <t>Sterile</t>
  </si>
  <si>
    <t>S224_EXP1</t>
  </si>
  <si>
    <t>S223_EXP1</t>
  </si>
  <si>
    <t>Pot based biodegradation test</t>
  </si>
  <si>
    <t>S221_EXP1</t>
  </si>
  <si>
    <t>Control</t>
  </si>
  <si>
    <t>Tests set up in PVC pipe</t>
  </si>
  <si>
    <t>S219_EXP1</t>
  </si>
  <si>
    <t>sterile conditions</t>
  </si>
  <si>
    <t>S219_EXP2</t>
  </si>
  <si>
    <t>non-sterile conditions</t>
  </si>
  <si>
    <t>S218_EXP1</t>
  </si>
  <si>
    <t>50-60</t>
  </si>
  <si>
    <t>day/night cycles</t>
  </si>
  <si>
    <t>Pots were left outdoors so the temperature fluctuation followed the day/night cycles of June-October</t>
  </si>
  <si>
    <t>S217_EXP1</t>
  </si>
  <si>
    <t>30-25</t>
  </si>
  <si>
    <t>flooded</t>
  </si>
  <si>
    <t>S216_EXP1</t>
  </si>
  <si>
    <t>S211_EXP1</t>
  </si>
  <si>
    <t>S210_EXP1</t>
  </si>
  <si>
    <t>25-18</t>
  </si>
  <si>
    <t>S208_EXP1</t>
  </si>
  <si>
    <t>14C</t>
  </si>
  <si>
    <t>S208_EXP2</t>
  </si>
  <si>
    <t>24C</t>
  </si>
  <si>
    <t>S205_EXP1</t>
  </si>
  <si>
    <t>S204_EXP1</t>
  </si>
  <si>
    <t>S203_EXP1</t>
  </si>
  <si>
    <t>S201_EXP1</t>
  </si>
  <si>
    <t>25C</t>
  </si>
  <si>
    <t>S201_EXP2</t>
  </si>
  <si>
    <t>40C</t>
  </si>
  <si>
    <t>S200_EXP1</t>
  </si>
  <si>
    <t>20C</t>
  </si>
  <si>
    <t>S200_EXP2</t>
  </si>
  <si>
    <t>S200_EXP3</t>
  </si>
  <si>
    <t>60C</t>
  </si>
  <si>
    <t>S001_EXP1</t>
  </si>
  <si>
    <t>sealed 1.5 L Mason jars</t>
  </si>
  <si>
    <t>°C</t>
  </si>
  <si>
    <t>S003_EXP1</t>
  </si>
  <si>
    <t>polypropylene plastic bottles tests</t>
  </si>
  <si>
    <t>S004_EXP1</t>
  </si>
  <si>
    <t>30%water</t>
  </si>
  <si>
    <t>Pots in a growth chamber</t>
  </si>
  <si>
    <t>S008_EXP1</t>
  </si>
  <si>
    <t>sterilized incubator (GXZ-300B, Jiangnan Instrument Manufacture, Ningbo, P.R. China)</t>
  </si>
  <si>
    <t>S009_EXP1</t>
  </si>
  <si>
    <t>Capped glass flasks</t>
  </si>
  <si>
    <t>S009_EXP2</t>
  </si>
  <si>
    <t>S011_EXP1</t>
  </si>
  <si>
    <t>batch equilibrium method</t>
  </si>
  <si>
    <t>non-sterile</t>
  </si>
  <si>
    <t>S013_EXP1</t>
  </si>
  <si>
    <t>non_sterile conditions</t>
  </si>
  <si>
    <t>S013_EXP2</t>
  </si>
  <si>
    <t>sterile</t>
  </si>
  <si>
    <t>S199_EXP1</t>
  </si>
  <si>
    <t>dissipation experiment</t>
  </si>
  <si>
    <t>batch degradation test</t>
  </si>
  <si>
    <t>S197_EXP1</t>
  </si>
  <si>
    <t>S193_EXP1</t>
  </si>
  <si>
    <t>Moisture adjusted to follow the precipitation rates in Vicosa Brazil during th experimental period</t>
  </si>
  <si>
    <t>S019_EXP1</t>
  </si>
  <si>
    <t>S019_EXP2</t>
  </si>
  <si>
    <t>S192_EXP1</t>
  </si>
  <si>
    <t>6C</t>
  </si>
  <si>
    <t>S192_EXP2</t>
  </si>
  <si>
    <t>16C</t>
  </si>
  <si>
    <t>S191_EXP1</t>
  </si>
  <si>
    <t>Stainless cylinders</t>
  </si>
  <si>
    <t>S020_EXP1</t>
  </si>
  <si>
    <t>S187_EXP1</t>
  </si>
  <si>
    <t>Kilner jars</t>
  </si>
  <si>
    <t>kPa</t>
  </si>
  <si>
    <t>S021_EXP1</t>
  </si>
  <si>
    <t>screw-top glass bottles</t>
  </si>
  <si>
    <t>S185_EXP1</t>
  </si>
  <si>
    <t>E1</t>
  </si>
  <si>
    <t>Glass flasks</t>
  </si>
  <si>
    <t>% of field capacity</t>
  </si>
  <si>
    <t>S185_EXP2</t>
  </si>
  <si>
    <t>E2</t>
  </si>
  <si>
    <t>Soil has been previously treated with diuron and the experiment is started 3 months after the 3ug/g spike</t>
  </si>
  <si>
    <t>S022_EXP1</t>
  </si>
  <si>
    <t>tube test</t>
  </si>
  <si>
    <t>Flooded moisture conditions</t>
  </si>
  <si>
    <t>S181_EXP1</t>
  </si>
  <si>
    <t>Pot degradation experiment</t>
  </si>
  <si>
    <t>S179_EXP1</t>
  </si>
  <si>
    <t>Kilner jar degradation test</t>
  </si>
  <si>
    <t>S177_EXP1</t>
  </si>
  <si>
    <t>Aerated plastic bags</t>
  </si>
  <si>
    <t>S023_EXP1</t>
  </si>
  <si>
    <t>S023_EXP2</t>
  </si>
  <si>
    <t>S024_EXP1</t>
  </si>
  <si>
    <t>soil+ Tes(micronutrients)</t>
  </si>
  <si>
    <t>respirometer</t>
  </si>
  <si>
    <t>non sterile</t>
  </si>
  <si>
    <t>S026_EXP1</t>
  </si>
  <si>
    <t>S028_EXP1</t>
  </si>
  <si>
    <t>Glass jars</t>
  </si>
  <si>
    <t>S175_EXP1</t>
  </si>
  <si>
    <t>S027_EXP1</t>
  </si>
  <si>
    <t>Mineralization</t>
  </si>
  <si>
    <t>glass conical biometric flasks</t>
  </si>
  <si>
    <t>S174_EXP1</t>
  </si>
  <si>
    <t>S173_EXP1</t>
  </si>
  <si>
    <t>OM type</t>
  </si>
  <si>
    <t>S173_EXP2</t>
  </si>
  <si>
    <t>Soil type</t>
  </si>
  <si>
    <t>S034_EXP1</t>
  </si>
  <si>
    <t>60% WHCma</t>
  </si>
  <si>
    <t>S034_EXP2</t>
  </si>
  <si>
    <t>Slurry conditions</t>
  </si>
  <si>
    <t>S037_EXP1</t>
  </si>
  <si>
    <t>non-flooded conditions</t>
  </si>
  <si>
    <t>glass test tubes</t>
  </si>
  <si>
    <t>S172_EXP1</t>
  </si>
  <si>
    <t>Microcosm experiment</t>
  </si>
  <si>
    <t>S171_EXP1</t>
  </si>
  <si>
    <t>S170_EXP1</t>
  </si>
  <si>
    <t>S039_EXP1</t>
  </si>
  <si>
    <t>S039_EXP2</t>
  </si>
  <si>
    <t>Addition of same rate of sodium citrate  as the amendment</t>
  </si>
  <si>
    <t>S043_EXP1</t>
  </si>
  <si>
    <t>S043_EXP2</t>
  </si>
  <si>
    <t>AMPA</t>
  </si>
  <si>
    <t>S169_EXP1</t>
  </si>
  <si>
    <t>Flask degradation test</t>
  </si>
  <si>
    <t>S167_EXP1</t>
  </si>
  <si>
    <t>S166_EXP1</t>
  </si>
  <si>
    <t xml:space="preserve">Glass jars </t>
  </si>
  <si>
    <t>S164_EXP1</t>
  </si>
  <si>
    <t>S163_EXP1</t>
  </si>
  <si>
    <t>PVC soil column test</t>
  </si>
  <si>
    <t>% w/w</t>
  </si>
  <si>
    <t>S162_EXP1</t>
  </si>
  <si>
    <t>S162_EXP2</t>
  </si>
  <si>
    <t>S160_EXP1</t>
  </si>
  <si>
    <t>S158_EXP1</t>
  </si>
  <si>
    <t>S155_EXP1</t>
  </si>
  <si>
    <t>S057_EXP1</t>
  </si>
  <si>
    <t>S154_EXP1</t>
  </si>
  <si>
    <t>Soil dissipation</t>
  </si>
  <si>
    <t>Glass bottles</t>
  </si>
  <si>
    <t>S153_EXP1</t>
  </si>
  <si>
    <t>Dissipation of MCPA</t>
  </si>
  <si>
    <t>S151_EXP1</t>
  </si>
  <si>
    <t>Dissipation studies</t>
  </si>
  <si>
    <t>S061_EXP1</t>
  </si>
  <si>
    <t>S149_EXP1</t>
  </si>
  <si>
    <t>S063_EXP1</t>
  </si>
  <si>
    <t>Bio-degradation experiment</t>
  </si>
  <si>
    <t>S143_EXP1</t>
  </si>
  <si>
    <t>Labortory experiment</t>
  </si>
  <si>
    <t>S140_EXP1</t>
  </si>
  <si>
    <t>Degradation studies</t>
  </si>
  <si>
    <t>S137_EXP1</t>
  </si>
  <si>
    <t>Soil-incubation experiment</t>
  </si>
  <si>
    <t>S064_EXP1</t>
  </si>
  <si>
    <t>Plastic jars</t>
  </si>
  <si>
    <t>S064_EXP2</t>
  </si>
  <si>
    <t>S135_EXP1</t>
  </si>
  <si>
    <t>Bioremediation treatments</t>
  </si>
  <si>
    <t>S132_EXP1</t>
  </si>
  <si>
    <t>Containers</t>
  </si>
  <si>
    <t>S131_EXP1</t>
  </si>
  <si>
    <t>S129_EXP1</t>
  </si>
  <si>
    <t>Organic amendments</t>
  </si>
  <si>
    <t>Teflon centrifuge tubes</t>
  </si>
  <si>
    <t>hours</t>
  </si>
  <si>
    <t>S123_EXP1</t>
  </si>
  <si>
    <t>Soil cultivation experiment</t>
  </si>
  <si>
    <t>light/dark cycle</t>
  </si>
  <si>
    <t>S116_EXP1</t>
  </si>
  <si>
    <t>Degradation experiments</t>
  </si>
  <si>
    <t>S130_EXP1</t>
  </si>
  <si>
    <t>Degradation study</t>
  </si>
  <si>
    <t xml:space="preserve">OECD lab degradation </t>
  </si>
  <si>
    <t>S067_EXP1</t>
  </si>
  <si>
    <t>Incubation experiment</t>
  </si>
  <si>
    <t>Glass beakers</t>
  </si>
  <si>
    <t>S121_EXP1</t>
  </si>
  <si>
    <t>Degradation experiment</t>
  </si>
  <si>
    <t>S141_EXP1</t>
  </si>
  <si>
    <t>S068_EXP1</t>
  </si>
  <si>
    <t>beakers</t>
  </si>
  <si>
    <t>S111_EXP1</t>
  </si>
  <si>
    <t>Acetochlor degradation</t>
  </si>
  <si>
    <t>S109_EXP1</t>
  </si>
  <si>
    <t>Freeze-thaw cycle experiment</t>
  </si>
  <si>
    <t>Soil column</t>
  </si>
  <si>
    <t>S107_EXP1</t>
  </si>
  <si>
    <t>S105_EXP1</t>
  </si>
  <si>
    <t>Degradation of atrazine</t>
  </si>
  <si>
    <t>Conical flasks</t>
  </si>
  <si>
    <t>S104_EXP1</t>
  </si>
  <si>
    <t>Effect of amendment</t>
  </si>
  <si>
    <t>Glass vials</t>
  </si>
  <si>
    <t>S073_EXP1</t>
  </si>
  <si>
    <t>% of field capacity (61.29%)</t>
  </si>
  <si>
    <t>S075_EXP1</t>
  </si>
  <si>
    <t>disspation study</t>
  </si>
  <si>
    <t>Schott Duran flasks</t>
  </si>
  <si>
    <t>S076_EXP1</t>
  </si>
  <si>
    <t>degradation study</t>
  </si>
  <si>
    <t>S081_EXP1</t>
  </si>
  <si>
    <t>Herbicide degradation experiment</t>
  </si>
  <si>
    <t>plastic tubes</t>
  </si>
  <si>
    <t>S083_EXP1</t>
  </si>
  <si>
    <t>S085_EXP1</t>
  </si>
  <si>
    <t>S086_EXP1</t>
  </si>
  <si>
    <t xml:space="preserve">Atrazine dissipation study </t>
  </si>
  <si>
    <t>polypropylene bags</t>
  </si>
  <si>
    <t>Pre-incubation time : 1 day</t>
  </si>
  <si>
    <t>S086_EXP2</t>
  </si>
  <si>
    <t>Pre-incubation time :  10 days</t>
  </si>
  <si>
    <t>S086_EXP3</t>
  </si>
  <si>
    <t>Pre-incubation time : 20 days</t>
  </si>
  <si>
    <t>S086_EXP4</t>
  </si>
  <si>
    <t>Pre-incubation time : 30 days</t>
  </si>
  <si>
    <t>S087_EXP1</t>
  </si>
  <si>
    <t>Pre-incubation 1 month</t>
  </si>
  <si>
    <t>S087_EXP2</t>
  </si>
  <si>
    <t>Pre-incubation 12 months</t>
  </si>
  <si>
    <t>S093_EXP1</t>
  </si>
  <si>
    <t>mineralization study for glyphosate</t>
  </si>
  <si>
    <t>Mason jars</t>
  </si>
  <si>
    <t>S093_EXP2</t>
  </si>
  <si>
    <t>mineralization study for trifluralin</t>
  </si>
  <si>
    <t>S094_EXP1</t>
  </si>
  <si>
    <t>S095_EXP1</t>
  </si>
  <si>
    <t>glass jars</t>
  </si>
  <si>
    <t>S097_EXP1</t>
  </si>
  <si>
    <t>S098_EXP1</t>
  </si>
  <si>
    <t>Experimental setup</t>
  </si>
  <si>
    <t>plastic plantation pots</t>
  </si>
  <si>
    <t>S100_EXP1</t>
  </si>
  <si>
    <t>S010_EXP1</t>
  </si>
  <si>
    <t>pots</t>
  </si>
  <si>
    <t>S032_EXP1</t>
  </si>
  <si>
    <t>S015_EXP1</t>
  </si>
  <si>
    <t>HPDE jars</t>
  </si>
  <si>
    <t>S079_EXP1</t>
  </si>
  <si>
    <t>Erlenmeyer flasks</t>
  </si>
  <si>
    <t>S090_EXP1</t>
  </si>
  <si>
    <t>glass bottle</t>
  </si>
  <si>
    <t>S084_EXP1</t>
  </si>
  <si>
    <t>Batch incubation</t>
  </si>
  <si>
    <t>Dark</t>
  </si>
  <si>
    <t>results</t>
  </si>
  <si>
    <t>One row per observation. Recommended observation unit: one Study ID × Experiment ID × Soil ID × Amendment ID × Pesticide ID × time point. For summary-only papers, fill DT50 and/or k and leave Time/Concentration blank.</t>
  </si>
  <si>
    <t>Degradation data</t>
  </si>
  <si>
    <t>Mineralization data</t>
  </si>
  <si>
    <t>Sorption data</t>
  </si>
  <si>
    <t>Time</t>
  </si>
  <si>
    <t>Time unit</t>
  </si>
  <si>
    <t>Concentration (initial)</t>
  </si>
  <si>
    <t>Concentration(final)</t>
  </si>
  <si>
    <t>Concentration unit</t>
  </si>
  <si>
    <t>Degradation rate (%)</t>
  </si>
  <si>
    <t>DT50</t>
  </si>
  <si>
    <t>DT50 unit</t>
  </si>
  <si>
    <t>DT50(2)</t>
  </si>
  <si>
    <t>DT50(2) unit</t>
  </si>
  <si>
    <t>k</t>
  </si>
  <si>
    <t>k unit</t>
  </si>
  <si>
    <t>k2</t>
  </si>
  <si>
    <t>k2 unit</t>
  </si>
  <si>
    <t>α</t>
  </si>
  <si>
    <t>β</t>
  </si>
  <si>
    <t>R2</t>
  </si>
  <si>
    <t>Degratation model</t>
  </si>
  <si>
    <t>Control available?</t>
  </si>
  <si>
    <t>Mineralization rate(%)</t>
  </si>
  <si>
    <t>DT50(unit)</t>
  </si>
  <si>
    <t>r²</t>
  </si>
  <si>
    <t>kinetic model</t>
  </si>
  <si>
    <t>Sorption constant</t>
  </si>
  <si>
    <t>Unit</t>
  </si>
  <si>
    <t>n</t>
  </si>
  <si>
    <t>Type of sorption constant</t>
  </si>
  <si>
    <t>S226_EXP1</t>
  </si>
  <si>
    <t>1/days</t>
  </si>
  <si>
    <t>SFO</t>
  </si>
  <si>
    <t>DT50 calculated manually</t>
  </si>
  <si>
    <t>Kf</t>
  </si>
  <si>
    <t>The degradation rate constants in 0-10 cm of soil; DT50 calculated based on the SFO equation</t>
  </si>
  <si>
    <t>No clear distinction between the OA affected degradation between the 2 studied soils… Questionable usability of data</t>
  </si>
  <si>
    <t>FOMC</t>
  </si>
  <si>
    <t>L/kg</t>
  </si>
  <si>
    <t>Kd</t>
  </si>
  <si>
    <t>S001_S01</t>
  </si>
  <si>
    <t>S001_S02</t>
  </si>
  <si>
    <t>S001_S03</t>
  </si>
  <si>
    <t>S001_S04</t>
  </si>
  <si>
    <t xml:space="preserve">Negligible biological degradation </t>
  </si>
  <si>
    <t>umol/kg</t>
  </si>
  <si>
    <t>No data on the initial concentration of IPU</t>
  </si>
  <si>
    <t>DFOP</t>
  </si>
  <si>
    <t>g/ha</t>
  </si>
  <si>
    <t>S181_EPX1</t>
  </si>
  <si>
    <t>Degradation rate calculated manually</t>
  </si>
  <si>
    <t>Degradation rate calculated manually. Unamended soil 100% of the initially applied concentration is recovered on the last days</t>
  </si>
  <si>
    <t>1.79*10^5</t>
  </si>
  <si>
    <t>1.04*10^4</t>
  </si>
  <si>
    <t>Include a lag phase of 9 days</t>
  </si>
  <si>
    <t>1.35*10^5</t>
  </si>
  <si>
    <t>Include a lag phase of 14 days</t>
  </si>
  <si>
    <t>6.53*10^4</t>
  </si>
  <si>
    <t>cis-1,3-dichloropropene</t>
  </si>
  <si>
    <t>chloropicrin</t>
  </si>
  <si>
    <t>trans-1,3-dichloropropene</t>
  </si>
  <si>
    <t>Gompertz growth model</t>
  </si>
  <si>
    <t>lindane</t>
  </si>
  <si>
    <t>Azimisulfuron</t>
  </si>
  <si>
    <t>Control was done on the field</t>
  </si>
  <si>
    <t>(mg/kg)/(mg/L)^1/n</t>
  </si>
  <si>
    <t>Onduty</t>
  </si>
  <si>
    <t xml:space="preserve">No degradation observed for the control treatment </t>
  </si>
  <si>
    <t>1/h</t>
  </si>
  <si>
    <t>0,97</t>
  </si>
  <si>
    <t>1,00</t>
  </si>
  <si>
    <t>0,99</t>
  </si>
  <si>
    <t>0,96</t>
  </si>
  <si>
    <t>0,98</t>
  </si>
  <si>
    <t>0,93</t>
  </si>
  <si>
    <t>0,94</t>
  </si>
  <si>
    <t>0,91</t>
  </si>
  <si>
    <t>0,95</t>
  </si>
  <si>
    <t>&gt;1000</t>
  </si>
  <si>
    <t>chlorpyrifos</t>
  </si>
  <si>
    <t>FODE</t>
  </si>
  <si>
    <t>SFOP</t>
  </si>
  <si>
    <t>ID system and naming rules</t>
  </si>
  <si>
    <t>Entity</t>
  </si>
  <si>
    <t>Format</t>
  </si>
  <si>
    <t>Example</t>
  </si>
  <si>
    <t>Rule</t>
  </si>
  <si>
    <t>Assigned after deduplication. Never changed or reused.</t>
  </si>
  <si>
    <t>S014_S2</t>
  </si>
  <si>
    <t>Always assign, even if only one soil exists in the paper.</t>
  </si>
  <si>
    <t>S001_AM0 / S001_AM1</t>
  </si>
  <si>
    <t>S014_AM0 = control; S014_AM2 = compost 5%</t>
  </si>
  <si>
    <t>AM0 is always the no-amendment control. Different rates get different Amendment IDs.</t>
  </si>
  <si>
    <t>S014_P3</t>
  </si>
  <si>
    <t>Unique within study. Use full standardized pesticide name in the 'Pesticide name' column.</t>
  </si>
  <si>
    <t>S014_EXP2</t>
  </si>
  <si>
    <t>Use a new Experiment ID when temperature, moisture, sterility, or major setup differs.</t>
  </si>
  <si>
    <t>Extraction workbook overview</t>
  </si>
  <si>
    <t>Section</t>
  </si>
  <si>
    <t>Instruction</t>
  </si>
  <si>
    <t>Purpose</t>
  </si>
  <si>
    <t>Use this workbook to extract data from eligible studies after full-text screening.</t>
  </si>
  <si>
    <t>Working rule</t>
  </si>
  <si>
    <t>Enter original values as reported. Do not convert units during extraction; keep original units and document ambiguity in Notes.</t>
  </si>
  <si>
    <t>Control rule</t>
  </si>
  <si>
    <t>Every included study must contain a non-amended control. In amendment_properties, code this as AM0.</t>
  </si>
  <si>
    <t>Naming rule</t>
  </si>
  <si>
    <t>Use full standardized pesticide names, not abbreviations or trade names. Keep IDs stable once assigned.</t>
  </si>
  <si>
    <t>Linking rule</t>
  </si>
  <si>
    <t>All sheets use Study ID. Results should also reference Experiment ID, Soil ID, Amendment ID, and Pesticide ID.</t>
  </si>
  <si>
    <t>Suggested order</t>
  </si>
  <si>
    <t>1) fill study_info, 2) define soil IDs, 3) define amendment IDs, 4) define pesticide IDs, 5) define experiment IDs, 6) fill results.</t>
  </si>
  <si>
    <t>Biochar Name</t>
  </si>
  <si>
    <t>Feedstock Composition</t>
  </si>
  <si>
    <t>Optional comments about Feedstock</t>
  </si>
  <si>
    <t>Commercial</t>
  </si>
  <si>
    <t>Geographic Region</t>
  </si>
  <si>
    <t>Manufacturer</t>
  </si>
  <si>
    <t>Pyrolysis Method</t>
  </si>
  <si>
    <t>Source: Peer Reviewed Publication</t>
  </si>
  <si>
    <t>Reference</t>
  </si>
  <si>
    <t>Moisture (%)</t>
  </si>
  <si>
    <t>Temperature (C)</t>
  </si>
  <si>
    <t>Total Ash Content (%)</t>
  </si>
  <si>
    <t xml:space="preserve">C Organic (%)  </t>
  </si>
  <si>
    <t>Total C (%) Used in Plot</t>
  </si>
  <si>
    <t>Total N (%)</t>
  </si>
  <si>
    <t>H (%)</t>
  </si>
  <si>
    <t>O (%)</t>
  </si>
  <si>
    <t>EC (dS/m)</t>
  </si>
  <si>
    <t>Mean Particle Size (mm)</t>
  </si>
  <si>
    <t>Germination Inhibition</t>
  </si>
  <si>
    <t>Polycylic Aromatic Hydrocarbons (mg/kg)</t>
  </si>
  <si>
    <t>Dioxin/Furan (mg/kg)</t>
  </si>
  <si>
    <t>Polychlorinated Biphenyls (mg/kg)</t>
  </si>
  <si>
    <t>Arsenic (mg/kg)</t>
  </si>
  <si>
    <t>Cadmium (mg/kg)</t>
  </si>
  <si>
    <t>Chromium (mg/kg)</t>
  </si>
  <si>
    <t>Cobalt (mg/kg)</t>
  </si>
  <si>
    <t>Copper (mg/kg)</t>
  </si>
  <si>
    <t>Lead (mg/kg)</t>
  </si>
  <si>
    <t>Molybdenum (mg/kg)</t>
  </si>
  <si>
    <t>Mercury (mg/kg)</t>
  </si>
  <si>
    <t>Nickel (mg/kg)</t>
  </si>
  <si>
    <t>Selenium (mg/kg)</t>
  </si>
  <si>
    <t>Zinc (mg/kg)</t>
  </si>
  <si>
    <t>Boron (mg/kg)</t>
  </si>
  <si>
    <t>Chlorine (mg/kg)</t>
  </si>
  <si>
    <t>Sodium (mg/kg)</t>
  </si>
  <si>
    <t>Previous Page</t>
  </si>
  <si>
    <t>Cation Exchange Capacity (cmolc/kg)</t>
  </si>
  <si>
    <t>Method Summary/Reference</t>
  </si>
  <si>
    <t>Volatile Matter (%)</t>
  </si>
  <si>
    <t>Total Surface Area (m2/g)</t>
  </si>
  <si>
    <t>Extractable P (mg/kg)</t>
  </si>
  <si>
    <t>Total P (mg/kg)</t>
  </si>
  <si>
    <t>Calcium (mg/kg)</t>
  </si>
  <si>
    <t>Magnesium (mg/kg)</t>
  </si>
  <si>
    <t>Potassium (mg/kg)</t>
  </si>
  <si>
    <t>Aluminum (mg/kg)</t>
  </si>
  <si>
    <t>Iron (mg/kg)</t>
  </si>
  <si>
    <t>Elemental extraction method</t>
  </si>
  <si>
    <t>Cladophora coelothrix1</t>
  </si>
  <si>
    <t>Non commercial</t>
  </si>
  <si>
    <t>Yes</t>
  </si>
  <si>
    <t>Mutanda et al., Bioresource Technology,  102,  1 (2011)  57-70</t>
  </si>
  <si>
    <t>Cladophora patentiramea1</t>
  </si>
  <si>
    <t>Chaetomorpha indica1</t>
  </si>
  <si>
    <t>Chaetomorpha linum1</t>
  </si>
  <si>
    <t>Cladophoropsis sp.1</t>
  </si>
  <si>
    <t>Caulerpa taxifolia1</t>
  </si>
  <si>
    <t>Cladophora vagabunda1</t>
  </si>
  <si>
    <t>Fiscue grass1</t>
  </si>
  <si>
    <t>Grass</t>
  </si>
  <si>
    <t>Keiluweit et al., Env Sci &amp; Technol 44, 4 (2010) 1247-1253</t>
  </si>
  <si>
    <t>Grass straw charf1</t>
  </si>
  <si>
    <t>Wheat straw1</t>
  </si>
  <si>
    <t>Chun et al., Env Sci &amp; Technol 38, (2004) 4649-4655</t>
  </si>
  <si>
    <t>Wheat straw2</t>
  </si>
  <si>
    <t>Wheat straw3</t>
  </si>
  <si>
    <t>Wheat straw4</t>
  </si>
  <si>
    <t>Mahinpey et al., Energy and Fuels 23 (2009) 2736-2742</t>
  </si>
  <si>
    <t>Cordgrass1</t>
  </si>
  <si>
    <t>Harvey et al., Environ. Sci. Technol. 45,13 (2011) 5550-5556</t>
  </si>
  <si>
    <t>Cordgrass2</t>
  </si>
  <si>
    <t>Cordgrass3</t>
  </si>
  <si>
    <t>Cordgrass4</t>
  </si>
  <si>
    <t>Corn Stover1</t>
  </si>
  <si>
    <t>Corn stover</t>
  </si>
  <si>
    <t>Spokas and Reicosky, Annal. Environ. Sci. (2009) 3 179-193</t>
  </si>
  <si>
    <t>Corn Stover2</t>
  </si>
  <si>
    <t>Corn Stover3</t>
  </si>
  <si>
    <t>Corn Stover4</t>
  </si>
  <si>
    <t>Corn Stover5</t>
  </si>
  <si>
    <t>Peanut hull1</t>
  </si>
  <si>
    <t>Hull</t>
  </si>
  <si>
    <t>Novak et al., Annal. Environ. Sci. (2009) 3 195-206</t>
  </si>
  <si>
    <t>Peanut hull2</t>
  </si>
  <si>
    <t>Peanut hull3</t>
  </si>
  <si>
    <t>Peanut hull4</t>
  </si>
  <si>
    <t>Peanut hull5</t>
  </si>
  <si>
    <t>Peanut hulll-aged1</t>
  </si>
  <si>
    <t>Poultry litter1</t>
  </si>
  <si>
    <t>Chan et al., Australian J. Soil Research 46 (2008) 437-444</t>
  </si>
  <si>
    <t>Poultry litter2</t>
  </si>
  <si>
    <t>Poultry litter3</t>
  </si>
  <si>
    <t>Poultry litter4</t>
  </si>
  <si>
    <t>Poultry litter5</t>
  </si>
  <si>
    <t>Gaskin et al., ASABE 51, 6 (2008) 2061-2069</t>
  </si>
  <si>
    <t>Poultry litter6</t>
  </si>
  <si>
    <t>Apricot stone1</t>
  </si>
  <si>
    <t>Ozcimen and Ersoy-Mericboyu, Renewable Energy 35 (2010) 1319-1324</t>
  </si>
  <si>
    <t>Hazelnut shell1</t>
  </si>
  <si>
    <t>Nutshell</t>
  </si>
  <si>
    <t>Chestnut shell1</t>
  </si>
  <si>
    <t>Pecan shell1</t>
  </si>
  <si>
    <t>Pecan shell2</t>
  </si>
  <si>
    <t>Macadamia shell1</t>
  </si>
  <si>
    <t>Ponderosa pine shavings1</t>
  </si>
  <si>
    <t>Soft Wood</t>
  </si>
  <si>
    <t>Ponderosa pine shavings2</t>
  </si>
  <si>
    <t>Ponderosa pine shavings3</t>
  </si>
  <si>
    <t>Ponderosa pine shavings4</t>
  </si>
  <si>
    <t>Ponderosa pine shavings5</t>
  </si>
  <si>
    <t>Ponderosa pine shavings6</t>
  </si>
  <si>
    <t>Ponderosa pine shavings7</t>
  </si>
  <si>
    <t>Wood1</t>
  </si>
  <si>
    <t>Wood</t>
  </si>
  <si>
    <t>Major et al., Plant Soil 333 (2010) 117-128</t>
  </si>
  <si>
    <t>Cellulose1</t>
  </si>
  <si>
    <t>Argudo et al., Carbon 36, 7-8 (1998) 1027-1031</t>
  </si>
  <si>
    <t>Cellulose2</t>
  </si>
  <si>
    <t>Cellulose3</t>
  </si>
  <si>
    <t>Cellulose4</t>
  </si>
  <si>
    <t>Chestnut wood charf1</t>
  </si>
  <si>
    <t>Hard Wood</t>
  </si>
  <si>
    <t>Hammes et al., Applied Geochem. 23 (2008) 2113-2122</t>
  </si>
  <si>
    <t>Pine Chips1</t>
  </si>
  <si>
    <t>Pine Chips2</t>
  </si>
  <si>
    <t>Pine woodchips1</t>
  </si>
  <si>
    <t>Oak+Hickory1</t>
  </si>
  <si>
    <t>Pine woodchips2</t>
  </si>
  <si>
    <t>Wood Pellets 600</t>
  </si>
  <si>
    <t>Hardwood char1</t>
  </si>
  <si>
    <t>Eucalyptus saligna wood1</t>
  </si>
  <si>
    <t>Australia</t>
  </si>
  <si>
    <t>Singh et al., Australian J. Soil Research 48 (2010) 516-525</t>
  </si>
  <si>
    <t>Eucalyptus saligna wood2</t>
  </si>
  <si>
    <t>Eucalyptus saligna wood3</t>
  </si>
  <si>
    <t>Eucalyptus saligna wood4</t>
  </si>
  <si>
    <t>Grapeseed1</t>
  </si>
  <si>
    <t>Pomace</t>
  </si>
  <si>
    <t>Orange peels1</t>
  </si>
  <si>
    <t>Chen and Chen, Chemosphere 76 (2009) 127-133</t>
  </si>
  <si>
    <t>Orange peels2</t>
  </si>
  <si>
    <t>Orange peels3</t>
  </si>
  <si>
    <t>Orange peel4</t>
  </si>
  <si>
    <t>Orange peel5</t>
  </si>
  <si>
    <t>Orange peels6</t>
  </si>
  <si>
    <t>Orange peels7</t>
  </si>
  <si>
    <t>Orange peels8</t>
  </si>
  <si>
    <t>Orange peels9</t>
  </si>
  <si>
    <t>Enhanced biochar</t>
  </si>
  <si>
    <t>Mukome et al., J. Agric. Food Chem. 61, 9 (2013) 2196-2204</t>
  </si>
  <si>
    <t>Turkey Litter</t>
  </si>
  <si>
    <t>Walnut Shell</t>
  </si>
  <si>
    <t>Hog waste</t>
  </si>
  <si>
    <t>Wood feedstock (510)</t>
  </si>
  <si>
    <t>Wood feedstock (410)</t>
  </si>
  <si>
    <t>New Earth Pine</t>
  </si>
  <si>
    <t>Innoculated Char</t>
  </si>
  <si>
    <t>Charcoal Green</t>
  </si>
  <si>
    <t>HW</t>
  </si>
  <si>
    <t>Cottonwood</t>
  </si>
  <si>
    <t>Soybean</t>
  </si>
  <si>
    <t xml:space="preserve">Enders et al., Bioresource Technology 114 (2012) 644-653.  </t>
  </si>
  <si>
    <t>Switchgrass</t>
  </si>
  <si>
    <t>Bull Manure 300</t>
  </si>
  <si>
    <t>Bull Manure 350</t>
  </si>
  <si>
    <t>Bull Manure 400</t>
  </si>
  <si>
    <t>Bull Manure 450</t>
  </si>
  <si>
    <t>Bull Manure 500</t>
  </si>
  <si>
    <t>Bull Manure 550</t>
  </si>
  <si>
    <t>Bull Manure 600</t>
  </si>
  <si>
    <t>Rice Husk</t>
  </si>
  <si>
    <t>Carbonized Pine</t>
  </si>
  <si>
    <t>Composted Dairy Manure</t>
  </si>
  <si>
    <t>Composed Dairy Manure+Wood</t>
  </si>
  <si>
    <t>Corn 300</t>
  </si>
  <si>
    <t>Corn 350</t>
  </si>
  <si>
    <t>Corn 400</t>
  </si>
  <si>
    <t>Corn 450</t>
  </si>
  <si>
    <t>Corn 500</t>
  </si>
  <si>
    <t>Corn 550</t>
  </si>
  <si>
    <t>Corn 600</t>
  </si>
  <si>
    <t>Dairy Manure 300</t>
  </si>
  <si>
    <t>Dairy Manure 350</t>
  </si>
  <si>
    <t>Dairy Manure 400</t>
  </si>
  <si>
    <t xml:space="preserve">Enders et al., Bioresource Technology 114 (2012) 644-653. </t>
  </si>
  <si>
    <t>Dairy Manure 450</t>
  </si>
  <si>
    <t>Dairy Manure 500</t>
  </si>
  <si>
    <t>Dairy Manure 550</t>
  </si>
  <si>
    <t>Dairy Manure 600</t>
  </si>
  <si>
    <t>Digested Dairy Manure 300</t>
  </si>
  <si>
    <t>Digested Dairy Manure 350</t>
  </si>
  <si>
    <t>Digested Dairy Manure 400</t>
  </si>
  <si>
    <t>Digested Dairy Manure 450</t>
  </si>
  <si>
    <t>Digested  Dairy Manure 500</t>
  </si>
  <si>
    <t>Digested Dairy Manure 550</t>
  </si>
  <si>
    <t>Digested Dairy Manure 600</t>
  </si>
  <si>
    <t>Mixed Softwood</t>
  </si>
  <si>
    <t>Peanut</t>
  </si>
  <si>
    <t>Food 300</t>
  </si>
  <si>
    <t>Food 400</t>
  </si>
  <si>
    <t>Food 500</t>
  </si>
  <si>
    <t>Food 600</t>
  </si>
  <si>
    <t>Poultry Manure 2</t>
  </si>
  <si>
    <t>Hazelnut 300</t>
  </si>
  <si>
    <t>Hazelnut 350</t>
  </si>
  <si>
    <t>Hazelnut 400</t>
  </si>
  <si>
    <t>Hazelnut 450</t>
  </si>
  <si>
    <t>Hazelnut 500</t>
  </si>
  <si>
    <t>PI200</t>
  </si>
  <si>
    <t>PI300</t>
  </si>
  <si>
    <t>PI350</t>
  </si>
  <si>
    <t>PI650</t>
  </si>
  <si>
    <t>HM200</t>
  </si>
  <si>
    <t>HM300</t>
  </si>
  <si>
    <t>HM350</t>
  </si>
  <si>
    <t>HM650</t>
  </si>
  <si>
    <t>Turkey Manure+Woodchips1</t>
  </si>
  <si>
    <t>AGROCARBON-ABC-biochar</t>
  </si>
  <si>
    <t xml:space="preserve">European Union </t>
  </si>
  <si>
    <t>3R Environmental Technologies</t>
  </si>
  <si>
    <t xml:space="preserve">low temperature carbonization </t>
  </si>
  <si>
    <t>No</t>
  </si>
  <si>
    <t xml:space="preserve">http://www.agrocarbon.com </t>
  </si>
  <si>
    <t>5 mm</t>
  </si>
  <si>
    <t>Pass</t>
  </si>
  <si>
    <t>&lt;0.01</t>
  </si>
  <si>
    <t>&lt;1</t>
  </si>
  <si>
    <t>&lt;0.5</t>
  </si>
  <si>
    <t>EPA</t>
  </si>
  <si>
    <t>Hazelnut 550</t>
  </si>
  <si>
    <t>Hazelnut 600</t>
  </si>
  <si>
    <t>Corn 3</t>
  </si>
  <si>
    <t>Grass Clippings 2</t>
  </si>
  <si>
    <t>Mixed Vegetation</t>
  </si>
  <si>
    <t>Kuikui</t>
  </si>
  <si>
    <t>Macadamia</t>
  </si>
  <si>
    <t>Enders et al., Bioresource Technology 114 (2012) 644-653.</t>
  </si>
  <si>
    <t>Corn 2</t>
  </si>
  <si>
    <t>Oak 300</t>
  </si>
  <si>
    <t>Oak 350</t>
  </si>
  <si>
    <t>Oak 400</t>
  </si>
  <si>
    <t>Oak 450</t>
  </si>
  <si>
    <t>Oak 500</t>
  </si>
  <si>
    <t>Oak 550</t>
  </si>
  <si>
    <t>Oak 600</t>
  </si>
  <si>
    <t>Paper 300</t>
  </si>
  <si>
    <t>Paper 400</t>
  </si>
  <si>
    <t>Paper 500</t>
  </si>
  <si>
    <t>Paper 600</t>
  </si>
  <si>
    <t>Pine 300</t>
  </si>
  <si>
    <t>Pine 350</t>
  </si>
  <si>
    <t>Pine 400</t>
  </si>
  <si>
    <t>Pine 450</t>
  </si>
  <si>
    <t>Pine 500</t>
  </si>
  <si>
    <t>Pine 550</t>
  </si>
  <si>
    <t>Pine 600</t>
  </si>
  <si>
    <t>Poultry Manure 300</t>
  </si>
  <si>
    <t>Poultry Manure 350</t>
  </si>
  <si>
    <t>Poultry Manure 400</t>
  </si>
  <si>
    <t>Poultry Manure 450</t>
  </si>
  <si>
    <t>Poultry Manure 500</t>
  </si>
  <si>
    <t>Poultry Manure 550</t>
  </si>
  <si>
    <t>Poultry Manure 600</t>
  </si>
  <si>
    <t>Raw Dairy Manure</t>
  </si>
  <si>
    <t>Mixture 220</t>
  </si>
  <si>
    <t>Mixture 240</t>
  </si>
  <si>
    <t>Switchgrass 2</t>
  </si>
  <si>
    <t>Pine 2</t>
  </si>
  <si>
    <t xml:space="preserve">Mixed Hardwood </t>
  </si>
  <si>
    <t>Mixed Woodships</t>
  </si>
  <si>
    <t>Leaves</t>
  </si>
  <si>
    <t>Grass Clippings</t>
  </si>
  <si>
    <t>Brush</t>
  </si>
  <si>
    <t>Switchgass FP (3) 500</t>
  </si>
  <si>
    <t>Brewer et al.,  Environ. Prog. Sustainable Energy 28 (2009) 386-396.</t>
  </si>
  <si>
    <t>Corn stover FP 500</t>
  </si>
  <si>
    <t>Corn stover gasification</t>
  </si>
  <si>
    <t>Corn stover SP 500</t>
  </si>
  <si>
    <t xml:space="preserve">Hardwood SP </t>
  </si>
  <si>
    <t>Switchgrass FP 500</t>
  </si>
  <si>
    <t>Switchgrass gasification 760</t>
  </si>
  <si>
    <t>Switchgrass SP 500</t>
  </si>
  <si>
    <t>Almond Shells 600</t>
  </si>
  <si>
    <t>Cordero et al. Fuels 80 (2001) 1567-1571.</t>
  </si>
  <si>
    <t>Eucalyptus saligna 700</t>
  </si>
  <si>
    <t>Olive stones 600</t>
  </si>
  <si>
    <t>Pinus halepensis 300</t>
  </si>
  <si>
    <t>Pinus halepensis 350</t>
  </si>
  <si>
    <t>Pinus halepensis 400</t>
  </si>
  <si>
    <t>Pinus halepensis 450</t>
  </si>
  <si>
    <t>Pinus halepensis 500</t>
  </si>
  <si>
    <t>Pinus halepensis 550</t>
  </si>
  <si>
    <t>Pinus halepensis 600</t>
  </si>
  <si>
    <t>Quercus rotundifolia 300</t>
  </si>
  <si>
    <t>Quercus rotundifolia 350</t>
  </si>
  <si>
    <t>Quercus rotundifolia 400</t>
  </si>
  <si>
    <t>Quercus rotundifolia 450</t>
  </si>
  <si>
    <t>Quercus rotundifolia 500</t>
  </si>
  <si>
    <t>Quercus rotundifolia 550</t>
  </si>
  <si>
    <t>Quercus rotundifolia 600</t>
  </si>
  <si>
    <t>Wet Straw 600</t>
  </si>
  <si>
    <t>High Volatile Matter 430</t>
  </si>
  <si>
    <t>Other/ Mixed</t>
  </si>
  <si>
    <t>Deenik et al., Soil Sci. Soc. Am. J. 74 (2010) 1259-1270.</t>
  </si>
  <si>
    <t>Low Volatile Matter 650</t>
  </si>
  <si>
    <t>Corn Stover 450</t>
  </si>
  <si>
    <t>Lee et al., Environ. Sci. Technol. 44 (2010) 7970-7974.</t>
  </si>
  <si>
    <t>Corn Stover 700</t>
  </si>
  <si>
    <t>Apricot stone 823</t>
  </si>
  <si>
    <t>Chestnut shell 750</t>
  </si>
  <si>
    <t>Grapeseed 750</t>
  </si>
  <si>
    <t>Hazelnut shell 750</t>
  </si>
  <si>
    <t>Rapeseed Cake 500</t>
  </si>
  <si>
    <t>Ozcimen and Karaosmanoglu, Renewable Energy 29 (2004) 779-787</t>
  </si>
  <si>
    <t>Rapeseed 550</t>
  </si>
  <si>
    <t>Sunflower 550</t>
  </si>
  <si>
    <t>Sanchez et al.,  J. Anal. Appl. Pyrolysis 85 (2009) 142-144.</t>
  </si>
  <si>
    <t>Aspidosperma australe 350</t>
  </si>
  <si>
    <t>Spokas,  Carbon Manage. 1 (2010) 289-303.</t>
  </si>
  <si>
    <t>Aspidosperma australe 850</t>
  </si>
  <si>
    <t>Aspidosperma quebracho 'Blanco Schlecht' 350</t>
  </si>
  <si>
    <t>Aspidosperma quebracho 'Blanco Schlecht' 850</t>
  </si>
  <si>
    <t>Grape Bagasse 500</t>
  </si>
  <si>
    <t>Hardwood sawdust 500</t>
  </si>
  <si>
    <t>Macadamia nutshell 600</t>
  </si>
  <si>
    <t>Mixed woodchip 550</t>
  </si>
  <si>
    <t>Olive bagasse 500</t>
  </si>
  <si>
    <t>Rapeseed plant 400</t>
  </si>
  <si>
    <t>Rapeseed plant 500</t>
  </si>
  <si>
    <t>Rapeseed plant 600</t>
  </si>
  <si>
    <t>Rapeseed plant 700</t>
  </si>
  <si>
    <t>Rapeseed plant 800</t>
  </si>
  <si>
    <t>Rapeseed plant 900</t>
  </si>
  <si>
    <t>Corn stover 760</t>
  </si>
  <si>
    <t>Pine needles 100</t>
  </si>
  <si>
    <t>Pine needles 200</t>
  </si>
  <si>
    <t>Pine needles 250</t>
  </si>
  <si>
    <t>Pine needles 300</t>
  </si>
  <si>
    <t>Pine needles 400</t>
  </si>
  <si>
    <t>Pine needles 500</t>
  </si>
  <si>
    <t>Pine needles 600</t>
  </si>
  <si>
    <t>Pine needles 700</t>
  </si>
  <si>
    <t>Anaerobic digested sugar cane bagasse</t>
  </si>
  <si>
    <t>Hardwood char 538</t>
  </si>
  <si>
    <t>Beech sawdust 400</t>
  </si>
  <si>
    <t>Beech sawdust 1000</t>
  </si>
  <si>
    <t>Bubinga 250</t>
  </si>
  <si>
    <t>Zimmerman, Environ. Sci. Technol. 44 (2010) 1295-1301</t>
  </si>
  <si>
    <t>Bubinga 400</t>
  </si>
  <si>
    <t>Bubinga 525</t>
  </si>
  <si>
    <t>Bubinga 650</t>
  </si>
  <si>
    <t>Eastern Red Cedar 250</t>
  </si>
  <si>
    <t>Eastern Red Cedar 400</t>
  </si>
  <si>
    <t>Eastern Red Cedar 525</t>
  </si>
  <si>
    <t>Eastern Red Cedar 650</t>
  </si>
  <si>
    <t>Eastern Gamma Grass 250</t>
  </si>
  <si>
    <t>Eastern Gamma Grass 400</t>
  </si>
  <si>
    <t>Eastern Gamma Grass 525</t>
  </si>
  <si>
    <t>Eastern Gamma Grass 650</t>
  </si>
  <si>
    <t>Laurel Oak 250</t>
  </si>
  <si>
    <t>Laurel Oak 400</t>
  </si>
  <si>
    <t>Laurel Oak 525</t>
  </si>
  <si>
    <t>Laurel Oak 650</t>
  </si>
  <si>
    <t>Loblolly Pine 250</t>
  </si>
  <si>
    <t>Loblolly Pine 400</t>
  </si>
  <si>
    <t>Loblolly Pine 525</t>
  </si>
  <si>
    <t>Loblolly Pine 650</t>
  </si>
  <si>
    <t>Sugar Cane Bagasse 250</t>
  </si>
  <si>
    <t>Sugar Cane Bagasse 400</t>
  </si>
  <si>
    <t>Sugar Cane Bagasse 525</t>
  </si>
  <si>
    <t>Sugar Cane Bagasse 600</t>
  </si>
  <si>
    <t>Giant Reed BC300</t>
  </si>
  <si>
    <t xml:space="preserve">Zheng et al., Bioresource Technology 130 (2013) 463-471 </t>
  </si>
  <si>
    <t>Giant Reed BC350</t>
  </si>
  <si>
    <t>Zheng et al., Bioresource Technology 130 (2013) 463-471</t>
  </si>
  <si>
    <t>Giant Reed BC400</t>
  </si>
  <si>
    <t>Giant Reed BC500</t>
  </si>
  <si>
    <t>Giant Reed BC600</t>
  </si>
  <si>
    <t>Giant Reed BC200</t>
  </si>
  <si>
    <t>Wang et al., Environmental Pollution 174 (2013) 289-296</t>
  </si>
  <si>
    <t>Wheat Straw 450</t>
  </si>
  <si>
    <t>fast pyrolysis</t>
  </si>
  <si>
    <t>Cheng et al. Biology and Fertility of Soils 48 (2012) 941-946</t>
  </si>
  <si>
    <t>Woody Waste</t>
  </si>
  <si>
    <t xml:space="preserve">Peterson, S. Journal of Elastomers and Plastics 45, 5 (2013) 487-497. </t>
  </si>
  <si>
    <t>Sugarcane Trash 500</t>
  </si>
  <si>
    <t>Quirk, R. Sugar Tech 14 (2012) 321-326</t>
  </si>
  <si>
    <t>Sugarcane bagasse 500</t>
  </si>
  <si>
    <t>Rice Straw 200</t>
  </si>
  <si>
    <t>Lu, J. et al. Journal of Agricultural and Food Chemistry 60 (2012) 6463-6470</t>
  </si>
  <si>
    <t>Rice Straw 350</t>
  </si>
  <si>
    <t>Rice Straw 500</t>
  </si>
  <si>
    <t>Wheat Straw 350</t>
  </si>
  <si>
    <t>Wang, D. et al. Environmental Science and Technology (2012)</t>
  </si>
  <si>
    <t>Wheat Straw 550</t>
  </si>
  <si>
    <t>Pine Needle 350</t>
  </si>
  <si>
    <t>Pine Needles 550</t>
  </si>
  <si>
    <t>HZ 370</t>
  </si>
  <si>
    <t xml:space="preserve">Oregon </t>
  </si>
  <si>
    <t>Thompson Timber Products/Starker Forests</t>
  </si>
  <si>
    <t xml:space="preserve">Fulton, W et al., Agronamy for Sustainable Development 33, 3 (2013) 469-474. </t>
  </si>
  <si>
    <t xml:space="preserve">HZ 620 </t>
  </si>
  <si>
    <t>Fulton, W et al., Agronamy for Sustainable Development 33, 3 (2013) 469-474.</t>
  </si>
  <si>
    <t xml:space="preserve">DF 370 </t>
  </si>
  <si>
    <t xml:space="preserve">DF 620 </t>
  </si>
  <si>
    <t xml:space="preserve">Cassava Stem 400 </t>
  </si>
  <si>
    <t>Slow</t>
  </si>
  <si>
    <t xml:space="preserve">Noor, N. M et al., Iranica Journal of Energy &amp; Environment 3 (2012) 60-65. </t>
  </si>
  <si>
    <t>Cassava Stem 450</t>
  </si>
  <si>
    <t>Noor, N. M et al., Iranica Journal of Energy &amp; Environment 3 (2012) 60-65.</t>
  </si>
  <si>
    <t>Cassava Stem 500</t>
  </si>
  <si>
    <t>Cassava Stem 550</t>
  </si>
  <si>
    <t xml:space="preserve">Cassava Stem 600 </t>
  </si>
  <si>
    <t>Cassava Rhizome 400</t>
  </si>
  <si>
    <t>Cassava Rhizome 450</t>
  </si>
  <si>
    <t>Cassava Rhizome 500</t>
  </si>
  <si>
    <t>Cassava Rhizome 550</t>
  </si>
  <si>
    <t>Cassava Rhizome 600</t>
  </si>
  <si>
    <t xml:space="preserve">Willow 450 </t>
  </si>
  <si>
    <t xml:space="preserve">Nelissen, V et al., Agronomy 4 (2014) 52-73. </t>
  </si>
  <si>
    <t>pH 7 Ammonium acetate (Chapman, 1965)</t>
  </si>
  <si>
    <t>Willow 550</t>
  </si>
  <si>
    <t>Nelissen, V et al., Agronomy 4 (2014) 52-73.</t>
  </si>
  <si>
    <t>Willow 650</t>
  </si>
  <si>
    <t xml:space="preserve">Pine 450 </t>
  </si>
  <si>
    <t xml:space="preserve">Pine 550 </t>
  </si>
  <si>
    <t xml:space="preserve">Pine 650 </t>
  </si>
  <si>
    <t>BB-MMT</t>
  </si>
  <si>
    <t xml:space="preserve">Yao, Y et al., Chemical Engineering Journal 242 (2014) 136-143. </t>
  </si>
  <si>
    <t>BG-MMT</t>
  </si>
  <si>
    <t>Yao, Y et al., Chemical Engineering Journal 242 (2014) 136-143.</t>
  </si>
  <si>
    <t>HC-MMT</t>
  </si>
  <si>
    <t>BB-KLN</t>
  </si>
  <si>
    <t>BG-KLN</t>
  </si>
  <si>
    <t>HC-KLN</t>
  </si>
  <si>
    <t>BB</t>
  </si>
  <si>
    <t>BG</t>
  </si>
  <si>
    <t>SM 400</t>
  </si>
  <si>
    <t>Swine Manure</t>
  </si>
  <si>
    <t>Taiwan</t>
  </si>
  <si>
    <t>Slow tubular fixed-bed system</t>
  </si>
  <si>
    <t>Tsai et al., Chemosphere 89, 2 (2012) 198-203</t>
  </si>
  <si>
    <t>BET Analysis</t>
  </si>
  <si>
    <t>Inductively Coupled Plasma-Atomic Emission Spectrometer</t>
  </si>
  <si>
    <t>SM 500</t>
  </si>
  <si>
    <t>SM 600</t>
  </si>
  <si>
    <t>SM 700</t>
  </si>
  <si>
    <t>SM 800</t>
  </si>
  <si>
    <t>Pine 300 10 min Residence Time</t>
  </si>
  <si>
    <t>Poland</t>
  </si>
  <si>
    <t>Slow vertical, tubular Reactor Residence time 10 min</t>
  </si>
  <si>
    <t>Ronsse et al., GCB Bioenergy 5 (2013) 104-115</t>
  </si>
  <si>
    <t>Pine 300 60 min Residence Time</t>
  </si>
  <si>
    <t>Slow vertical, tubular Reactor Residence time 60 min</t>
  </si>
  <si>
    <t>Pine 450 10 min Residence Time</t>
  </si>
  <si>
    <t>Pine 450 60 min Residence Time</t>
  </si>
  <si>
    <t>Pine 600 10 min Residence Time</t>
  </si>
  <si>
    <t>Pine 600 60 min Residence Time</t>
  </si>
  <si>
    <t>Pine 750 10 min Residence Time</t>
  </si>
  <si>
    <t>Pine 750 60 min Residence Time</t>
  </si>
  <si>
    <t>Straw 300 10 min Residence Time</t>
  </si>
  <si>
    <t>Belgium</t>
  </si>
  <si>
    <t>Straw 300 60 min Residence Time</t>
  </si>
  <si>
    <t>Straw 450 10 min Residence Time</t>
  </si>
  <si>
    <t>Straw 450 60 min Residence Time</t>
  </si>
  <si>
    <t>Straw 600 10 min Residence Time</t>
  </si>
  <si>
    <t>Straw 600 60 min Residence Time</t>
  </si>
  <si>
    <t>Ronsse et al., GCB Bioenergy 5 (2013):104-115</t>
  </si>
  <si>
    <t>Straw 750 10 min Residence Time</t>
  </si>
  <si>
    <t>Ronsse et al., GCB Bioenergy 5(2013) 104-115</t>
  </si>
  <si>
    <t>Straw 750 60 min Residence Time</t>
  </si>
  <si>
    <t>GW 300 10 min Residence Time</t>
  </si>
  <si>
    <t>Green Waste</t>
  </si>
  <si>
    <t>GW 300 60 min Residence Time</t>
  </si>
  <si>
    <t>GW 450 10 min Residence Time</t>
  </si>
  <si>
    <t>GW 450 60 min Residence Time</t>
  </si>
  <si>
    <t>GW 600 10 min Residence Time</t>
  </si>
  <si>
    <t>GW 600 60 min Residence Time</t>
  </si>
  <si>
    <t>GW 750 10 min Residence Time</t>
  </si>
  <si>
    <t>GW 750 60 min Residence Time</t>
  </si>
  <si>
    <t>Algae 300 10 min Residence Time</t>
  </si>
  <si>
    <t>SBAE Industries</t>
  </si>
  <si>
    <t>Algae 300 60 min Residence Time</t>
  </si>
  <si>
    <t>Algae 450 10 min Residence Time</t>
  </si>
  <si>
    <t>Algae 450 60 min Residence Time</t>
  </si>
  <si>
    <t>Algae 600 10 min Residence Time</t>
  </si>
  <si>
    <t>Algae 600 60 min Residence Time</t>
  </si>
  <si>
    <t>Algae 750 10 min Residence Time</t>
  </si>
  <si>
    <t>Algae 750 60 min Residence Time</t>
  </si>
  <si>
    <t>GW 550</t>
  </si>
  <si>
    <t>Galvez et al., Agriculture, Ecosystems &amp; Environment 160, 1 (2012) 3-14</t>
  </si>
  <si>
    <t>Wheat Straw 525 Slow</t>
  </si>
  <si>
    <t>Bruun et al., Soil Sci. Soc. Am. J. 76 (2012) 1142-1148</t>
  </si>
  <si>
    <t>Wheat Straw 525 Fast</t>
  </si>
  <si>
    <t>Fast</t>
  </si>
  <si>
    <t>SG 250</t>
  </si>
  <si>
    <t>North Carolina, US</t>
  </si>
  <si>
    <t>Schomberg et al., joenq 41 (2012) 1087-1095</t>
  </si>
  <si>
    <t>SG 500</t>
  </si>
  <si>
    <t>HW 500</t>
  </si>
  <si>
    <t>Hardwood Waste</t>
  </si>
  <si>
    <t>British Columbia, Canada</t>
  </si>
  <si>
    <t>CQuest</t>
  </si>
  <si>
    <t>PP 300</t>
  </si>
  <si>
    <t>Pitch Pine</t>
  </si>
  <si>
    <t xml:space="preserve">Fast fluidized-bed reactor </t>
  </si>
  <si>
    <t>Kim et al., Bioresource Technology 118 (2012) 158-162</t>
  </si>
  <si>
    <t>BET analysis</t>
  </si>
  <si>
    <t>PP 400</t>
  </si>
  <si>
    <t>Fast fluidized-bed reactor</t>
  </si>
  <si>
    <t>PP 500</t>
  </si>
  <si>
    <t>SB 300</t>
  </si>
  <si>
    <t>Soybean Stover</t>
  </si>
  <si>
    <t>Korea</t>
  </si>
  <si>
    <t>Ahmad et al., Bioresource Technology 118 (2012) 536-544</t>
  </si>
  <si>
    <t>FE-SEM equipped with an energy dispersive spectroscopy</t>
  </si>
  <si>
    <t>SB 700</t>
  </si>
  <si>
    <t>PS 300</t>
  </si>
  <si>
    <t>Peanut Shells</t>
  </si>
  <si>
    <t>PS 700</t>
  </si>
  <si>
    <t>Peanut Shell</t>
  </si>
  <si>
    <t>Pine 350-5</t>
  </si>
  <si>
    <t>Scotland</t>
  </si>
  <si>
    <t>Batch with a heat rate of 5Â°C min-1</t>
  </si>
  <si>
    <t xml:space="preserve">Crombie et al., GCB Bioenergy 5 (2013) 122-131 </t>
  </si>
  <si>
    <t>Pine 450-5</t>
  </si>
  <si>
    <t>Crombie et al., GCB Bioenergy 5 (2013) 122-131</t>
  </si>
  <si>
    <t>Pine 550-5</t>
  </si>
  <si>
    <t>Pine 650-5</t>
  </si>
  <si>
    <t>Pine 350-100</t>
  </si>
  <si>
    <t>Batch with a heat rate of 100Â°C min-1</t>
  </si>
  <si>
    <t>Pine 450-100</t>
  </si>
  <si>
    <t>Pine 550-100</t>
  </si>
  <si>
    <t>Pine 650-100</t>
  </si>
  <si>
    <t>CC250</t>
  </si>
  <si>
    <t>Corn cob</t>
  </si>
  <si>
    <t>Slow pyrolysis</t>
  </si>
  <si>
    <t>Zheng, W., B.K. Sharma and N. Rajagopalan. 2010. Using Biochar as a Soil Amendment for Sustainable Agriculture.  University of Illinois at Urbana-Champaign, Illinois Sustainable Technology Center.</t>
  </si>
  <si>
    <t>BET N2</t>
  </si>
  <si>
    <t>CC300</t>
  </si>
  <si>
    <t>CC350</t>
  </si>
  <si>
    <t>Corn cobs</t>
  </si>
  <si>
    <t>CC400</t>
  </si>
  <si>
    <t>CC450</t>
  </si>
  <si>
    <t>CC500</t>
  </si>
  <si>
    <t>CC550</t>
  </si>
  <si>
    <t>WP 750</t>
  </si>
  <si>
    <t>wood pellets</t>
  </si>
  <si>
    <t>Chip Energy Inc.</t>
  </si>
  <si>
    <t>Gasification</t>
  </si>
  <si>
    <t>WC 450</t>
  </si>
  <si>
    <t>wood chips</t>
  </si>
  <si>
    <t>CS 400</t>
  </si>
  <si>
    <t>PC400</t>
  </si>
  <si>
    <t>Pine cones</t>
  </si>
  <si>
    <t>Zheng, W., B.K. Sharma and N. Rajagopalan. 2010. Using Biochar as a Soil Amendment for Sustainable Agriculture. University of Illinois at Urbana-Champaign, Illinois Sustainable Technology Center.</t>
  </si>
  <si>
    <t>CSB</t>
  </si>
  <si>
    <t xml:space="preserve">Chintala, R et al., Microporous and Mesoporous Materials 179 (2013) 250-257. </t>
  </si>
  <si>
    <t xml:space="preserve">CEC at pH 7 with Ammonium Acetate   (Chapman, 1965) </t>
  </si>
  <si>
    <t>PWRB</t>
  </si>
  <si>
    <t>Ponderosa pine wood</t>
  </si>
  <si>
    <t>pH 7 ammonium acetate (Chapman, 1965)</t>
  </si>
  <si>
    <t>SGB</t>
  </si>
  <si>
    <t>Wet digestion with concentrated nitric acid</t>
  </si>
  <si>
    <t>SPC 400-10</t>
  </si>
  <si>
    <t xml:space="preserve"> safflower seed press cake</t>
  </si>
  <si>
    <t>Turkey</t>
  </si>
  <si>
    <t>Heating rate of 10 Â°C minâˆ’1</t>
  </si>
  <si>
    <t>Angin, Bioresource Technology 128 (2013) 593-597</t>
  </si>
  <si>
    <t>SPC 450-10</t>
  </si>
  <si>
    <t>safflower seed press cake</t>
  </si>
  <si>
    <t>Slow Heating rate of 10 Â°C minâˆ’1</t>
  </si>
  <si>
    <t>SPC 500-10</t>
  </si>
  <si>
    <t>SPC 550-10</t>
  </si>
  <si>
    <t>SPC 600-10</t>
  </si>
  <si>
    <t>SPC 400-30</t>
  </si>
  <si>
    <t>Slow Heating rate of 30 Â°C minâˆ’1</t>
  </si>
  <si>
    <t>SPC 450-30</t>
  </si>
  <si>
    <t>SPC 500-30</t>
  </si>
  <si>
    <t>SPC 550-30</t>
  </si>
  <si>
    <t>SPC 600-30</t>
  </si>
  <si>
    <t>SPC 400-50</t>
  </si>
  <si>
    <t>Slow Heating rate of 50 Â°C minâˆ’1</t>
  </si>
  <si>
    <t>SPC 450-50</t>
  </si>
  <si>
    <t>SPC 500-50</t>
  </si>
  <si>
    <t>SPC 550-50</t>
  </si>
  <si>
    <t>SPC 600-50</t>
  </si>
  <si>
    <t>CF 220</t>
  </si>
  <si>
    <t>Coconut Fiber</t>
  </si>
  <si>
    <t>Singapore</t>
  </si>
  <si>
    <t>Liu et al., Fuel 103 (2013) 943-949</t>
  </si>
  <si>
    <t>VarioMacro Cube Elementar</t>
  </si>
  <si>
    <t>CF 250</t>
  </si>
  <si>
    <t>CF 300</t>
  </si>
  <si>
    <t>CF 350</t>
  </si>
  <si>
    <t>CF 375</t>
  </si>
  <si>
    <t>EL 200</t>
  </si>
  <si>
    <t>Eucalyptus leaves</t>
  </si>
  <si>
    <t>EL 250</t>
  </si>
  <si>
    <t>EL 300</t>
  </si>
  <si>
    <t>EL 350</t>
  </si>
  <si>
    <t>EL 375</t>
  </si>
  <si>
    <t>CS 650</t>
  </si>
  <si>
    <t>Chintala et al., Clean Soil Air Water 42 (2014) 626-634</t>
  </si>
  <si>
    <t>iodine absorption method</t>
  </si>
  <si>
    <t>ICP-AES</t>
  </si>
  <si>
    <t>PW 650</t>
  </si>
  <si>
    <t>Ponderosa Pine Wood</t>
  </si>
  <si>
    <t>SG 650</t>
  </si>
  <si>
    <t>SM0 400</t>
  </si>
  <si>
    <t>Swine Manure after 0 days</t>
  </si>
  <si>
    <t>China</t>
  </si>
  <si>
    <t>Meng et al., Bioresource Technology 142 (2013) 641-646</t>
  </si>
  <si>
    <t>PerkinElmer AAnalyst 800 atomic absorption spectrometer</t>
  </si>
  <si>
    <t>SM21 400</t>
  </si>
  <si>
    <t>Swine Manure after 21 days</t>
  </si>
  <si>
    <t>SM84 400</t>
  </si>
  <si>
    <t>Swine Manure after 84 days</t>
  </si>
  <si>
    <t>SM0 700</t>
  </si>
  <si>
    <t>SM21 700</t>
  </si>
  <si>
    <t>SM84 700</t>
  </si>
  <si>
    <t>MS 600</t>
  </si>
  <si>
    <t>Miscanthus Straw</t>
  </si>
  <si>
    <t>Germany</t>
  </si>
  <si>
    <t>Pyreg GmbH</t>
  </si>
  <si>
    <t>Houben et al., Chemosphere 92, 11 (2013) 1450-1457</t>
  </si>
  <si>
    <t>SSPW 400</t>
  </si>
  <si>
    <t>Sewage sludge and pruning waste</t>
  </si>
  <si>
    <t>Mendez et al., Journal of Analytical and Applied Pyrolysis 102 (2013) 124-130</t>
  </si>
  <si>
    <t>Sumner and Miller at pH 7.0</t>
  </si>
  <si>
    <t>SSPW 600</t>
  </si>
  <si>
    <t>SLow</t>
  </si>
  <si>
    <t>HW 750</t>
  </si>
  <si>
    <t>Greenwaste mostly hardwood</t>
  </si>
  <si>
    <t>Felber, R et al., European Journal of Soil Science 65 (2014) 128-138</t>
  </si>
  <si>
    <t>RS 450</t>
  </si>
  <si>
    <t>Rice Straw</t>
  </si>
  <si>
    <t>Sun, K et al., Environmental Science &amp; Technology 47, 20 (2013) 11473-11481</t>
  </si>
  <si>
    <t>RS 600</t>
  </si>
  <si>
    <t>WS 450</t>
  </si>
  <si>
    <t>Wheat Straw</t>
  </si>
  <si>
    <t>WS 600</t>
  </si>
  <si>
    <t>MS 450</t>
  </si>
  <si>
    <t>Maize Stalk</t>
  </si>
  <si>
    <t>CM 450</t>
  </si>
  <si>
    <t>Chicken Manure</t>
  </si>
  <si>
    <t>CM 600</t>
  </si>
  <si>
    <t>slow</t>
  </si>
  <si>
    <t>SM 450</t>
  </si>
  <si>
    <t>CoM 450</t>
  </si>
  <si>
    <t>Cow Manure</t>
  </si>
  <si>
    <t>CoM 600</t>
  </si>
  <si>
    <t>RS 500</t>
  </si>
  <si>
    <t>Rape Straw</t>
  </si>
  <si>
    <t>Dai, Z et al., Soil Sci. Soc. Am. J. 78, 1 (2014) 205-213.</t>
  </si>
  <si>
    <t>ReedS 500</t>
  </si>
  <si>
    <t>Reed Straw</t>
  </si>
  <si>
    <t>PAP 500</t>
  </si>
  <si>
    <t>Pineapple Peels</t>
  </si>
  <si>
    <t>SPC 500</t>
  </si>
  <si>
    <t>safflower seed pressed cake</t>
  </si>
  <si>
    <t>Angin, D et al., Bioresource Technology 148 (2013) 542-549</t>
  </si>
  <si>
    <t>SCS 400</t>
  </si>
  <si>
    <t>Sugar Cane Straw</t>
  </si>
  <si>
    <t>Melo, L. C. A. et al., BioRes. 8, 4 (2013) 4992-5004</t>
  </si>
  <si>
    <t>SCS 500</t>
  </si>
  <si>
    <t>SCS 600</t>
  </si>
  <si>
    <t>SCS 700</t>
  </si>
  <si>
    <t>CoM 500</t>
  </si>
  <si>
    <t>Zhao, L et al., Journal of Hazardous Materials 256-257 (2013) 1-9</t>
  </si>
  <si>
    <t>SM 200</t>
  </si>
  <si>
    <t>SM 350</t>
  </si>
  <si>
    <t>SM 650</t>
  </si>
  <si>
    <t>WWS 500</t>
  </si>
  <si>
    <t>Wastewater sludge</t>
  </si>
  <si>
    <t>WP 500</t>
  </si>
  <si>
    <t>Wastepaper</t>
  </si>
  <si>
    <t>SD 500</t>
  </si>
  <si>
    <t>Sawdust</t>
  </si>
  <si>
    <t>Grass 500</t>
  </si>
  <si>
    <t>PS 500</t>
  </si>
  <si>
    <t>WW 500</t>
  </si>
  <si>
    <t>Waterweed</t>
  </si>
  <si>
    <t>WS 200</t>
  </si>
  <si>
    <t>WS 350</t>
  </si>
  <si>
    <t>WS 500</t>
  </si>
  <si>
    <t>WS 650</t>
  </si>
  <si>
    <t>SS 550</t>
  </si>
  <si>
    <t>Sewage sludge</t>
  </si>
  <si>
    <t>Waqas, M et al., Chemosphere 105 (2014) 53-61</t>
  </si>
  <si>
    <t>RH 400</t>
  </si>
  <si>
    <t>Land Development Department</t>
  </si>
  <si>
    <t xml:space="preserve">Slow </t>
  </si>
  <si>
    <t>Prakongkep, N et al., International Journal of Material Science (IJMSCI) 3 (2013).</t>
  </si>
  <si>
    <t>RH 350</t>
  </si>
  <si>
    <t>AS 600</t>
  </si>
  <si>
    <t>Almond Shells</t>
  </si>
  <si>
    <t>lleuch, A et al., International Journal of Hydrogen Energy 38, 36 (2013).</t>
  </si>
  <si>
    <t>HW 300</t>
  </si>
  <si>
    <t>Hickory Wood</t>
  </si>
  <si>
    <t xml:space="preserve">Sun, Y et al., Chemical Engineering Journal 240 (2014) 574-578. </t>
  </si>
  <si>
    <t>CHN Elemental Analyzer</t>
  </si>
  <si>
    <t>HW 450</t>
  </si>
  <si>
    <t>HW 600</t>
  </si>
  <si>
    <t>BG 300</t>
  </si>
  <si>
    <t>BG 450</t>
  </si>
  <si>
    <t>BB 300</t>
  </si>
  <si>
    <t>Bamboo</t>
  </si>
  <si>
    <t>Sun, Y et al., Chemical Engineering Journal 240 (2014) 574-578.</t>
  </si>
  <si>
    <t>BB 450</t>
  </si>
  <si>
    <t>MS 400</t>
  </si>
  <si>
    <t>Maize Straw</t>
  </si>
  <si>
    <t>Jia, J et al., Soil Science and Plant Nutrition 58, 4 (2012) 503-509.</t>
  </si>
  <si>
    <t>DM 500</t>
  </si>
  <si>
    <t>Dairy Manure</t>
  </si>
  <si>
    <t>Ouyang, L et al., Journal of soil science and plant nutrition 13 (2013) 991-1002.</t>
  </si>
  <si>
    <t>PW 200</t>
  </si>
  <si>
    <t>Poplar Wood</t>
  </si>
  <si>
    <t>Li, J et al., Plant and Soil 370, 1-2 (2013) 333-344.</t>
  </si>
  <si>
    <t>PW 350</t>
  </si>
  <si>
    <t>PW 500</t>
  </si>
  <si>
    <t>CM 400</t>
  </si>
  <si>
    <t>Cattle Manure</t>
  </si>
  <si>
    <t>Qian, L et al.,Environmental Science &amp; Technology 47, 6 (2013) 2737-2745.</t>
  </si>
  <si>
    <t xml:space="preserve">EA 112 CHN elemental analyzer </t>
  </si>
  <si>
    <t>Wheat 300</t>
  </si>
  <si>
    <t>Wang, L et al., Soil Use and Management 30, 1 (2014) 119-128.</t>
  </si>
  <si>
    <t>Rice 300</t>
  </si>
  <si>
    <t>Peanuts 300</t>
  </si>
  <si>
    <t>Pulp and Paper mill sludge</t>
  </si>
  <si>
    <t>Devi, P et al., International Journal of ChemTech Research 5 (2013) 682-687.</t>
  </si>
  <si>
    <t>PAP 600</t>
  </si>
  <si>
    <t>Pulp and Paper mill Sludge</t>
  </si>
  <si>
    <t>PAP 700</t>
  </si>
  <si>
    <t>SMW 450</t>
  </si>
  <si>
    <t>Sawmill Waste</t>
  </si>
  <si>
    <t>Sika, M. P et al., European Journal of Soil Science 65, 1 (2014) 113-119.</t>
  </si>
  <si>
    <t>sum of the total of the exchangeable base cations and the exchangeable acidity</t>
  </si>
  <si>
    <t>CS 350</t>
  </si>
  <si>
    <t>Herath, H. M. S. K et al., Geoderma 209-210 (2013) 188-197.</t>
  </si>
  <si>
    <t>CS 550</t>
  </si>
  <si>
    <t>CS 600</t>
  </si>
  <si>
    <t>Corn Straw</t>
  </si>
  <si>
    <t>Yaoshi carbon company</t>
  </si>
  <si>
    <t>Hua, L et al., Environmental Progress &amp; Sustainable Energy 33, 3 (2014) 941-946.</t>
  </si>
  <si>
    <t>BBW 500</t>
  </si>
  <si>
    <t>Bamboo Wood</t>
  </si>
  <si>
    <t>Slow with a 4 hour residence time</t>
  </si>
  <si>
    <t>Wang, Y et al., Energy &amp; Fuels 27, 10 (2013) 5890-5899.</t>
  </si>
  <si>
    <t>Slow with 8 hour residence time</t>
  </si>
  <si>
    <t>BBW 700</t>
  </si>
  <si>
    <t>Slow with 4 hour residence time</t>
  </si>
  <si>
    <t>http://www.biochar-international.org/node/4404</t>
  </si>
  <si>
    <t>Bamboo wood</t>
  </si>
  <si>
    <t>EW 500</t>
  </si>
  <si>
    <t>Elm Wood</t>
  </si>
  <si>
    <t>EW 700</t>
  </si>
  <si>
    <t>Slow with a 8 hour residence time</t>
  </si>
  <si>
    <t>RS 700</t>
  </si>
  <si>
    <t>WS 700</t>
  </si>
  <si>
    <t>MS 500</t>
  </si>
  <si>
    <t>MS 700</t>
  </si>
  <si>
    <t>RH 500</t>
  </si>
  <si>
    <t>RH 700</t>
  </si>
  <si>
    <t>CS 500</t>
  </si>
  <si>
    <t>Coconut Shell</t>
  </si>
  <si>
    <t>CS 700</t>
  </si>
  <si>
    <t>Coconut Shells</t>
  </si>
  <si>
    <t>LBD 650</t>
  </si>
  <si>
    <t>Local brewers draft</t>
  </si>
  <si>
    <t>Prague</t>
  </si>
  <si>
    <t>Czech University of Life Sciences Prague</t>
  </si>
  <si>
    <t>Trakal, L et al., Arabian Journal of Chemistry 7, 1 (2014) 43-52.</t>
  </si>
  <si>
    <t>Pinewood</t>
  </si>
  <si>
    <t>Liu, Z et al., Bioresource Technology 146 (2013) 371-378.</t>
  </si>
  <si>
    <t>Bagasse 500</t>
  </si>
  <si>
    <t>Indonesia</t>
  </si>
  <si>
    <t>Lee, Y et al., Bioresource Technology 148 (2013) 196-201.</t>
  </si>
  <si>
    <t>Cocopeat 500</t>
  </si>
  <si>
    <t>Paddy Straw</t>
  </si>
  <si>
    <t>PKS 500</t>
  </si>
  <si>
    <t>Palm Kernel Shells</t>
  </si>
  <si>
    <t>Maesopsis eminii wood</t>
  </si>
  <si>
    <t>WB 500</t>
  </si>
  <si>
    <t>Maesopsis eminii bark</t>
  </si>
  <si>
    <t>C. Peterson, S et al., Comparing Corn Stover and Switchgrass Biochar: Characterization and Sorption Properties (Vol. 5) 2012.</t>
  </si>
  <si>
    <t>SG 480</t>
  </si>
  <si>
    <t>C. Peterson, S., Comparing Corn Stover and Switchgrass Biochar: Characterization and Sorption Properties (Vol. 5) 2012.</t>
  </si>
  <si>
    <t>Coconut fibers</t>
  </si>
  <si>
    <t>Liu, Z et al., Bioresource Technology 151 (2014) 85-90.</t>
  </si>
  <si>
    <t>Wicker 650</t>
  </si>
  <si>
    <t>Fluid S.A.</t>
  </si>
  <si>
    <t>Oleszczuk, P et al., Journal of Hazardous Materials 260 (2013) 375-382.</t>
  </si>
  <si>
    <t>miscanthus 650</t>
  </si>
  <si>
    <t xml:space="preserve"> Fluid S.A.</t>
  </si>
  <si>
    <t xml:space="preserve">BET Analysis </t>
  </si>
  <si>
    <t>Miscanthus 700</t>
  </si>
  <si>
    <t xml:space="preserve">auger-driven horizontal kiln </t>
  </si>
  <si>
    <t>Prendergast-Miller, M. T et al., European Journal of Soil Science 65, 1 (2014) 173-185.</t>
  </si>
  <si>
    <t>Willow wood chips</t>
  </si>
  <si>
    <t>batch reactor</t>
  </si>
  <si>
    <t>EC 550</t>
  </si>
  <si>
    <t>Eucalyptus charcoal</t>
  </si>
  <si>
    <t>Madari, B. E et al., Functions of Natural Organic Matter in Changing Environment (2013) 1003-1006.</t>
  </si>
  <si>
    <t>CH 600</t>
  </si>
  <si>
    <t>Coffee Husk</t>
  </si>
  <si>
    <t>Houben, D et al., Plant and Soil 374, 1-2 (2014) 871-882.</t>
  </si>
  <si>
    <t>WC 600</t>
  </si>
  <si>
    <t>Woodchips</t>
  </si>
  <si>
    <t>SS 300</t>
  </si>
  <si>
    <t>Sewage Sludge</t>
  </si>
  <si>
    <t>Agrafioti, E et al., Journal of Analytical and Applied Pyrolysis 101 (2013) 72-78.</t>
  </si>
  <si>
    <t>SS 500</t>
  </si>
  <si>
    <t>RW 450</t>
  </si>
  <si>
    <t>Rubber wood</t>
  </si>
  <si>
    <t>Ghani, W. A. W. A. K. et al., Industrial Crops and Products 44 (2013) 18-24.</t>
  </si>
  <si>
    <t>RW 550</t>
  </si>
  <si>
    <t>Rubber Wood</t>
  </si>
  <si>
    <t>RW 650</t>
  </si>
  <si>
    <t>RW 750</t>
  </si>
  <si>
    <t>RW 850</t>
  </si>
  <si>
    <t>PC 400</t>
  </si>
  <si>
    <t>Pine Chips</t>
  </si>
  <si>
    <t>Ameloot, N et al., GCB Bioenergy (2013).</t>
  </si>
  <si>
    <t>PC 500</t>
  </si>
  <si>
    <t>Pine chips</t>
  </si>
  <si>
    <t>PL 400</t>
  </si>
  <si>
    <t>Poultry Litter</t>
  </si>
  <si>
    <t>PL 500</t>
  </si>
  <si>
    <t>Pacific Pyrolysis</t>
  </si>
  <si>
    <t>Farrell, M et al., Biology and Fertility of Soils 50, 1 (2014) 169-178.</t>
  </si>
  <si>
    <t>Pine and Spruce</t>
  </si>
  <si>
    <t>Tammeorg, P et al., Plant and Soil 374, 1-2 (2014) 89-107.</t>
  </si>
  <si>
    <t>EW 450</t>
  </si>
  <si>
    <t>Eucalyptus wood</t>
  </si>
  <si>
    <t>Fang, Y et al., European Journal of Soil Science 65, 1 (2014) 60-71.</t>
  </si>
  <si>
    <t xml:space="preserve"> CO2 adsorption method</t>
  </si>
  <si>
    <t>EW 550</t>
  </si>
  <si>
    <t>Eucalyptus Wood</t>
  </si>
  <si>
    <t>SG 350</t>
  </si>
  <si>
    <t>Siwtchgrass</t>
  </si>
  <si>
    <t>Ducey, T. F et al., Applied Soil Ecology 65 (2013) 65-72.</t>
  </si>
  <si>
    <t>SN 450</t>
  </si>
  <si>
    <t>Stinging Nettles</t>
  </si>
  <si>
    <t>Guildford, UK</t>
  </si>
  <si>
    <t>Sneath, H. E et al., Environmental Pollution 178 (2013) 361-366.</t>
  </si>
  <si>
    <t>FC 200</t>
  </si>
  <si>
    <t>Fir woodchips</t>
  </si>
  <si>
    <t>Fang, Q et al., Environmental Science &amp; Technology 48, 1 (2013) 279-288.</t>
  </si>
  <si>
    <t>FC 300</t>
  </si>
  <si>
    <t>Fir wood chips</t>
  </si>
  <si>
    <t>FC 400</t>
  </si>
  <si>
    <t>FC 500</t>
  </si>
  <si>
    <t>FC 600</t>
  </si>
  <si>
    <t>FC 700</t>
  </si>
  <si>
    <t>ES 450</t>
  </si>
  <si>
    <t>Eucalyptus saligna trees</t>
  </si>
  <si>
    <t>Daisy Reactor at Pacific Pyrolysis, Australia</t>
  </si>
  <si>
    <t>Fang, Y et al., Agriculture, Ecosystems &amp; Environment 191 (2014) 158-167.</t>
  </si>
  <si>
    <t>ES 550</t>
  </si>
  <si>
    <t>WS 300</t>
  </si>
  <si>
    <t>wheat Straw</t>
  </si>
  <si>
    <t>Asif, M et al., Pak. J. Agri. Sci 5 (2014).</t>
  </si>
  <si>
    <t>WS 400</t>
  </si>
  <si>
    <t>RS 300</t>
  </si>
  <si>
    <t>RS 400</t>
  </si>
  <si>
    <t>Hu, Y.-L et al., Biology and Fertility of Soils 50, 8 (2014) 1291-1299.</t>
  </si>
  <si>
    <t>PSWH 500</t>
  </si>
  <si>
    <t>Paper sludge and wheat husks</t>
  </si>
  <si>
    <t xml:space="preserve"> 500-III pyrolysis screw reactor PYREG GmbH, DÃ¶rth, Germany</t>
  </si>
  <si>
    <t>Mumme, J et al., Bioresource Technology 164 (2014) 189-197.</t>
  </si>
  <si>
    <t>Grass 400</t>
  </si>
  <si>
    <t>Mixture of grasses including Lolium perenne, Bromus hordeaceus, Jacobaea vulgaris, and Holcus lanatus</t>
  </si>
  <si>
    <t>Netherlands</t>
  </si>
  <si>
    <t>Biogreen, ETIA, France using a Biogreen 130 pyrolyser</t>
  </si>
  <si>
    <t>Oram, N. J et al., Agriculture, Ecosystems &amp; Environment 191 (2014) 92-98.</t>
  </si>
  <si>
    <t>BC 300</t>
  </si>
  <si>
    <t>Burcucumber plants</t>
  </si>
  <si>
    <t>Vithanage, M et al., Journal of Environmental Management 141 (2014) 95-103.</t>
  </si>
  <si>
    <t>BC 700</t>
  </si>
  <si>
    <t>Song, Z et al., Chemical Engineering Journal 242 (2014) 36-42.</t>
  </si>
  <si>
    <t>Liu, X et al., Agricultural Systems 129 (2014) 22-29.</t>
  </si>
  <si>
    <t>TW 300</t>
  </si>
  <si>
    <t>Tea Waste</t>
  </si>
  <si>
    <t>Rajapaksha, A. U et al., Bioresource Technology 166 (2014) 303-308.</t>
  </si>
  <si>
    <t>TW 700</t>
  </si>
  <si>
    <t>TW 300N</t>
  </si>
  <si>
    <t>Slow produced under N2 flow</t>
  </si>
  <si>
    <t>TW 700N</t>
  </si>
  <si>
    <t>PW 550</t>
  </si>
  <si>
    <t>Populus nigra (Poplar) wood chips</t>
  </si>
  <si>
    <t>Marks, E. N et al., Plant and Soil (2014) 1-19.</t>
  </si>
  <si>
    <t>PW 510</t>
  </si>
  <si>
    <t>Populus nigra wood chip</t>
  </si>
  <si>
    <t>WW 550</t>
  </si>
  <si>
    <t>PPPR 900</t>
  </si>
  <si>
    <t>Pinus pinaster + P. radiata wood chip</t>
  </si>
  <si>
    <t>PPPR 550</t>
  </si>
  <si>
    <t>PPPR 480</t>
  </si>
  <si>
    <t>SP 350 10</t>
  </si>
  <si>
    <t>mixed 50/50 wheat : oilseed rape straw pellets</t>
  </si>
  <si>
    <t>Slow 10 minute residence time and and carrier flow rate 0 l min-1</t>
  </si>
  <si>
    <t>Crombie, K et al., GCB Bioenergy (2014).</t>
  </si>
  <si>
    <t>SP 350 20</t>
  </si>
  <si>
    <t xml:space="preserve"> mixed 50/50 wheat : oilseed rape straw pellets</t>
  </si>
  <si>
    <t>Slow with 20 minute residence time and carrier flow rate of 0 l/min</t>
  </si>
  <si>
    <t>SP 350 40</t>
  </si>
  <si>
    <t>slow with 40 minute residence time and carrier flow of 0 l/min</t>
  </si>
  <si>
    <t>SP 650 10</t>
  </si>
  <si>
    <t>Slow with 10 minute residence time and carrier flow of 0 l/min</t>
  </si>
  <si>
    <t>SP 650 20</t>
  </si>
  <si>
    <t>Slow with 20 minute residence time and carrier flow of 0 l/min</t>
  </si>
  <si>
    <t>SP 650 40</t>
  </si>
  <si>
    <t>Slow with 40 minute residence time and carrier flow of 0 l/min</t>
  </si>
  <si>
    <t>Slow with 10 minute residence time and carrier flow of 0.33 l/min</t>
  </si>
  <si>
    <t>Slow with 20 minute residence time and carrier flow of 0.33 l/min</t>
  </si>
  <si>
    <t>Slow with 40 minute residence time and  carrier flow 0.33</t>
  </si>
  <si>
    <t>Slow with 20 minute residence time and carrier flow of 0.33</t>
  </si>
  <si>
    <t>slow with 40 minute residence time and carrier flow 0.33 l/min</t>
  </si>
  <si>
    <t>slow with residence time of 10 minutes and carrier flow of 0.66 l/min</t>
  </si>
  <si>
    <t>slow with 20 minute residence time and carrier flow of 0.66 l/min</t>
  </si>
  <si>
    <t>Slow with 40 minute residence time and carrier flow of 0.66 l/min</t>
  </si>
  <si>
    <t>Slow with 10 minute residence time and carrier flow of 0.66 l/min</t>
  </si>
  <si>
    <t>Slow with 20 minute residence time and carrier flow of 0.66 l/min</t>
  </si>
  <si>
    <t>Slow with residence time of 40 minutes and carrier flow of 0.66 l/min</t>
  </si>
  <si>
    <t>WP 350 10</t>
  </si>
  <si>
    <t xml:space="preserve"> 5/95 pine : spruce softwood pellets</t>
  </si>
  <si>
    <t>slow with residence time of 10 minutes and carrier flow 0 l/min</t>
  </si>
  <si>
    <t>WP 350 20</t>
  </si>
  <si>
    <t>WP 350 40</t>
  </si>
  <si>
    <t>Slow with residence time of 40 minutes and carrier flow of 0 l/min</t>
  </si>
  <si>
    <t>WP 650 10</t>
  </si>
  <si>
    <t>WP 650 20</t>
  </si>
  <si>
    <t>WP 650 40</t>
  </si>
  <si>
    <t>Slow with 40 minute residence time and carrier flow of 0.33 l/min</t>
  </si>
  <si>
    <t>Slow with 40 minute residence time and carrier flow of 0.33 l/in</t>
  </si>
  <si>
    <t>Slow with 10 minute residence time and carrier flow of 0.6 l/min</t>
  </si>
  <si>
    <t>slow with 40 minute residence time and carrier flow of 0.66 l/min</t>
  </si>
  <si>
    <t>Longkou City Factory Furnace, China</t>
  </si>
  <si>
    <t>Li, H et al., Bioresource Technology 163 (2014) 193-198.</t>
  </si>
  <si>
    <t>WS 800</t>
  </si>
  <si>
    <t>SS 450</t>
  </si>
  <si>
    <t>Liu, T et al., Pol. J. Environ. Stud. 23 (2014) 271-275.</t>
  </si>
  <si>
    <t>RB 300</t>
  </si>
  <si>
    <t>rice bran</t>
  </si>
  <si>
    <t>Xu, Y et al., Journal of Soils and Sediments (2014) 1-11.</t>
  </si>
  <si>
    <t>RB 700</t>
  </si>
  <si>
    <t>TW 350</t>
  </si>
  <si>
    <t>Tomato waste</t>
  </si>
  <si>
    <t>Onal, E et al., Progress in Exergy, Energy, and the Environment (2014) 733-740.</t>
  </si>
  <si>
    <t>SMB 250</t>
  </si>
  <si>
    <t>dried root of Salvia miltiorrhiza Bunge</t>
  </si>
  <si>
    <t>Lian, F et al., Chemical Engineering Journal 248 (2014) 128-134.</t>
  </si>
  <si>
    <t>SMB 400</t>
  </si>
  <si>
    <t>SMB 600</t>
  </si>
  <si>
    <t>SMB 800</t>
  </si>
  <si>
    <t>Switch grass</t>
  </si>
  <si>
    <t>Spokas, K et al., Environmental Science &amp; Technology Letters 1 (2014) 326-332.</t>
  </si>
  <si>
    <t>PL 350</t>
  </si>
  <si>
    <t>Poultry litter</t>
  </si>
  <si>
    <t>PC/PL 350</t>
  </si>
  <si>
    <t>Pine Chip and Poultry Litter</t>
  </si>
  <si>
    <t>PC 700</t>
  </si>
  <si>
    <t>MNS 500</t>
  </si>
  <si>
    <t>Macadamia nutshells</t>
  </si>
  <si>
    <t>MNS 465</t>
  </si>
  <si>
    <t>Khan, N et al., Bioresource Technology 168 (2014) 245-251.</t>
  </si>
  <si>
    <t>HW 650</t>
  </si>
  <si>
    <t>CL 550</t>
  </si>
  <si>
    <t>Chicken Litter</t>
  </si>
  <si>
    <t>SW 550</t>
  </si>
  <si>
    <t>Softwood pellets</t>
  </si>
  <si>
    <t>Buss, W et al., Journal of Environmental Management 137 (2014) 111-119.</t>
  </si>
  <si>
    <t>MG 350</t>
  </si>
  <si>
    <t>Miscanthus Grass</t>
  </si>
  <si>
    <t>Brewer, C. E et al.,Biomass and Bioenergy 66 (2014) 176-185.</t>
  </si>
  <si>
    <t>MG 400</t>
  </si>
  <si>
    <t>MG 450</t>
  </si>
  <si>
    <t>MG 550</t>
  </si>
  <si>
    <t>Miscanthus grass</t>
  </si>
  <si>
    <t>MG 600</t>
  </si>
  <si>
    <t>MG 700</t>
  </si>
  <si>
    <t>Intermediate</t>
  </si>
  <si>
    <t>MG 360</t>
  </si>
  <si>
    <t>MG 370</t>
  </si>
  <si>
    <t>MG 425</t>
  </si>
  <si>
    <t>intermediate</t>
  </si>
  <si>
    <t>MW 300</t>
  </si>
  <si>
    <t>Mesquite</t>
  </si>
  <si>
    <t>MW 350</t>
  </si>
  <si>
    <t>Mesquite wood</t>
  </si>
  <si>
    <t>MW 400</t>
  </si>
  <si>
    <t>MW 450</t>
  </si>
  <si>
    <t>Mesquite Wood</t>
  </si>
  <si>
    <t>MW 550</t>
  </si>
  <si>
    <t>MW 600</t>
  </si>
  <si>
    <t>MW 700</t>
  </si>
  <si>
    <t>Chen, T et al., Bioresource Technology 164 (2014) 47-54.</t>
  </si>
  <si>
    <t>SS 600</t>
  </si>
  <si>
    <t>SS 700</t>
  </si>
  <si>
    <t>SS 800</t>
  </si>
  <si>
    <t>SS 900</t>
  </si>
  <si>
    <t>Furfural 300</t>
  </si>
  <si>
    <t>corncob after industrial distilliation</t>
  </si>
  <si>
    <t>Wu, Y et al., Solid Earth 5, 2 (2014) 665-671.</t>
  </si>
  <si>
    <t>FW 900</t>
  </si>
  <si>
    <t>Fruitwood</t>
  </si>
  <si>
    <t>Zhang, J et al., Journal of Environmental Sciences 26, 2 (2014) 390-397.</t>
  </si>
  <si>
    <t>BB 900</t>
  </si>
  <si>
    <t>RH 600</t>
  </si>
  <si>
    <t>GS 900</t>
  </si>
  <si>
    <t>Gliricidia sepium</t>
  </si>
  <si>
    <t>Herath, I et al., Journal of Soils and Sediments (2014) 1-13.</t>
  </si>
  <si>
    <t>SW 600</t>
  </si>
  <si>
    <t>Sitka Spruce wood</t>
  </si>
  <si>
    <t>Troy, S et al., Water, Air, &amp; Soil Pollution 225, 3 (2014) 1-15.</t>
  </si>
  <si>
    <t>PM 600</t>
  </si>
  <si>
    <t>Pig Manure</t>
  </si>
  <si>
    <t>OP 500</t>
  </si>
  <si>
    <t>Orchard Prunings</t>
  </si>
  <si>
    <t>Romagna Carbone s.n.c.</t>
  </si>
  <si>
    <t>Baronti, S et al., European Journal of Agronomy 53 (2014) 38-44.</t>
  </si>
  <si>
    <t>PL 550</t>
  </si>
  <si>
    <t>Rahman, L et al., Soil Research 52, 6 (2014) 604-619.</t>
  </si>
  <si>
    <t>WC 620</t>
  </si>
  <si>
    <t>Mixed wood chips</t>
  </si>
  <si>
    <t>Swiss Biochar</t>
  </si>
  <si>
    <t>Cely, P et al., Solid Earth Discussions 6, 1 (2014) 849-868.</t>
  </si>
  <si>
    <t>paper sludge and wheat husks</t>
  </si>
  <si>
    <t>Sonnenerde</t>
  </si>
  <si>
    <t>Pyreg</t>
  </si>
  <si>
    <t>wheat straw</t>
  </si>
  <si>
    <t>Macdonald, L et al., Biology and Fertility of Soils 50, 7 (2014) 1035-1045.</t>
  </si>
  <si>
    <t>MNS 850</t>
  </si>
  <si>
    <t>Macadamia nut shells</t>
  </si>
  <si>
    <t>Flash</t>
  </si>
  <si>
    <t>Cabrera, A et al., Science of The Total Environment 470â€“471 (2014) 438-443.</t>
  </si>
  <si>
    <t>HW 540</t>
  </si>
  <si>
    <t>oak and Hickory</t>
  </si>
  <si>
    <t>SD 400</t>
  </si>
  <si>
    <t>Cunninghamia Lanceolata sawdust</t>
  </si>
  <si>
    <t>Shan, J et al., Chemosphere 107 (2014) 109-114.</t>
  </si>
  <si>
    <t>Oak 650</t>
  </si>
  <si>
    <t>Mukherjee, A et al., Science of The Total Environment 487 (2014) 26-36.</t>
  </si>
  <si>
    <t>PWC 450</t>
  </si>
  <si>
    <t>Pine woodchips</t>
  </si>
  <si>
    <t>Brennan, A et al., Plant and Soil 379, 1-2 (2014) 351-360.</t>
  </si>
  <si>
    <t>OT 450</t>
  </si>
  <si>
    <t>Olive tree prunings</t>
  </si>
  <si>
    <t>BC 600</t>
  </si>
  <si>
    <t>Bamboo chips</t>
  </si>
  <si>
    <t>Dong, D et al., Journal of Soils and Sediments (2014) 1-10.</t>
  </si>
  <si>
    <t>RC 600</t>
  </si>
  <si>
    <t>Rice Chaff</t>
  </si>
  <si>
    <t>Yoo, G et al., Soil Sci. Soc. Am. J. 78, 3 (2014) 852-860.</t>
  </si>
  <si>
    <t>Miscanthus 350</t>
  </si>
  <si>
    <t>Mimmo, T et al., Bomass and Bioenergy, 62 (2014) 149-157.</t>
  </si>
  <si>
    <t>Miscanthus 360</t>
  </si>
  <si>
    <t>Miscanthus 370</t>
  </si>
  <si>
    <t>Miscanthus 400</t>
  </si>
  <si>
    <t>Miscanthus 450</t>
  </si>
  <si>
    <t>PM 300</t>
  </si>
  <si>
    <t>Poultry Manure</t>
  </si>
  <si>
    <t>Gunes, A et al., Soil Use and Management 30, 2 (2014) 182-188.</t>
  </si>
  <si>
    <t>PM 350</t>
  </si>
  <si>
    <t>Slow with 30 minute heating time</t>
  </si>
  <si>
    <t>Cimo, G et al., Journal of Agricultural and Food Chemistry 62, 8 (2014) 1912-1918.</t>
  </si>
  <si>
    <t>Poultry manure</t>
  </si>
  <si>
    <t>Slow with 60 minute heating time</t>
  </si>
  <si>
    <t>poultry manure</t>
  </si>
  <si>
    <t>Slow with 90 minute heating time</t>
  </si>
  <si>
    <t>slow with 120 minute heating time</t>
  </si>
  <si>
    <t>PM 450</t>
  </si>
  <si>
    <t>slow with 30 minute residence time</t>
  </si>
  <si>
    <t>slow with 60 minute heating time</t>
  </si>
  <si>
    <t>slow with 90 minute heating time</t>
  </si>
  <si>
    <t>Slow with 120 minute heating time</t>
  </si>
  <si>
    <t>Slow with 120 minute residence time</t>
  </si>
  <si>
    <t>Maize 350</t>
  </si>
  <si>
    <t>Nelissen, V et al., Biology and Biochemistry 70 (2014) 244-255.</t>
  </si>
  <si>
    <t>Maize 550</t>
  </si>
  <si>
    <t>Wood Mixture 480</t>
  </si>
  <si>
    <t>Spruce, Silver fir, Scots pine, Beech, Oak</t>
  </si>
  <si>
    <t>SSP 600</t>
  </si>
  <si>
    <t>Spruce and Scots Pine</t>
  </si>
  <si>
    <t>Soinne, H et al., Geoderma 219â€“220 (2014) 162-167.</t>
  </si>
  <si>
    <t>DM 350</t>
  </si>
  <si>
    <t>dairy manure</t>
  </si>
  <si>
    <t>Liu, L et al., Journal of the Air &amp; Waste Management Association 64, 8 (2014) 894-902.</t>
  </si>
  <si>
    <t>RS 350</t>
  </si>
  <si>
    <t>rice straw</t>
  </si>
  <si>
    <t>OW 600</t>
  </si>
  <si>
    <t>Oak wood</t>
  </si>
  <si>
    <t>Demisie, W et al., CATENA 121 (2014) 214-221.</t>
  </si>
  <si>
    <t>BB 600</t>
  </si>
  <si>
    <t>bamboo</t>
  </si>
  <si>
    <t>HWM 500</t>
  </si>
  <si>
    <t>beech, hazel, oak and birch</t>
  </si>
  <si>
    <t>Rutigliano, F. A et al., European Journal of Soil Biology 60 (2014) 9-15.</t>
  </si>
  <si>
    <t>BB 750</t>
  </si>
  <si>
    <t>batch</t>
  </si>
  <si>
    <t>Lu, K et al., Agriculture, Ecosystems &amp; Environment 191 (2014) 124-132.</t>
  </si>
  <si>
    <t>maize straw</t>
  </si>
  <si>
    <t>Zhao, X.-r et al., Journal of Integrative Agriculture 13, 3 (2014) 499-506.</t>
  </si>
  <si>
    <t>Sawdust 500</t>
  </si>
  <si>
    <t>Zhao, L et al., Chemical Engineering Journal 250 (2014) 240-247.</t>
  </si>
  <si>
    <t>peanut shells</t>
  </si>
  <si>
    <t>Chlorella 500</t>
  </si>
  <si>
    <t>waterweeds 500</t>
  </si>
  <si>
    <t>CM 500</t>
  </si>
  <si>
    <t>PM 200</t>
  </si>
  <si>
    <t>pig manure</t>
  </si>
  <si>
    <t>PM 500</t>
  </si>
  <si>
    <t>Pig manure</t>
  </si>
  <si>
    <t>PM 650</t>
  </si>
  <si>
    <t>SH 500</t>
  </si>
  <si>
    <t>Shrimp hull</t>
  </si>
  <si>
    <t>BD 500</t>
  </si>
  <si>
    <t>bone dregs</t>
  </si>
  <si>
    <t>wastewater sludge</t>
  </si>
  <si>
    <t>waste paper</t>
  </si>
  <si>
    <t>Lee, B.-K et al., Journal of Selcuk University Natural and Applied Science (2014).</t>
  </si>
  <si>
    <t>RHCS 400</t>
  </si>
  <si>
    <t>Rice husk and the shell of cotton seeds</t>
  </si>
  <si>
    <t>Liang, F., Li, G.-t et al., Journal of Integrative Agriculture 13, 3 (2014) 525-532.</t>
  </si>
  <si>
    <t>Dynamotive BC</t>
  </si>
  <si>
    <t>Weyers, S. L et al., Solid Earth Discuss., 6 (2014) 599-617.</t>
  </si>
  <si>
    <t>HWSW 550</t>
  </si>
  <si>
    <t>Hardwood and softwood mixture</t>
  </si>
  <si>
    <t>Best Energies</t>
  </si>
  <si>
    <t>HW 538</t>
  </si>
  <si>
    <t>Cowboy Charcoal</t>
  </si>
  <si>
    <t>WM 600</t>
  </si>
  <si>
    <t>Wheat mids</t>
  </si>
  <si>
    <t>ICM</t>
  </si>
  <si>
    <t>pine chips</t>
  </si>
  <si>
    <t>MNS 650</t>
  </si>
  <si>
    <t>macadamia</t>
  </si>
  <si>
    <t>Biochar Brokers</t>
  </si>
  <si>
    <t>Xu, X et al., Chemosphere 111 (2014) 296-303.</t>
  </si>
  <si>
    <t>SW 300</t>
  </si>
  <si>
    <t xml:space="preserve"> 1h</t>
  </si>
  <si>
    <t>switchgrass</t>
  </si>
  <si>
    <t>Slow with 1 hour residence time</t>
  </si>
  <si>
    <t>Sadaka, S et al., Energies 7, 2 (2014) 548-567.</t>
  </si>
  <si>
    <t xml:space="preserve"> 2h</t>
  </si>
  <si>
    <t>Slow with 2 hour residence time</t>
  </si>
  <si>
    <t xml:space="preserve"> 3h</t>
  </si>
  <si>
    <t>slow with 3 hour residence time</t>
  </si>
  <si>
    <t>SW 350</t>
  </si>
  <si>
    <t>slow with 2 hour residence time</t>
  </si>
  <si>
    <t>SW 400</t>
  </si>
  <si>
    <t>Slow with 3 hour residence time</t>
  </si>
  <si>
    <t>AS 380</t>
  </si>
  <si>
    <t>Acacia saligna</t>
  </si>
  <si>
    <t>Anthroterra Pty Ltd</t>
  </si>
  <si>
    <t>Batch reactor</t>
  </si>
  <si>
    <t>Chia, C. H et al., Journal of Analytical and Applied Pyrolysis 108 (2014) 26-34.</t>
  </si>
  <si>
    <t>HO 600</t>
  </si>
  <si>
    <t>Holm Oak</t>
  </si>
  <si>
    <t>Fernandez, J. M et al., Science of The Total Environment 482-483 (2014) 1-7.</t>
  </si>
  <si>
    <t>poultry litter</t>
  </si>
  <si>
    <t>Lu, H et al., PLoS ONE 4 (2014).</t>
  </si>
  <si>
    <t>Eucalyptus 600</t>
  </si>
  <si>
    <t xml:space="preserve"> WS 300</t>
  </si>
  <si>
    <t>Xu, D et al., Chemosphere 111 (2014) 320-326.</t>
  </si>
  <si>
    <t>CO2</t>
  </si>
  <si>
    <t>SW 450</t>
  </si>
  <si>
    <t>switch gras</t>
  </si>
  <si>
    <t>switch grass</t>
  </si>
  <si>
    <t>SM 300</t>
  </si>
  <si>
    <t>swine manure</t>
  </si>
  <si>
    <t>WW 400</t>
  </si>
  <si>
    <t>wastewater biosolids</t>
  </si>
  <si>
    <t>Oh, S.-Y et al., Environmental Earth Sciences (2014) 1-10.</t>
  </si>
  <si>
    <t>Miscanthus giganteus</t>
  </si>
  <si>
    <t>Hydrocarb GmbH</t>
  </si>
  <si>
    <t>Schimmelpfennig, S et al., Ecosystems &amp; Environment 191 (2014) 39-52.</t>
  </si>
  <si>
    <t>PC 350</t>
  </si>
  <si>
    <t>slow with heating rate of 5C min-1</t>
  </si>
  <si>
    <t>PC 450</t>
  </si>
  <si>
    <t>PC 550</t>
  </si>
  <si>
    <t>PC 650</t>
  </si>
  <si>
    <t>slow with heating rate of 100C min-1</t>
  </si>
  <si>
    <t>WSP 350</t>
  </si>
  <si>
    <t>wheat straw pellets</t>
  </si>
  <si>
    <t>slwo with heating rate of 5C min-1</t>
  </si>
  <si>
    <t>WSP 450</t>
  </si>
  <si>
    <t>wheat straw pellet</t>
  </si>
  <si>
    <t>WSP 550</t>
  </si>
  <si>
    <t>WSP 650</t>
  </si>
  <si>
    <t>slwo with heating rate of 100C min-1</t>
  </si>
  <si>
    <t>Wheat straw pellet</t>
  </si>
  <si>
    <t>corn straw</t>
  </si>
  <si>
    <t>Lu, W et al., Soil Biology and Biochemistry 76 (2014) 12-21.</t>
  </si>
  <si>
    <t>MHW 575</t>
  </si>
  <si>
    <t>primarily oak (Quercus spp.), elm (Ulmus spp.) and hickory (Carya spp.)</t>
  </si>
  <si>
    <t>Rogovska, N et al., Geoderma 230-231 (2014) 340-347.</t>
  </si>
  <si>
    <t>WS 550</t>
  </si>
  <si>
    <t>Xu, G et al., Ecological Engineering 62 (2014) 54-60.</t>
  </si>
  <si>
    <t>paper sludge</t>
  </si>
  <si>
    <t>Mendez, A et al., Journal of Analytical and Applied Pyrolysis 107 (2014) 46-52.</t>
  </si>
  <si>
    <t>LP 475</t>
  </si>
  <si>
    <t>Lolium perenne</t>
  </si>
  <si>
    <t>Koide, R. T et al., GCB Bioenergy</t>
  </si>
  <si>
    <t>WS 730</t>
  </si>
  <si>
    <t xml:space="preserve">circulating fluidized-bed gasifier </t>
  </si>
  <si>
    <t>Bruun, E. W et al., Soil Use and Management 30, 1 (2014) 109-118.</t>
  </si>
  <si>
    <t>MH 480</t>
  </si>
  <si>
    <t>(69% Norway Spruce, 19% beech plus other wood species</t>
  </si>
  <si>
    <t>HWCT 750</t>
  </si>
  <si>
    <t>mixture of hardwood and coniferous trees</t>
  </si>
  <si>
    <t>Schmidt, H.-P et al., Agriculture, Ecosystems &amp; Environment 191 (2014) 117-123.</t>
  </si>
  <si>
    <t>BW 500</t>
  </si>
  <si>
    <t>beech wood</t>
  </si>
  <si>
    <t>Prommer, J et al., PLoS ONE 9, 1 (2014).</t>
  </si>
  <si>
    <t>rape straw</t>
  </si>
  <si>
    <t>Tong, H et al., Soil Biology and Biochemistry 70 (2014) 142-150.</t>
  </si>
  <si>
    <t>PS 250</t>
  </si>
  <si>
    <t>pistachio shell</t>
  </si>
  <si>
    <t>Komnitsas, K et al., Assessment of pistachio shell biochar quality and its potential for absorption of heavy metals (2014).</t>
  </si>
  <si>
    <t>PS 350</t>
  </si>
  <si>
    <t>PS 450</t>
  </si>
  <si>
    <t>PS 550</t>
  </si>
  <si>
    <t>PS 650</t>
  </si>
  <si>
    <t>DS 350</t>
  </si>
  <si>
    <t>Durian shells</t>
  </si>
  <si>
    <t>Prakongkep, N et al., Agronomic benefits of durian shell biochar. Journal of Metals, Materials and Minerals (2014).</t>
  </si>
  <si>
    <t>CS 300</t>
  </si>
  <si>
    <t>cassava stem</t>
  </si>
  <si>
    <t>Prapagdee, S et al., Environment Asia 7 (2014).</t>
  </si>
  <si>
    <t>BCC 700</t>
  </si>
  <si>
    <t>Burcucumber shoots</t>
  </si>
  <si>
    <t>Vithanage, M et al., Environmental Science and Pollution Research (2014) 1-12.</t>
  </si>
  <si>
    <t>WC 400</t>
  </si>
  <si>
    <t>pine</t>
  </si>
  <si>
    <t>Kearns, J. P et al.,Water Research 62 (2014) 20-28.</t>
  </si>
  <si>
    <t>WC 500</t>
  </si>
  <si>
    <t>WC 700</t>
  </si>
  <si>
    <t>BB 500</t>
  </si>
  <si>
    <t>BB 700</t>
  </si>
  <si>
    <t>CC 600</t>
  </si>
  <si>
    <t>corn cobs</t>
  </si>
  <si>
    <t>SS 400</t>
  </si>
  <si>
    <t>Song, X. D et al., Chemosphere 109 (2014) 213-220.</t>
  </si>
  <si>
    <t>TF 550</t>
  </si>
  <si>
    <t>tomato feedstock</t>
  </si>
  <si>
    <t>Smider, B et al., Agriculture, Ecosystems &amp; Environment 191 (2014) 99-107.</t>
  </si>
  <si>
    <t>Alburquerque, J. A et al., Environmental Pollution 196 (2015) 72-77.</t>
  </si>
  <si>
    <t>Li, B et al., Atmospheric Environment 100 (2015) 10-19.</t>
  </si>
  <si>
    <t>GW 350</t>
  </si>
  <si>
    <t>green waste</t>
  </si>
  <si>
    <t>Srinivasan, P et al., Science of The Total Environment 502 (2015) 471-480.</t>
  </si>
  <si>
    <t>GW 450</t>
  </si>
  <si>
    <t>corn cob</t>
  </si>
  <si>
    <t>PSD 700</t>
  </si>
  <si>
    <t>pine sawdust</t>
  </si>
  <si>
    <t>Farrell, M et al., Soil Biology and Biochemistry 80 (2015) 79-88.</t>
  </si>
  <si>
    <t>PM 550</t>
  </si>
  <si>
    <t>OM 450</t>
  </si>
  <si>
    <t>Oil mallee</t>
  </si>
  <si>
    <t>OM 550</t>
  </si>
  <si>
    <t>oil mallee</t>
  </si>
  <si>
    <t>MS 350</t>
  </si>
  <si>
    <t>Fungo, B et al., Journal of Plant Nutrition and Soil Science 177 (2014) 34-38.</t>
  </si>
  <si>
    <t>MS 550</t>
  </si>
  <si>
    <t>Eucalyptus 350</t>
  </si>
  <si>
    <t>Eucalyptus 550</t>
  </si>
  <si>
    <t>various woods</t>
  </si>
  <si>
    <t>Kizito, S et al., Science of The Total Environment 505 (2015) 102-112.</t>
  </si>
  <si>
    <t>rice husk</t>
  </si>
  <si>
    <t>Pine bark 950</t>
  </si>
  <si>
    <t>Kastner, J. R et al., Fuel Processing Technology 130 (2015) 31-37.</t>
  </si>
  <si>
    <t>oak 500</t>
  </si>
  <si>
    <t>Cheah, S et al., Environmental Science &amp; Technology 48, 15 (2014) 8474-8480.</t>
  </si>
  <si>
    <t>Oak 850</t>
  </si>
  <si>
    <t>CS 850</t>
  </si>
  <si>
    <t>Miscanthus 650</t>
  </si>
  <si>
    <t>Bai, M et al., Journal of Plant Nutrition and Soil Science 177, 4 (2014) 633-637.</t>
  </si>
  <si>
    <t>Miscanthus 500</t>
  </si>
  <si>
    <t>corn spindle 550</t>
  </si>
  <si>
    <t>Willow 500</t>
  </si>
  <si>
    <t>Stewart, M. Removal of Organic and Inorganic Contaminants from Oil Sands Tailings using Carbon Based Adsorbents and Native Sediment. University of Alberta (2013).</t>
  </si>
  <si>
    <t>GM 400</t>
  </si>
  <si>
    <t>goat manure</t>
  </si>
  <si>
    <t>Touray, N et al., Journal of Analytical and Applied Pyrolysis, 109 (2014) 116-122.</t>
  </si>
  <si>
    <t>GM 500</t>
  </si>
  <si>
    <t>GM 600</t>
  </si>
  <si>
    <t>GM 700</t>
  </si>
  <si>
    <t>GM 800</t>
  </si>
  <si>
    <t>Hemp 500</t>
  </si>
  <si>
    <t>Anjum, R et al., Ecotoxicology and Environmental Safety 107 (2014) 306-312.</t>
  </si>
  <si>
    <t>Wood 500</t>
  </si>
  <si>
    <t>Brachystegia sp. 350</t>
  </si>
  <si>
    <t>Alling, V et al., Journal of Plant Nutrition and Soil Science 177, 5 (2014) 671-680.</t>
  </si>
  <si>
    <t>lemongrass 450</t>
  </si>
  <si>
    <t>Cymbopogon flexuosus</t>
  </si>
  <si>
    <t>Jain, S et al., Ecological Engineering 71 (2014) 703-709.</t>
  </si>
  <si>
    <t>CC 350</t>
  </si>
  <si>
    <t>slow in earth mound kiln</t>
  </si>
  <si>
    <t>Martinsen, V et al., Journal of Plant Nutrition and Soil Science 177, 5 (2014) 681-695.</t>
  </si>
  <si>
    <t>slow brick kiln</t>
  </si>
  <si>
    <t>Brennan, A et al., Environmental Pollution 193 (2014) 79-87.</t>
  </si>
  <si>
    <t>CC 300</t>
  </si>
  <si>
    <t>Liu, X et al., Bioresource Technology 170 (2014) 76-82.</t>
  </si>
  <si>
    <t>CC 400</t>
  </si>
  <si>
    <t>CC 500</t>
  </si>
  <si>
    <t>sawdust</t>
  </si>
  <si>
    <t>MC 400</t>
  </si>
  <si>
    <t>mixed conifers</t>
  </si>
  <si>
    <t>fast</t>
  </si>
  <si>
    <t>Jarvis, J. M et al., Energy &amp; Fuels 28, 10 (2014) 6438-6446.</t>
  </si>
  <si>
    <t>OWO 400</t>
  </si>
  <si>
    <t>Oregon white oak</t>
  </si>
  <si>
    <t>SB 400</t>
  </si>
  <si>
    <t>scotch broom</t>
  </si>
  <si>
    <t>YP 450</t>
  </si>
  <si>
    <t>yellow poplar</t>
  </si>
  <si>
    <t>Hwang, H et al., Journal of Analytical and Applied Pyrolysis (2014).</t>
  </si>
  <si>
    <t>YP 500</t>
  </si>
  <si>
    <t>yellow polar</t>
  </si>
  <si>
    <t>YP 550</t>
  </si>
  <si>
    <t>OTP 450</t>
  </si>
  <si>
    <t>olive tree pruning</t>
  </si>
  <si>
    <t>Olmo, M et al., Biology and Fertility of Soils 50, 8 (2014) 1177-1187.</t>
  </si>
  <si>
    <t>various wood chippings</t>
  </si>
  <si>
    <t>de la Rosa, J. M et al., Science of The Total Environment 499 (2014) 175-184.</t>
  </si>
  <si>
    <t>MP 550</t>
  </si>
  <si>
    <t>mixed pine chippings</t>
  </si>
  <si>
    <t>Bastos, A. C et al., Ecotoxicology 23, 9 (2014) 1784-1793.</t>
  </si>
  <si>
    <t>NS 600</t>
  </si>
  <si>
    <t>Trakal, L et al., Engineering implications. Bioresource Technology 171 (2014) 442-451.</t>
  </si>
  <si>
    <t>GS 600</t>
  </si>
  <si>
    <t>grape stalks</t>
  </si>
  <si>
    <t>GH 600</t>
  </si>
  <si>
    <t>grape husks</t>
  </si>
  <si>
    <t>PS 600</t>
  </si>
  <si>
    <t>plum stone</t>
  </si>
  <si>
    <t>Populus tremuloides</t>
  </si>
  <si>
    <t>Veksha, A et al., Bioresource Technology 171 (2014) 88-94.</t>
  </si>
  <si>
    <t>SP 725</t>
  </si>
  <si>
    <t>straw pellet</t>
  </si>
  <si>
    <t>Muter, O et al., Ecotoxicology and Environmental Safety 109 (2014) 93-100.</t>
  </si>
  <si>
    <t>MW 725</t>
  </si>
  <si>
    <t>wooden boxes and wooden pallets</t>
  </si>
  <si>
    <t>Liu, J et al., European Journal of Soil Biology 65 (2014) 30-39.</t>
  </si>
  <si>
    <t>HW 200</t>
  </si>
  <si>
    <t>S. roxburghii</t>
  </si>
  <si>
    <t>Chen, C.-P et al., Geoderma 232-234 (2014) 581-588.</t>
  </si>
  <si>
    <t>HW 400</t>
  </si>
  <si>
    <t>Ameloot, N et al., Soil Biology and Biochemistry 78 (2014) 195-203.</t>
  </si>
  <si>
    <t>PO 500</t>
  </si>
  <si>
    <t>orchard prunings</t>
  </si>
  <si>
    <t>Beech, Hazel, Oak, Birch</t>
  </si>
  <si>
    <t>OMW 430 25</t>
  </si>
  <si>
    <t>olive mill waste</t>
  </si>
  <si>
    <t>430 heating rate 25 C min-1</t>
  </si>
  <si>
    <t>Hmid, A et al., Biomass and Bioenergy 71 (2014) 330-339.</t>
  </si>
  <si>
    <t>OMW 430 35</t>
  </si>
  <si>
    <t>slow with heating rat of 35 C min-1</t>
  </si>
  <si>
    <t>OMW 430 45</t>
  </si>
  <si>
    <t>slow with heating rate of 45 C min-1</t>
  </si>
  <si>
    <t>OMW 480 25</t>
  </si>
  <si>
    <t>slow with heating rate of 25 C min-1</t>
  </si>
  <si>
    <t>OMW 480 35</t>
  </si>
  <si>
    <t>slow with heating rate of 35 C min-1</t>
  </si>
  <si>
    <t>OMW 460 45</t>
  </si>
  <si>
    <t>OMW 530 25</t>
  </si>
  <si>
    <t>OMW 530 35</t>
  </si>
  <si>
    <t>OMW 530 45</t>
  </si>
  <si>
    <t>slow wiht heating rate of 45 C min-1</t>
  </si>
  <si>
    <t>SCB 500</t>
  </si>
  <si>
    <t>sugar cane bagasse</t>
  </si>
  <si>
    <t>Abdelhafez, A. A et al., Chemosphere 117 (2014) 66-71.</t>
  </si>
  <si>
    <t>orange peel</t>
  </si>
  <si>
    <t>sludge 330</t>
  </si>
  <si>
    <t>Singla, A et al., Agriculture, Ecosystems &amp; Environment 197 (2014) 278-287.</t>
  </si>
  <si>
    <t>Huff, M. D et al., Journal of Environmental Management 146 (2014) 303-308.</t>
  </si>
  <si>
    <t>palm shell</t>
  </si>
  <si>
    <t>Windeatt, J. H et al., Journal of Environmental Management 146 (2014) 189-197.</t>
  </si>
  <si>
    <t>SCB 600</t>
  </si>
  <si>
    <t>sugarcane bagasse</t>
  </si>
  <si>
    <t>coconut shell</t>
  </si>
  <si>
    <t>CoS 600</t>
  </si>
  <si>
    <t>Cotton stalk</t>
  </si>
  <si>
    <t>OPo 600</t>
  </si>
  <si>
    <t>olive pomace</t>
  </si>
  <si>
    <t>CF 600</t>
  </si>
  <si>
    <t>coconut fibre</t>
  </si>
  <si>
    <t>HW 550</t>
  </si>
  <si>
    <t>Borchard, N ET al., Soil and Tillage Research 144 (2014) 184-194.</t>
  </si>
  <si>
    <t>SW 500</t>
  </si>
  <si>
    <t>flash</t>
  </si>
  <si>
    <t>Taha, S. M et al., Journal of Environmental Chemical Engineering 2,4 (2014) 2013-2025.</t>
  </si>
  <si>
    <t>CS 450</t>
  </si>
  <si>
    <t>AT 400</t>
  </si>
  <si>
    <t>apple tree</t>
  </si>
  <si>
    <t>Jindo, K et al., Biogeosciences Discussions 11, 8 (2014) 11727-11746.</t>
  </si>
  <si>
    <t>AT 500</t>
  </si>
  <si>
    <t>AT 600</t>
  </si>
  <si>
    <t>AT 700</t>
  </si>
  <si>
    <t>AT 800</t>
  </si>
  <si>
    <t>OT 400</t>
  </si>
  <si>
    <t>oak tree</t>
  </si>
  <si>
    <t>OT 500</t>
  </si>
  <si>
    <t>OT 600</t>
  </si>
  <si>
    <t>OT 700</t>
  </si>
  <si>
    <t>OT 800</t>
  </si>
  <si>
    <t>RH 800</t>
  </si>
  <si>
    <t>RS 800</t>
  </si>
  <si>
    <t>Xu, X et al., RSC Advances 4, 85 (2014) 44930-44937.</t>
  </si>
  <si>
    <t>wood chippings</t>
  </si>
  <si>
    <t xml:space="preserve">Swiss Biochar </t>
  </si>
  <si>
    <t>Cely, P et al., Solid Earth 5, 1 (2014) 585-594.</t>
  </si>
  <si>
    <t>HM 300</t>
  </si>
  <si>
    <t>human manure</t>
  </si>
  <si>
    <t>Liu, X et al., Waste Management 34, 9 (2014) 1619-1626.</t>
  </si>
  <si>
    <t>HM 400</t>
  </si>
  <si>
    <t>HM 500</t>
  </si>
  <si>
    <t>HM 600</t>
  </si>
  <si>
    <t>HM 700</t>
  </si>
  <si>
    <t>Hall, K. E et al., Water, Air, &amp; Soil Pollution 225, 7 (2014) 1-9.</t>
  </si>
  <si>
    <t>Florence, Italy</t>
  </si>
  <si>
    <t>moso bamboo</t>
  </si>
  <si>
    <t>slow with heating rate of 5 C min-1</t>
  </si>
  <si>
    <t>Chen, D et al., Bioresource Technology 169 (2014) 313-319.</t>
  </si>
  <si>
    <t>slow with heating rate of 10 C min -1</t>
  </si>
  <si>
    <t>slow with heating rate of 20 C min -1</t>
  </si>
  <si>
    <t>slow with heating rate of 30 C min -1</t>
  </si>
  <si>
    <t>Calvelo Pereira, R et al., Animal Feed Science and Technology 196 (2014) 22-31.</t>
  </si>
  <si>
    <t>POS 550</t>
  </si>
  <si>
    <t>palm oil sludge</t>
  </si>
  <si>
    <t>Thangalazhy-Gopakumar, S et al., Bioresource Technology (2014).</t>
  </si>
  <si>
    <t>MW 500</t>
  </si>
  <si>
    <t>mixed wood</t>
  </si>
  <si>
    <t>Ogbonnaya, U et al., Influence of Wood Biochar on Phenanthrene Catabolism in Soils. Environments 1, (2014) 60-74.</t>
  </si>
  <si>
    <t>mixed woods</t>
  </si>
  <si>
    <t>Ogbonnaya, U et al., Environments 1, 1 (2014) 60-74.</t>
  </si>
  <si>
    <t>RI 300</t>
  </si>
  <si>
    <t xml:space="preserve"> radix isatidis residue</t>
  </si>
  <si>
    <t>slow with holding time of 10 minutes</t>
  </si>
  <si>
    <t>Yuan, H et al., Journal of Analytical and Applied Pyrolysis 110 (2014) 277-284.</t>
  </si>
  <si>
    <t>radix isatidis residue</t>
  </si>
  <si>
    <t>RI 500</t>
  </si>
  <si>
    <t>R1 700</t>
  </si>
  <si>
    <t>RI 700</t>
  </si>
  <si>
    <t>MSW 400</t>
  </si>
  <si>
    <t>municipal solid waste</t>
  </si>
  <si>
    <t>Jin, H et al., Bioresource Technology 169 (2014) 622-629.</t>
  </si>
  <si>
    <t>MSW 500</t>
  </si>
  <si>
    <t>MSW 600</t>
  </si>
  <si>
    <t>SG 400</t>
  </si>
  <si>
    <t>slow with residence time of 1 minute</t>
  </si>
  <si>
    <t>Conti, R et al., Journal of Analytical and Applied Pyrolysis 110 (2014) 239-247.</t>
  </si>
  <si>
    <t>SG 450</t>
  </si>
  <si>
    <t>slow with residence time of 2 minutes</t>
  </si>
  <si>
    <t>SG 550</t>
  </si>
  <si>
    <t>slow with 2 minute residence time</t>
  </si>
  <si>
    <t>SG 600</t>
  </si>
  <si>
    <t>slow with residence time of 5 minutes</t>
  </si>
  <si>
    <t>slow with residence time of 10 minutes</t>
  </si>
  <si>
    <t>slow with residence time of 20 minutes</t>
  </si>
  <si>
    <t>SG 700</t>
  </si>
  <si>
    <t>Fang, C et al., International Journal of Environmental Research and Public Health 11, 9 (2014) 9217-9237.</t>
  </si>
  <si>
    <t>Corn</t>
  </si>
  <si>
    <t>corn</t>
  </si>
  <si>
    <t>CMSM 250</t>
  </si>
  <si>
    <t>cattle manure and silage maize</t>
  </si>
  <si>
    <t>Pituello, C et al., Journal of Soils and Sediments (2014) 1-13.</t>
  </si>
  <si>
    <t>CMSM 350</t>
  </si>
  <si>
    <t>CMSM 450</t>
  </si>
  <si>
    <t>CMSM 550</t>
  </si>
  <si>
    <t>MOW 250</t>
  </si>
  <si>
    <t>municipal organic waste</t>
  </si>
  <si>
    <t>MOW 350</t>
  </si>
  <si>
    <t>MOW 450</t>
  </si>
  <si>
    <t>MOW 550</t>
  </si>
  <si>
    <t>PL 250</t>
  </si>
  <si>
    <t>PL 450</t>
  </si>
  <si>
    <t>PR 250</t>
  </si>
  <si>
    <t>vineyard pruning residue</t>
  </si>
  <si>
    <t>PR 350</t>
  </si>
  <si>
    <t>PR 450</t>
  </si>
  <si>
    <t>PR 550</t>
  </si>
  <si>
    <t>SS 250</t>
  </si>
  <si>
    <t>SS 350</t>
  </si>
  <si>
    <t>Chintala, R et al., Journal of Hazardous Materials 279 (2014) 244-256.</t>
  </si>
  <si>
    <t>PWC 650</t>
  </si>
  <si>
    <t>pine wood chips</t>
  </si>
  <si>
    <t>Grass straw 200</t>
  </si>
  <si>
    <t>Keiluweit et al., Env Sci &amp; Technol 44, 4 (2010) 1247-1253.</t>
  </si>
  <si>
    <t>Grass straw 300</t>
  </si>
  <si>
    <t>Grass straw 400</t>
  </si>
  <si>
    <t>Grass straw 500</t>
  </si>
  <si>
    <t>Grass straw 600</t>
  </si>
  <si>
    <t>Grass straw 700</t>
  </si>
  <si>
    <t>Olive pomace biochar</t>
  </si>
  <si>
    <t xml:space="preserve">Italy </t>
  </si>
  <si>
    <t xml:space="preserve">Research institute (Research purposes) </t>
  </si>
  <si>
    <t>Hmid, A.</t>
  </si>
  <si>
    <t>New Age</t>
  </si>
  <si>
    <t>Wood is used sanitary cuttings</t>
  </si>
  <si>
    <t>Russia, Marii El</t>
  </si>
  <si>
    <t>New Age Company</t>
  </si>
  <si>
    <t>low-temperature pyrolysis</t>
  </si>
  <si>
    <t>Palm300</t>
  </si>
  <si>
    <t>palm fronds</t>
  </si>
  <si>
    <t>CA, USA</t>
  </si>
  <si>
    <t>slow pyrolysis</t>
  </si>
  <si>
    <t>Hale, L., et al. Soil Biology and Biochemistry 81 (2015) 228-235.</t>
  </si>
  <si>
    <t>BET/ IBI Certification Program Manual: Requirements and Procedures for Biochar Certification, 2013.</t>
  </si>
  <si>
    <t>Palm600</t>
  </si>
  <si>
    <t>USA</t>
  </si>
  <si>
    <t>Pine300</t>
  </si>
  <si>
    <t>pine wood</t>
  </si>
  <si>
    <t>Pine600</t>
  </si>
  <si>
    <t>Nut300</t>
  </si>
  <si>
    <t>Nut600</t>
  </si>
  <si>
    <t>Pit300</t>
  </si>
  <si>
    <t>stone fruit pits</t>
  </si>
  <si>
    <t>Pit600</t>
  </si>
  <si>
    <t>BET/ IBI Certification Program Manual: Requirements and Procedures for Biochar Certification, 2013</t>
  </si>
  <si>
    <t>Shell300</t>
  </si>
  <si>
    <t>pistachio shells</t>
  </si>
  <si>
    <t>Shell600</t>
  </si>
  <si>
    <t>SB</t>
  </si>
  <si>
    <t>straw</t>
  </si>
  <si>
    <t>Roh, H. et al. Journal of Industrial and Engineering Chemistry 26 (2015) 226-233. Print.</t>
  </si>
  <si>
    <t>WCB</t>
  </si>
  <si>
    <t>woodschips</t>
  </si>
  <si>
    <t>Roh, H et al. Journal of Industrial and Engineering Chemistry 26 (2015) 226-233.</t>
  </si>
  <si>
    <t>WSB</t>
  </si>
  <si>
    <t>wastewater</t>
  </si>
  <si>
    <t>pinewood</t>
  </si>
  <si>
    <t>Yargicoglu, E.N. et al. Waste Management 36 (2015) 256-68.</t>
  </si>
  <si>
    <t>90% pine 10% fir wood</t>
  </si>
  <si>
    <t>AW</t>
  </si>
  <si>
    <t>aged oak and hickory wood</t>
  </si>
  <si>
    <t>Missouri type concreter kiln</t>
  </si>
  <si>
    <t>CE-WP1</t>
  </si>
  <si>
    <t>pinewood pellets</t>
  </si>
  <si>
    <t>gasification</t>
  </si>
  <si>
    <t>CE-WP2</t>
  </si>
  <si>
    <t>CE-AWP</t>
  </si>
  <si>
    <t>BC900</t>
  </si>
  <si>
    <t>municipal sewage sludge</t>
  </si>
  <si>
    <t>Chen, Tan, et al. Bioresource Technology 190 (2015) 388-94.</t>
  </si>
  <si>
    <t>OedogoniumÂ biomass</t>
  </si>
  <si>
    <t xml:space="preserve">Roberts, David A., et al. Journal of Environmental Management 161 (2015): 173-80. </t>
  </si>
  <si>
    <t>FCB</t>
  </si>
  <si>
    <t>fungus chaff</t>
  </si>
  <si>
    <t>low tempertaure</t>
  </si>
  <si>
    <t>Tong, De-Li, et al. Communications in Soil Science and Plant Analysis 46(15), (2015) 1913-1921.</t>
  </si>
  <si>
    <t>TERRA PRETA</t>
  </si>
  <si>
    <t>bio-charcoal, humus, clay, alumina, shell limestone, perlite, microorganisms, and organic fertilizer</t>
  </si>
  <si>
    <t>Rinklebe, JÃ¶rg, et al. Chemosphere 142 (2016) 41-47.</t>
  </si>
  <si>
    <t>Microwave digestion</t>
  </si>
  <si>
    <t>SwS</t>
  </si>
  <si>
    <t>thermally-dried sewage sludge</t>
  </si>
  <si>
    <t>Ojeda, Gerardo, et al. Geoderma 249-250 (2015) 1-11.</t>
  </si>
  <si>
    <t>PoS</t>
  </si>
  <si>
    <t>poplar wood</t>
  </si>
  <si>
    <t>PoF</t>
  </si>
  <si>
    <t>PiS</t>
  </si>
  <si>
    <t>PiF</t>
  </si>
  <si>
    <t>PiG</t>
  </si>
  <si>
    <t>PI</t>
  </si>
  <si>
    <t>Greece</t>
  </si>
  <si>
    <t>Konsolakis, M., et al. Royal Society of Chemistry 5 (2015) 73399â€“73409.</t>
  </si>
  <si>
    <t>PE</t>
  </si>
  <si>
    <t>pecan shells</t>
  </si>
  <si>
    <t>SD</t>
  </si>
  <si>
    <t>PM_B450</t>
  </si>
  <si>
    <t>sewage sludge paper mill industry</t>
  </si>
  <si>
    <t>PeÄkytÄ—, J., et al. Science - Future of Lithuania 7(4) (2015) 399-406.</t>
  </si>
  <si>
    <t>PM_B600</t>
  </si>
  <si>
    <t>Le_B450</t>
  </si>
  <si>
    <t>sewage sludge leather industry</t>
  </si>
  <si>
    <t>Le_B600</t>
  </si>
  <si>
    <t>Horotiu-1</t>
  </si>
  <si>
    <t>New Zealand</t>
  </si>
  <si>
    <t>Calvelo Pereira, R. et al. European Journal of Soil Science 65 (2014) 83-95.</t>
  </si>
  <si>
    <t>Papamoa-1</t>
  </si>
  <si>
    <t>Papamoa-2</t>
  </si>
  <si>
    <t>pine wood pellets</t>
  </si>
  <si>
    <t>AMATEX SA</t>
  </si>
  <si>
    <t>Alburquerque, J.A., et al. Journal of Cleaner Production 120 (2016) 191-197.</t>
  </si>
  <si>
    <t xml:space="preserve">modified ammonium-acetate compulsory displacement </t>
  </si>
  <si>
    <t>PW 450</t>
  </si>
  <si>
    <t>OS 350</t>
  </si>
  <si>
    <t>olive stone</t>
  </si>
  <si>
    <t>BIOTERM AGROFORESTAL SL</t>
  </si>
  <si>
    <t>OS 450</t>
  </si>
  <si>
    <t>OS 550</t>
  </si>
  <si>
    <t>olive sone</t>
  </si>
  <si>
    <t>AS 350</t>
  </si>
  <si>
    <t>almond shell</t>
  </si>
  <si>
    <t>AS 450</t>
  </si>
  <si>
    <t>AS 550</t>
  </si>
  <si>
    <t>OP 350</t>
  </si>
  <si>
    <t>OP 450</t>
  </si>
  <si>
    <t>OP 550</t>
  </si>
  <si>
    <t>E280</t>
  </si>
  <si>
    <t>sewage sludge and ethenol</t>
  </si>
  <si>
    <t>Leng, L., et al. Applied Surface Science 346 (2015) 223-231.</t>
  </si>
  <si>
    <t>A280</t>
  </si>
  <si>
    <t>sewage sludge and acetone</t>
  </si>
  <si>
    <t>M260</t>
  </si>
  <si>
    <t>sewage sludge and methanol</t>
  </si>
  <si>
    <t>SPS500</t>
  </si>
  <si>
    <t>scots pine sawdust</t>
  </si>
  <si>
    <t>Ozbay, G., et al. ResearchGate (2015) 181-185.</t>
  </si>
  <si>
    <t>TSB</t>
  </si>
  <si>
    <t>tobacco stalk</t>
  </si>
  <si>
    <t>Yang, X., et al. Journal of Soils and Sediments (2015) 1-12.</t>
  </si>
  <si>
    <t>BET</t>
  </si>
  <si>
    <t>DPB</t>
  </si>
  <si>
    <t>dead pig based</t>
  </si>
  <si>
    <t>Bamboo300</t>
  </si>
  <si>
    <t>Chen, D., et al. Fuel 148 (2015) 79-86.</t>
  </si>
  <si>
    <t>Bamboo400</t>
  </si>
  <si>
    <t>Bamboo500</t>
  </si>
  <si>
    <t>Bamboo600</t>
  </si>
  <si>
    <t>Bamboo700</t>
  </si>
  <si>
    <t>Willow B</t>
  </si>
  <si>
    <t>willow wood</t>
  </si>
  <si>
    <t>Agegnehu, G., et al. Agriculture, Ecosystems and Environment 213 (2015) 72-85.</t>
  </si>
  <si>
    <t>Costech Analytical Technologies INC</t>
  </si>
  <si>
    <t>TK biochar</t>
  </si>
  <si>
    <t>eucalyptus camaldulensis</t>
  </si>
  <si>
    <t>Thailan</t>
  </si>
  <si>
    <t>Thai traditional kiln</t>
  </si>
  <si>
    <t>Butnan, S., et al. Geoderma 237-238 (2015) 105-116.</t>
  </si>
  <si>
    <t>FC biochar</t>
  </si>
  <si>
    <t>Hawaii</t>
  </si>
  <si>
    <t>Flash Carbonizationâ„¢</t>
  </si>
  <si>
    <t>BC300</t>
  </si>
  <si>
    <t>Liang, C., et al. Soil &amp;Tillage Research 164 (2016) 3-10.</t>
  </si>
  <si>
    <t>BC500</t>
  </si>
  <si>
    <t>CSBC550</t>
  </si>
  <si>
    <t>South Dakota, USA</t>
  </si>
  <si>
    <t>microwave-assisted</t>
  </si>
  <si>
    <t>Hanwu Lei, L.Z., et al. Journal of Analytical and Applied Pyrolysis 115 (2015) 149-156.</t>
  </si>
  <si>
    <t>CSBC650</t>
  </si>
  <si>
    <t>South Dakaota, USA</t>
  </si>
  <si>
    <t>DPBC300</t>
  </si>
  <si>
    <t>date palm tree</t>
  </si>
  <si>
    <t>Saudia Arabia</t>
  </si>
  <si>
    <t>Usman, A.R.A., et al. Journal of Analytical and Applied Pyrolysis 115 (2015) 392-400.</t>
  </si>
  <si>
    <t>DPBC400</t>
  </si>
  <si>
    <t>DPBC500</t>
  </si>
  <si>
    <t>DPBC600</t>
  </si>
  <si>
    <t>DPBC700</t>
  </si>
  <si>
    <t>DPBC800</t>
  </si>
  <si>
    <t>RB400-E</t>
  </si>
  <si>
    <t>India</t>
  </si>
  <si>
    <t>Mitra, S., et al. Environmental Progress and Sustainable Energy 35 (2016) 183-188.</t>
  </si>
  <si>
    <t>WB400-E</t>
  </si>
  <si>
    <t>MB400-G</t>
  </si>
  <si>
    <t>maize stover</t>
  </si>
  <si>
    <t>Purakayastha, T.J., et al. Geoderma 239-240 (2015) 293-303.</t>
  </si>
  <si>
    <t>PMB400-G</t>
  </si>
  <si>
    <t>pearl millet salk</t>
  </si>
  <si>
    <t>RB400-G</t>
  </si>
  <si>
    <t>WB400-G</t>
  </si>
  <si>
    <t>MB300</t>
  </si>
  <si>
    <t>Wang, X., et al. Science of the Total Environment 538 (2015) 137-144.</t>
  </si>
  <si>
    <t>MB450</t>
  </si>
  <si>
    <t>MB600</t>
  </si>
  <si>
    <t>SBB</t>
  </si>
  <si>
    <t>soybeans</t>
  </si>
  <si>
    <t>Liu, N., et al. Bioresource Technology 198 (2015) 55â€“62.</t>
  </si>
  <si>
    <t>corn stalk</t>
  </si>
  <si>
    <t>RSB</t>
  </si>
  <si>
    <t>rice stalk</t>
  </si>
  <si>
    <t>PMB</t>
  </si>
  <si>
    <t>CMB</t>
  </si>
  <si>
    <t>cattle manure</t>
  </si>
  <si>
    <t>PgMB</t>
  </si>
  <si>
    <t>PKC1</t>
  </si>
  <si>
    <t>palm kernel shell</t>
  </si>
  <si>
    <t>Malaysia</t>
  </si>
  <si>
    <t>Hamza, U.D., et al. Desalination and Water Treatment 57 (2015) 7999-8006.</t>
  </si>
  <si>
    <t>PKC2</t>
  </si>
  <si>
    <t>PKC3</t>
  </si>
  <si>
    <t>PKC4</t>
  </si>
  <si>
    <t>CWB</t>
  </si>
  <si>
    <t>waste newspaper</t>
  </si>
  <si>
    <t>Chen, W., et al. BioResources 10(4) (2015) 8253-8267.</t>
  </si>
  <si>
    <t>CWH</t>
  </si>
  <si>
    <t>waste newspaper and high-density  polyethylene</t>
  </si>
  <si>
    <t>CHB350</t>
  </si>
  <si>
    <t>coffee husk</t>
  </si>
  <si>
    <t>Ethiopia</t>
  </si>
  <si>
    <t xml:space="preserve">Dume, B., et al. International Journal of Soil Science 10(2) (2015) 63-73. </t>
  </si>
  <si>
    <t>CHB500</t>
  </si>
  <si>
    <t>CCB350</t>
  </si>
  <si>
    <t>CCB500</t>
  </si>
  <si>
    <t>CA</t>
  </si>
  <si>
    <t>cotton stalk (arid)</t>
  </si>
  <si>
    <t>Yang, F., et al. Chinese Journal of Geochemistry 34(4) (2015) 592-600.</t>
  </si>
  <si>
    <t>CSA</t>
  </si>
  <si>
    <t>cotton stalk (semi-arid)</t>
  </si>
  <si>
    <t>CH</t>
  </si>
  <si>
    <t>cotton stalk (humid)</t>
  </si>
  <si>
    <t>WA</t>
  </si>
  <si>
    <t>wheat stalk (arid)</t>
  </si>
  <si>
    <t>WSA</t>
  </si>
  <si>
    <t>wheat stalk (semi-arid)</t>
  </si>
  <si>
    <t>WH</t>
  </si>
  <si>
    <t>wheat stalk (humid)</t>
  </si>
  <si>
    <t>RA</t>
  </si>
  <si>
    <t>rapeseed stalk (arid)</t>
  </si>
  <si>
    <t>RSA</t>
  </si>
  <si>
    <t>rapeseed stalk (semi-arid)</t>
  </si>
  <si>
    <t>rapeseed stalk (humid)</t>
  </si>
  <si>
    <t>SA</t>
  </si>
  <si>
    <t>arid</t>
  </si>
  <si>
    <t>SSA</t>
  </si>
  <si>
    <t>semi-arid</t>
  </si>
  <si>
    <t>SH</t>
  </si>
  <si>
    <t>humid</t>
  </si>
  <si>
    <t>RPA</t>
  </si>
  <si>
    <t>robinia pseudoacacia (arid)</t>
  </si>
  <si>
    <t>RPSA</t>
  </si>
  <si>
    <t>robinia pseudoacacia (semi-arid)</t>
  </si>
  <si>
    <t>RPH</t>
  </si>
  <si>
    <t>robinia pseudoacacia (humid)</t>
  </si>
  <si>
    <t>POA</t>
  </si>
  <si>
    <t>platanus orientalis (ardi)</t>
  </si>
  <si>
    <t>POSA</t>
  </si>
  <si>
    <t>platanus orientalis (arid)</t>
  </si>
  <si>
    <t>POH</t>
  </si>
  <si>
    <t>platinus orientalis (humid)</t>
  </si>
  <si>
    <t>SBA</t>
  </si>
  <si>
    <t>salix babylonica linn (arid)</t>
  </si>
  <si>
    <t>SBSA</t>
  </si>
  <si>
    <t>salix babylonica linn (semi-arid)</t>
  </si>
  <si>
    <t>SBH</t>
  </si>
  <si>
    <t>salix babylonica linn (humid)</t>
  </si>
  <si>
    <t>alpha-Hexachlorocyclohexane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</si>
</sst>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000"/>
    <numFmt numFmtId="167" formatCode="0.0"/>
  </numFmts>
  <fonts count="22">
    <font>
      <sz val="11"/>
      <color theme="1"/>
      <name val="Gill Sans MT"/>
      <family val="2"/>
      <scheme val="minor"/>
    </font>
    <font>
      <b/>
      <sz val="11"/>
      <name val="Calibri"/>
      <family val="2"/>
    </font>
    <font>
      <b/>
      <sz val="13"/>
      <color rgb="FFFFFFFF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Gill Sans MT"/>
      <family val="2"/>
      <scheme val="minor"/>
    </font>
    <font>
      <sz val="11"/>
      <color rgb="FF000000"/>
      <name val="Calibri"/>
      <family val="2"/>
    </font>
    <font>
      <sz val="8"/>
      <name val="Gill Sans MT"/>
      <family val="2"/>
      <scheme val="minor"/>
    </font>
    <font>
      <b/>
      <sz val="16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Ui-Sans-Serif"/>
      <charset val="1"/>
    </font>
    <font>
      <sz val="11"/>
      <color rgb="FF222222"/>
      <name val="Arial"/>
      <family val="2"/>
    </font>
    <font>
      <sz val="11"/>
      <color rgb="FF000000"/>
      <name val="Gill Sans MT"/>
      <family val="2"/>
    </font>
    <font>
      <sz val="11"/>
      <color theme="1"/>
      <name val="Ui-Sans-Serif"/>
      <charset val="1"/>
    </font>
    <font>
      <sz val="8"/>
      <color rgb="FF000000"/>
      <name val="Helvetica"/>
      <family val="2"/>
    </font>
    <font>
      <sz val="10"/>
      <color rgb="FF101010"/>
      <name val="Helvetica"/>
      <family val="2"/>
    </font>
    <font>
      <sz val="11"/>
      <color rgb="FF000000"/>
      <name val="Aptos Narrow"/>
      <family val="2"/>
    </font>
    <font>
      <sz val="9"/>
      <color rgb="FF007B8B"/>
      <name val="Google Sans"/>
      <charset val="1"/>
    </font>
    <font>
      <sz val="13.5"/>
      <color rgb="FF007B8B"/>
      <name val="Google Sans"/>
      <charset val="1"/>
    </font>
    <font>
      <sz val="11"/>
      <color rgb="FFFF0000"/>
      <name val="Gill Sans MT"/>
      <family val="2"/>
      <scheme val="minor"/>
    </font>
    <font>
      <sz val="12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1">
    <xf numFmtId="0" fontId="0" fillId="0" borderId="0" xfId="0"/>
    <xf numFmtId="0" fontId="1" fillId="2" borderId="0" xfId="0" applyFont="1" applyFill="1"/>
    <xf numFmtId="0" fontId="1" fillId="4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1" fillId="4" borderId="0" xfId="0" applyFont="1" applyFill="1"/>
    <xf numFmtId="0" fontId="0" fillId="0" borderId="0" xfId="0" applyAlignment="1">
      <alignment wrapText="1"/>
    </xf>
    <xf numFmtId="0" fontId="1" fillId="4" borderId="3" xfId="0" applyFont="1" applyFill="1" applyBorder="1" applyAlignment="1">
      <alignment wrapText="1"/>
    </xf>
    <xf numFmtId="0" fontId="0" fillId="0" borderId="1" xfId="0" applyBorder="1"/>
    <xf numFmtId="0" fontId="0" fillId="0" borderId="0" xfId="0" applyAlignment="1">
      <alignment horizontal="center"/>
    </xf>
    <xf numFmtId="47" fontId="0" fillId="0" borderId="0" xfId="0" applyNumberFormat="1"/>
    <xf numFmtId="0" fontId="5" fillId="0" borderId="0" xfId="0" applyFont="1"/>
    <xf numFmtId="0" fontId="0" fillId="0" borderId="2" xfId="0" applyBorder="1"/>
    <xf numFmtId="2" fontId="0" fillId="0" borderId="0" xfId="0" applyNumberFormat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8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wrapText="1"/>
    </xf>
    <xf numFmtId="0" fontId="9" fillId="0" borderId="0" xfId="0" applyFont="1"/>
    <xf numFmtId="0" fontId="0" fillId="0" borderId="0" xfId="0" applyAlignment="1">
      <alignment horizontal="right"/>
    </xf>
    <xf numFmtId="0" fontId="10" fillId="0" borderId="0" xfId="0" applyFont="1"/>
    <xf numFmtId="164" fontId="0" fillId="0" borderId="0" xfId="0" applyNumberFormat="1"/>
    <xf numFmtId="0" fontId="11" fillId="0" borderId="0" xfId="0" applyFont="1"/>
    <xf numFmtId="165" fontId="0" fillId="0" borderId="0" xfId="0" applyNumberFormat="1"/>
    <xf numFmtId="0" fontId="12" fillId="0" borderId="0" xfId="0" applyFont="1"/>
    <xf numFmtId="166" fontId="0" fillId="0" borderId="0" xfId="0" applyNumberFormat="1"/>
    <xf numFmtId="0" fontId="13" fillId="0" borderId="0" xfId="0" applyFont="1"/>
    <xf numFmtId="0" fontId="14" fillId="0" borderId="0" xfId="0" applyFont="1"/>
    <xf numFmtId="167" fontId="0" fillId="0" borderId="0" xfId="0" applyNumberFormat="1"/>
    <xf numFmtId="0" fontId="0" fillId="5" borderId="0" xfId="0" applyFill="1"/>
    <xf numFmtId="46" fontId="0" fillId="0" borderId="0" xfId="0" applyNumberFormat="1"/>
    <xf numFmtId="0" fontId="15" fillId="0" borderId="0" xfId="0" applyFont="1"/>
    <xf numFmtId="0" fontId="16" fillId="0" borderId="0" xfId="0" applyFont="1"/>
    <xf numFmtId="20" fontId="0" fillId="0" borderId="0" xfId="0" applyNumberFormat="1"/>
    <xf numFmtId="0" fontId="14" fillId="0" borderId="0" xfId="0" applyFont="1" applyAlignment="1">
      <alignment wrapText="1"/>
    </xf>
    <xf numFmtId="9" fontId="0" fillId="0" borderId="0" xfId="0" applyNumberFormat="1"/>
    <xf numFmtId="0" fontId="17" fillId="0" borderId="0" xfId="0" applyFont="1"/>
    <xf numFmtId="0" fontId="17" fillId="6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8" fillId="5" borderId="0" xfId="0" applyFont="1" applyFill="1"/>
    <xf numFmtId="0" fontId="19" fillId="5" borderId="0" xfId="0" applyFont="1" applyFill="1" applyAlignment="1">
      <alignment wrapText="1"/>
    </xf>
    <xf numFmtId="0" fontId="0" fillId="9" borderId="0" xfId="0" applyFill="1"/>
    <xf numFmtId="0" fontId="0" fillId="0" borderId="7" xfId="0" applyBorder="1"/>
    <xf numFmtId="10" fontId="0" fillId="0" borderId="0" xfId="0" applyNumberFormat="1"/>
    <xf numFmtId="0" fontId="0" fillId="10" borderId="0" xfId="0" applyFill="1"/>
    <xf numFmtId="0" fontId="1" fillId="11" borderId="0" xfId="0" applyFont="1" applyFill="1" applyAlignment="1">
      <alignment wrapText="1"/>
    </xf>
    <xf numFmtId="0" fontId="20" fillId="0" borderId="0" xfId="0" applyFont="1"/>
    <xf numFmtId="0" fontId="0" fillId="12" borderId="0" xfId="0" applyFill="1"/>
    <xf numFmtId="0" fontId="21" fillId="0" borderId="0" xfId="0" applyFont="1"/>
    <xf numFmtId="0" fontId="0" fillId="4" borderId="0" xfId="0" applyFill="1" applyAlignment="1">
      <alignment vertical="top" wrapText="1"/>
    </xf>
    <xf numFmtId="0" fontId="0" fillId="0" borderId="0" xfId="0"/>
    <xf numFmtId="0" fontId="2" fillId="3" borderId="0" xfId="0" applyFont="1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2" fillId="3" borderId="0" xfId="0" applyFont="1" applyFill="1" applyAlignment="1">
      <alignment horizontal="left"/>
    </xf>
    <xf numFmtId="0" fontId="7" fillId="0" borderId="0" xfId="0" applyFont="1" applyAlignment="1">
      <alignment horizontal="center"/>
    </xf>
    <xf numFmtId="0" fontId="3" fillId="3" borderId="0" xfId="0" applyFont="1" applyFill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-40519350</xdr:colOff>
      <xdr:row>0</xdr:row>
      <xdr:rowOff>-17802225</xdr:rowOff>
    </xdr:from>
    <xdr:to>
      <xdr:col>0</xdr:col>
      <xdr:colOff>-40519350</xdr:colOff>
      <xdr:row>0</xdr:row>
      <xdr:rowOff>-17802225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047D004-712C-4329-AAC8-26C37F2EC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-40519350" y="-17802225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1733550</xdr:colOff>
      <xdr:row>0</xdr:row>
      <xdr:rowOff>-17087850</xdr:rowOff>
    </xdr:from>
    <xdr:to>
      <xdr:col>8</xdr:col>
      <xdr:colOff>790575</xdr:colOff>
      <xdr:row>0</xdr:row>
      <xdr:rowOff>-14992350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E9E99EF6-3C95-B57F-8681-C0178C33CDFB}"/>
            </a:ext>
            <a:ext uri="{147F2762-F138-4A5C-976F-8EAC2B608ADB}">
              <a16:predDERef xmlns:a16="http://schemas.microsoft.com/office/drawing/2014/main" pred="{D047D004-712C-4329-AAC8-26C37F2EC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15050" y="-17087850"/>
          <a:ext cx="7981950" cy="2095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-4581525</xdr:colOff>
      <xdr:row>0</xdr:row>
      <xdr:rowOff>-695325</xdr:rowOff>
    </xdr:from>
    <xdr:to>
      <xdr:col>0</xdr:col>
      <xdr:colOff>-4581525</xdr:colOff>
      <xdr:row>0</xdr:row>
      <xdr:rowOff>-695325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88217E63-92C0-67DE-D2FB-C6C08A168A85}"/>
            </a:ext>
            <a:ext uri="{147F2762-F138-4A5C-976F-8EAC2B608ADB}">
              <a16:predDERef xmlns:a16="http://schemas.microsoft.com/office/drawing/2014/main" pred="{5F46A5EB-CFCB-8EC4-BEB9-81C81AA61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-4581525" y="-695325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390525</xdr:colOff>
      <xdr:row>0</xdr:row>
      <xdr:rowOff>0</xdr:rowOff>
    </xdr:from>
    <xdr:to>
      <xdr:col>1</xdr:col>
      <xdr:colOff>390525</xdr:colOff>
      <xdr:row>0</xdr:row>
      <xdr:rowOff>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A436976-BE9C-7666-4D6B-910F20B1E172}"/>
            </a:ext>
            <a:ext uri="{147F2762-F138-4A5C-976F-8EAC2B608ADB}">
              <a16:predDERef xmlns:a16="http://schemas.microsoft.com/office/drawing/2014/main" pred="{7950E81A-5E72-642B-9AA1-8A31D130D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0625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31</xdr:row>
      <xdr:rowOff>0</xdr:rowOff>
    </xdr:from>
    <xdr:to>
      <xdr:col>11</xdr:col>
      <xdr:colOff>304800</xdr:colOff>
      <xdr:row>32</xdr:row>
      <xdr:rowOff>85726</xdr:rowOff>
    </xdr:to>
    <xdr:sp macro="" textlink="">
      <xdr:nvSpPr>
        <xdr:cNvPr id="4112" name="AutoShape 16" descr="Kinetics of atrazine degradation in soil">
          <a:extLst>
            <a:ext uri="{FF2B5EF4-FFF2-40B4-BE49-F238E27FC236}">
              <a16:creationId xmlns:a16="http://schemas.microsoft.com/office/drawing/2014/main" id="{38D857AA-FF8C-6E20-876D-FBA6BE62EAD7}"/>
            </a:ext>
          </a:extLst>
        </xdr:cNvPr>
        <xdr:cNvSpPr>
          <a:spLocks noChangeAspect="1" noChangeArrowheads="1"/>
        </xdr:cNvSpPr>
      </xdr:nvSpPr>
      <xdr:spPr bwMode="auto">
        <a:xfrm>
          <a:off x="12058650" y="775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1009650</xdr:colOff>
      <xdr:row>0</xdr:row>
      <xdr:rowOff>-36833175</xdr:rowOff>
    </xdr:from>
    <xdr:to>
      <xdr:col>11</xdr:col>
      <xdr:colOff>1293223</xdr:colOff>
      <xdr:row>0</xdr:row>
      <xdr:rowOff>-33308925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244635E-98B9-A0E3-23F7-03022F4A0EB1}"/>
            </a:ext>
            <a:ext uri="{147F2762-F138-4A5C-976F-8EAC2B608ADB}">
              <a16:predDERef xmlns:a16="http://schemas.microsoft.com/office/drawing/2014/main" pred="{38D857AA-FF8C-6E20-876D-FBA6BE62E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38750" y="-36833175"/>
          <a:ext cx="8372475" cy="3524250"/>
        </a:xfrm>
        <a:prstGeom prst="rect">
          <a:avLst/>
        </a:prstGeom>
      </xdr:spPr>
    </xdr:pic>
    <xdr:clientData/>
  </xdr:twoCellAnchor>
  <xdr:twoCellAnchor editAs="oneCell">
    <xdr:from>
      <xdr:col>13</xdr:col>
      <xdr:colOff>685800</xdr:colOff>
      <xdr:row>0</xdr:row>
      <xdr:rowOff>-41262300</xdr:rowOff>
    </xdr:from>
    <xdr:to>
      <xdr:col>21</xdr:col>
      <xdr:colOff>476250</xdr:colOff>
      <xdr:row>0</xdr:row>
      <xdr:rowOff>-34813875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C7D1BA24-3865-2915-F1B7-2130E18D0F0A}"/>
            </a:ext>
            <a:ext uri="{147F2762-F138-4A5C-976F-8EAC2B608ADB}">
              <a16:predDERef xmlns:a16="http://schemas.microsoft.com/office/drawing/2014/main" pred="{E244635E-98B9-A0E3-23F7-03022F4A0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621000" y="-41262300"/>
          <a:ext cx="8629650" cy="6448425"/>
        </a:xfrm>
        <a:prstGeom prst="rect">
          <a:avLst/>
        </a:prstGeom>
      </xdr:spPr>
    </xdr:pic>
    <xdr:clientData/>
  </xdr:twoCellAnchor>
  <xdr:twoCellAnchor editAs="oneCell">
    <xdr:from>
      <xdr:col>22</xdr:col>
      <xdr:colOff>247650</xdr:colOff>
      <xdr:row>0</xdr:row>
      <xdr:rowOff>-40100250</xdr:rowOff>
    </xdr:from>
    <xdr:to>
      <xdr:col>30</xdr:col>
      <xdr:colOff>457201</xdr:colOff>
      <xdr:row>0</xdr:row>
      <xdr:rowOff>-35633025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9A4EDB7F-96FF-3531-F7D7-E93872381F2F}"/>
            </a:ext>
            <a:ext uri="{147F2762-F138-4A5C-976F-8EAC2B608ADB}">
              <a16:predDERef xmlns:a16="http://schemas.microsoft.com/office/drawing/2014/main" pred="{C7D1BA24-3865-2915-F1B7-2130E18D0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430875" y="-40100250"/>
          <a:ext cx="9048750" cy="44672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hilippe, Hugo" id="{1EE78A2E-7FE3-483A-B6A8-07F4E283C631}" userId="S::hphi@wetsus.nl::c063dd15-3af0-4abc-be36-af42dd8aaf9f" providerId="AD"/>
  <person displayName="Gadzimuradova, Marija" id="{EC2391D6-007B-4F32-8F59-6FE0465D860E}" userId="S::mgad@wetsus.nl::85896d33-0f87-4fac-9658-1f4029b7eb98" providerId="AD"/>
</personList>
</file>

<file path=xl/theme/theme1.xml><?xml version="1.0" encoding="utf-8"?>
<a:theme xmlns:a="http://schemas.openxmlformats.org/drawingml/2006/main" name="Gallery">
  <a:themeElements>
    <a:clrScheme name="Gallery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lery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lery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5" dT="2026-06-02T09:42:02.09" personId="{1EE78A2E-7FE3-483A-B6A8-07F4E283C631}" id="{651F3848-211A-4E76-923F-5E403A598C49}">
    <text>NO DATA:(</text>
  </threadedComment>
  <threadedComment ref="H110" dT="2026-06-02T14:32:08.98" personId="{1EE78A2E-7FE3-483A-B6A8-07F4E283C631}" id="{959E5D4B-6247-4240-BEBB-F76A2001A4CC}">
    <text>14% in the paper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81" dT="2026-06-01T14:33:49.57" personId="{1EE78A2E-7FE3-483A-B6A8-07F4E283C631}" id="{1926380C-3DDE-4FC9-A7C2-B4A229428D2F}">
    <text>NO DATAS :(</text>
  </threadedComment>
  <threadedComment ref="O234" dT="2026-05-22T08:35:33.07" personId="{EC2391D6-007B-4F32-8F59-6FE0465D860E}" id="{E86BA92C-F45B-49FD-96DF-4F28201795ED}">
    <text>Reported as lignin content</text>
  </threadedComment>
  <threadedComment ref="C379" dT="2026-05-27T09:56:47.22" personId="{1EE78A2E-7FE3-483A-B6A8-07F4E283C631}" id="{1F971A92-B7E3-44F7-9FF6-9348D0A0C20E}">
    <text>name of the treatment not amendment</text>
  </threadedComment>
  <threadedComment ref="C400" dT="2026-05-28T14:53:47.87" personId="{1EE78A2E-7FE3-483A-B6A8-07F4E283C631}" id="{04F18217-CFD6-4D5C-8245-5412D1CDC303}">
    <text>no amendment properties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24" dT="2026-06-12T19:08:19.37" personId="{1EE78A2E-7FE3-483A-B6A8-07F4E283C631}" id="{74A10F95-18DC-4799-AEB5-6DDB06FC1E63}">
    <text>DDT values</text>
  </threadedComment>
  <threadedComment ref="H25" dT="2026-06-16T08:08:21.39" personId="{1EE78A2E-7FE3-483A-B6A8-07F4E283C631}" id="{1B175BB5-D4D1-4B9E-B95A-9D266C63FDB7}">
    <text>DDD values</text>
  </threadedComment>
  <threadedComment ref="J30" dT="2026-06-16T07:44:03.92" personId="{1EE78A2E-7FE3-483A-B6A8-07F4E283C631}" id="{95CE1CDC-265B-4992-B21F-145881A5856F}">
    <text>PPDB says &gt;365 days =&gt; I have choosen 1000 days for the max</text>
  </threadedComment>
  <threadedComment ref="H129" dT="2026-06-12T19:12:02.58" personId="{1EE78A2E-7FE3-483A-B6A8-07F4E283C631}" id="{605F2C77-606C-4D3C-ACF2-436CE413EC87}">
    <text>rac-1,3-Dichloropopene values</text>
  </threadedComment>
  <threadedComment ref="H130" dT="2026-06-12T19:11:50.88" personId="{1EE78A2E-7FE3-483A-B6A8-07F4E283C631}" id="{A0C7828F-EE1B-49FF-913D-605882B125A3}">
    <text>rac-1,3-Dichloropopene values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108" dT="2026-05-26T11:49:53.83" personId="{EC2391D6-007B-4F32-8F59-6FE0465D860E}" id="{C5A5E603-88FB-4E95-A93E-1AF60E79DD47}">
    <text>Freeze thaw cycles -10C for 24 h and 24C for 24h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M9" dT="2026-05-12T12:02:32.05" personId="{EC2391D6-007B-4F32-8F59-6FE0465D860E}" id="{22F8B6DD-4929-46D0-8516-1AF965DFE9EC}">
    <text xml:space="preserve">Reported as nf
</text>
  </threadedComment>
  <threadedComment ref="M807" dT="2026-05-27T07:20:40.97" personId="{1EE78A2E-7FE3-483A-B6A8-07F4E283C631}" id="{F2507614-20B2-4126-967E-C581E2DCE9F7}">
    <text>extrapolated value</text>
  </threadedComment>
  <threadedComment ref="I834" dT="2026-05-27T10:19:03.06" personId="{1EE78A2E-7FE3-483A-B6A8-07F4E283C631}" id="{C40F61FD-3BC4-4EC2-809E-FF6FA5F240B3}">
    <text>50 µg in 10g of soil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pane ySplit="1" topLeftCell="A2" activePane="bottomLeft" state="frozen"/>
      <selection pane="bottomLeft" activeCell="B4" sqref="B4"/>
    </sheetView>
  </sheetViews>
  <sheetFormatPr defaultColWidth="8.88671875" defaultRowHeight="18"/>
  <cols>
    <col min="1" max="2" width="21.88671875" customWidth="1"/>
  </cols>
  <sheetData>
    <row r="1" spans="1:4">
      <c r="A1" s="1" t="s">
        <v>0</v>
      </c>
      <c r="B1" s="1" t="s">
        <v>1</v>
      </c>
      <c r="C1" s="16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C4" t="s">
        <v>13</v>
      </c>
    </row>
    <row r="5" spans="1:4">
      <c r="A5" t="s">
        <v>14</v>
      </c>
      <c r="C5" t="s">
        <v>15</v>
      </c>
    </row>
    <row r="6" spans="1:4">
      <c r="A6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231"/>
  <sheetViews>
    <sheetView zoomScale="84" zoomScaleNormal="55" workbookViewId="0">
      <pane xSplit="1" ySplit="4" topLeftCell="E284" activePane="bottomRight" state="frozen"/>
      <selection pane="topRight" activeCell="B1" sqref="B1"/>
      <selection pane="bottomLeft" activeCell="A5" sqref="A5"/>
      <selection pane="bottomRight" activeCell="E125" sqref="E125"/>
    </sheetView>
  </sheetViews>
  <sheetFormatPr defaultColWidth="8.88671875" defaultRowHeight="18"/>
  <cols>
    <col min="1" max="1" width="11.88671875" customWidth="1"/>
    <col min="2" max="2" width="21" customWidth="1"/>
    <col min="3" max="3" width="17.88671875" customWidth="1"/>
    <col min="4" max="4" width="51" customWidth="1"/>
    <col min="5" max="5" width="170.88671875" customWidth="1"/>
    <col min="6" max="6" width="58.109375" style="5" customWidth="1"/>
    <col min="7" max="7" width="19.88671875" customWidth="1"/>
    <col min="8" max="8" width="15.88671875" customWidth="1"/>
    <col min="9" max="9" width="25.6640625" customWidth="1"/>
    <col min="10" max="10" width="29.88671875" customWidth="1"/>
  </cols>
  <sheetData>
    <row r="1" spans="1:10" ht="21.9" customHeight="1">
      <c r="A1" s="55" t="s">
        <v>17</v>
      </c>
      <c r="B1" s="55"/>
      <c r="C1" s="55"/>
      <c r="D1" s="54"/>
      <c r="E1" s="54"/>
      <c r="F1" s="54"/>
      <c r="G1" s="54"/>
      <c r="H1" s="54"/>
      <c r="I1" s="54"/>
      <c r="J1" s="54"/>
    </row>
    <row r="2" spans="1:10" ht="36" customHeight="1">
      <c r="A2" s="53" t="s">
        <v>18</v>
      </c>
      <c r="B2" s="53"/>
      <c r="C2" s="53"/>
      <c r="D2" s="54"/>
      <c r="E2" s="54"/>
      <c r="F2" s="54"/>
      <c r="G2" s="54"/>
      <c r="H2" s="54"/>
      <c r="I2" s="54"/>
      <c r="J2" s="54"/>
    </row>
    <row r="4" spans="1:10" ht="54.75" customHeight="1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</row>
    <row r="5" spans="1:10" ht="36">
      <c r="A5" t="s">
        <v>29</v>
      </c>
      <c r="B5" s="17" t="s">
        <v>30</v>
      </c>
      <c r="C5" s="18">
        <v>2006</v>
      </c>
      <c r="D5" s="18" t="s">
        <v>31</v>
      </c>
      <c r="E5" s="18" t="s">
        <v>32</v>
      </c>
      <c r="F5" s="19" t="s">
        <v>33</v>
      </c>
      <c r="G5" t="s">
        <v>7</v>
      </c>
      <c r="H5" t="s">
        <v>5</v>
      </c>
      <c r="J5" t="s">
        <v>34</v>
      </c>
    </row>
    <row r="6" spans="1:10" hidden="1">
      <c r="A6" t="s">
        <v>35</v>
      </c>
      <c r="B6" s="17" t="s">
        <v>36</v>
      </c>
      <c r="C6" s="18">
        <v>2024</v>
      </c>
      <c r="D6" s="18" t="s">
        <v>37</v>
      </c>
      <c r="E6" s="18" t="s">
        <v>38</v>
      </c>
      <c r="F6" s="19" t="s">
        <v>39</v>
      </c>
      <c r="G6" t="s">
        <v>11</v>
      </c>
      <c r="H6" t="s">
        <v>9</v>
      </c>
      <c r="I6" t="s">
        <v>10</v>
      </c>
    </row>
    <row r="7" spans="1:10">
      <c r="A7" t="s">
        <v>40</v>
      </c>
      <c r="B7" s="17" t="s">
        <v>41</v>
      </c>
      <c r="C7" s="18">
        <v>2021</v>
      </c>
      <c r="D7" s="18" t="s">
        <v>42</v>
      </c>
      <c r="E7" s="18" t="s">
        <v>43</v>
      </c>
      <c r="F7" s="19" t="s">
        <v>44</v>
      </c>
      <c r="G7" t="s">
        <v>7</v>
      </c>
      <c r="H7" t="s">
        <v>5</v>
      </c>
    </row>
    <row r="8" spans="1:10">
      <c r="A8" t="s">
        <v>45</v>
      </c>
      <c r="B8" s="17" t="s">
        <v>46</v>
      </c>
      <c r="C8" s="18">
        <v>2010</v>
      </c>
      <c r="D8" s="18" t="s">
        <v>47</v>
      </c>
      <c r="E8" s="18" t="s">
        <v>48</v>
      </c>
      <c r="F8" s="19" t="s">
        <v>49</v>
      </c>
      <c r="G8" t="s">
        <v>7</v>
      </c>
      <c r="H8" t="s">
        <v>5</v>
      </c>
    </row>
    <row r="9" spans="1:10" hidden="1">
      <c r="A9" t="s">
        <v>50</v>
      </c>
      <c r="B9" s="17" t="s">
        <v>51</v>
      </c>
      <c r="C9" s="18">
        <v>2022</v>
      </c>
      <c r="D9" s="18" t="s">
        <v>52</v>
      </c>
      <c r="E9" s="18" t="s">
        <v>53</v>
      </c>
      <c r="F9" s="19" t="s">
        <v>54</v>
      </c>
      <c r="G9" t="s">
        <v>11</v>
      </c>
      <c r="H9" t="s">
        <v>9</v>
      </c>
      <c r="J9" t="s">
        <v>55</v>
      </c>
    </row>
    <row r="10" spans="1:10" hidden="1">
      <c r="A10" t="s">
        <v>56</v>
      </c>
      <c r="B10" s="17" t="s">
        <v>57</v>
      </c>
      <c r="C10" s="18">
        <v>2024</v>
      </c>
      <c r="D10" s="18" t="s">
        <v>58</v>
      </c>
      <c r="E10" s="18" t="s">
        <v>59</v>
      </c>
      <c r="F10" s="19" t="s">
        <v>60</v>
      </c>
      <c r="G10" t="s">
        <v>7</v>
      </c>
      <c r="H10" t="s">
        <v>9</v>
      </c>
      <c r="I10" t="s">
        <v>15</v>
      </c>
      <c r="J10" t="s">
        <v>61</v>
      </c>
    </row>
    <row r="11" spans="1:10" hidden="1">
      <c r="A11" t="s">
        <v>62</v>
      </c>
      <c r="B11" s="17" t="s">
        <v>63</v>
      </c>
      <c r="C11" s="18">
        <v>2024</v>
      </c>
      <c r="D11" s="18" t="s">
        <v>64</v>
      </c>
      <c r="E11" s="18" t="s">
        <v>65</v>
      </c>
      <c r="F11" s="19" t="s">
        <v>66</v>
      </c>
      <c r="G11" t="s">
        <v>11</v>
      </c>
      <c r="H11" t="s">
        <v>9</v>
      </c>
      <c r="I11" t="s">
        <v>15</v>
      </c>
      <c r="J11" t="s">
        <v>67</v>
      </c>
    </row>
    <row r="12" spans="1:10">
      <c r="A12" t="s">
        <v>68</v>
      </c>
      <c r="B12" s="17" t="s">
        <v>69</v>
      </c>
      <c r="C12" s="18">
        <v>2019</v>
      </c>
      <c r="D12" s="18" t="s">
        <v>70</v>
      </c>
      <c r="E12" s="18" t="s">
        <v>71</v>
      </c>
      <c r="F12" s="19" t="s">
        <v>72</v>
      </c>
      <c r="G12" t="s">
        <v>7</v>
      </c>
      <c r="H12" t="s">
        <v>5</v>
      </c>
    </row>
    <row r="13" spans="1:10">
      <c r="A13" t="s">
        <v>73</v>
      </c>
      <c r="B13" s="17" t="s">
        <v>74</v>
      </c>
      <c r="C13" s="18">
        <v>2001</v>
      </c>
      <c r="D13" s="18" t="s">
        <v>75</v>
      </c>
      <c r="E13" s="18" t="s">
        <v>76</v>
      </c>
      <c r="F13" s="19" t="s">
        <v>77</v>
      </c>
      <c r="G13" t="s">
        <v>7</v>
      </c>
      <c r="H13" t="s">
        <v>5</v>
      </c>
    </row>
    <row r="14" spans="1:10">
      <c r="A14" t="s">
        <v>78</v>
      </c>
      <c r="B14" s="17" t="s">
        <v>79</v>
      </c>
      <c r="C14" s="18">
        <v>2022</v>
      </c>
      <c r="D14" s="18" t="s">
        <v>80</v>
      </c>
      <c r="E14" s="18" t="s">
        <v>81</v>
      </c>
      <c r="F14" s="19" t="s">
        <v>66</v>
      </c>
      <c r="G14" t="s">
        <v>7</v>
      </c>
      <c r="H14" t="s">
        <v>5</v>
      </c>
    </row>
    <row r="15" spans="1:10">
      <c r="A15" t="s">
        <v>82</v>
      </c>
      <c r="B15" s="17" t="s">
        <v>83</v>
      </c>
      <c r="C15" s="18">
        <v>2021</v>
      </c>
      <c r="D15" s="18" t="s">
        <v>84</v>
      </c>
      <c r="E15" s="18" t="s">
        <v>85</v>
      </c>
      <c r="F15" s="19" t="s">
        <v>54</v>
      </c>
      <c r="G15" t="s">
        <v>7</v>
      </c>
      <c r="H15" t="s">
        <v>5</v>
      </c>
      <c r="J15" t="s">
        <v>86</v>
      </c>
    </row>
    <row r="16" spans="1:10" hidden="1">
      <c r="A16" t="s">
        <v>87</v>
      </c>
      <c r="B16" s="17" t="s">
        <v>88</v>
      </c>
      <c r="C16" s="18">
        <v>2006</v>
      </c>
      <c r="D16" s="18" t="s">
        <v>89</v>
      </c>
      <c r="E16" s="18" t="s">
        <v>90</v>
      </c>
      <c r="F16" s="19" t="s">
        <v>91</v>
      </c>
      <c r="G16" t="s">
        <v>11</v>
      </c>
      <c r="H16" t="s">
        <v>9</v>
      </c>
      <c r="I16" t="s">
        <v>15</v>
      </c>
    </row>
    <row r="17" spans="1:10">
      <c r="A17" t="s">
        <v>92</v>
      </c>
      <c r="B17" s="17" t="s">
        <v>93</v>
      </c>
      <c r="C17" s="18">
        <v>2021</v>
      </c>
      <c r="D17" s="18" t="s">
        <v>94</v>
      </c>
      <c r="E17" s="18" t="s">
        <v>95</v>
      </c>
      <c r="F17" s="19" t="s">
        <v>54</v>
      </c>
      <c r="G17" t="s">
        <v>7</v>
      </c>
      <c r="H17" t="s">
        <v>5</v>
      </c>
    </row>
    <row r="18" spans="1:10" hidden="1">
      <c r="A18" t="s">
        <v>96</v>
      </c>
      <c r="B18" s="17" t="s">
        <v>97</v>
      </c>
      <c r="C18" s="18">
        <v>2005</v>
      </c>
      <c r="D18" s="18" t="s">
        <v>98</v>
      </c>
      <c r="E18" s="18" t="s">
        <v>99</v>
      </c>
      <c r="F18" s="19" t="s">
        <v>91</v>
      </c>
      <c r="G18" t="s">
        <v>7</v>
      </c>
      <c r="H18" t="s">
        <v>9</v>
      </c>
      <c r="I18" t="s">
        <v>15</v>
      </c>
      <c r="J18" t="s">
        <v>100</v>
      </c>
    </row>
    <row r="19" spans="1:10">
      <c r="A19" t="s">
        <v>101</v>
      </c>
      <c r="B19" s="17" t="s">
        <v>102</v>
      </c>
      <c r="C19" s="18">
        <v>2023</v>
      </c>
      <c r="D19" s="18" t="s">
        <v>103</v>
      </c>
      <c r="E19" s="18" t="s">
        <v>104</v>
      </c>
      <c r="F19" s="19" t="s">
        <v>105</v>
      </c>
      <c r="G19" t="s">
        <v>7</v>
      </c>
      <c r="H19" s="31" t="s">
        <v>5</v>
      </c>
      <c r="J19" t="s">
        <v>106</v>
      </c>
    </row>
    <row r="20" spans="1:10" hidden="1">
      <c r="A20" t="s">
        <v>107</v>
      </c>
      <c r="B20" s="17" t="s">
        <v>108</v>
      </c>
      <c r="C20" s="18">
        <v>2018</v>
      </c>
      <c r="D20" s="18" t="s">
        <v>109</v>
      </c>
      <c r="E20" s="18" t="s">
        <v>110</v>
      </c>
      <c r="F20" s="19" t="s">
        <v>66</v>
      </c>
      <c r="G20" t="s">
        <v>11</v>
      </c>
      <c r="H20" t="s">
        <v>9</v>
      </c>
      <c r="I20" t="s">
        <v>6</v>
      </c>
    </row>
    <row r="21" spans="1:10" hidden="1">
      <c r="A21" t="s">
        <v>111</v>
      </c>
      <c r="B21" s="17" t="s">
        <v>112</v>
      </c>
      <c r="C21" s="18">
        <v>2021</v>
      </c>
      <c r="D21" s="18" t="s">
        <v>113</v>
      </c>
      <c r="E21" s="18" t="s">
        <v>114</v>
      </c>
      <c r="F21" s="19" t="s">
        <v>54</v>
      </c>
      <c r="G21" t="s">
        <v>11</v>
      </c>
      <c r="H21" t="s">
        <v>9</v>
      </c>
      <c r="I21" t="s">
        <v>6</v>
      </c>
    </row>
    <row r="22" spans="1:10" hidden="1">
      <c r="A22" t="s">
        <v>115</v>
      </c>
      <c r="B22" s="17" t="s">
        <v>116</v>
      </c>
      <c r="C22" s="18">
        <v>2010</v>
      </c>
      <c r="D22" s="18" t="s">
        <v>117</v>
      </c>
      <c r="E22" s="18" t="s">
        <v>118</v>
      </c>
      <c r="F22" s="19" t="s">
        <v>91</v>
      </c>
      <c r="G22" t="s">
        <v>11</v>
      </c>
      <c r="H22" t="s">
        <v>9</v>
      </c>
      <c r="I22" t="s">
        <v>15</v>
      </c>
      <c r="J22" t="s">
        <v>119</v>
      </c>
    </row>
    <row r="23" spans="1:10">
      <c r="A23" t="s">
        <v>120</v>
      </c>
      <c r="B23" s="17" t="s">
        <v>121</v>
      </c>
      <c r="C23" s="18">
        <v>2015</v>
      </c>
      <c r="D23" s="18" t="s">
        <v>122</v>
      </c>
      <c r="E23" s="18" t="s">
        <v>123</v>
      </c>
      <c r="F23" s="19" t="s">
        <v>54</v>
      </c>
      <c r="G23" t="s">
        <v>7</v>
      </c>
      <c r="H23" t="s">
        <v>5</v>
      </c>
    </row>
    <row r="24" spans="1:10">
      <c r="A24" t="s">
        <v>124</v>
      </c>
      <c r="B24" s="17" t="s">
        <v>125</v>
      </c>
      <c r="C24" s="18">
        <v>2014</v>
      </c>
      <c r="D24" s="18" t="s">
        <v>126</v>
      </c>
      <c r="E24" s="18" t="s">
        <v>127</v>
      </c>
      <c r="F24" s="19" t="s">
        <v>128</v>
      </c>
      <c r="G24" t="s">
        <v>7</v>
      </c>
      <c r="H24" t="s">
        <v>5</v>
      </c>
    </row>
    <row r="25" spans="1:10">
      <c r="A25" t="s">
        <v>129</v>
      </c>
      <c r="B25" s="17" t="s">
        <v>130</v>
      </c>
      <c r="C25" s="18">
        <v>2012</v>
      </c>
      <c r="D25" s="18" t="s">
        <v>131</v>
      </c>
      <c r="E25" s="18" t="s">
        <v>132</v>
      </c>
      <c r="F25" s="19" t="s">
        <v>91</v>
      </c>
      <c r="G25" t="s">
        <v>7</v>
      </c>
      <c r="H25" t="s">
        <v>5</v>
      </c>
    </row>
    <row r="26" spans="1:10">
      <c r="A26" t="s">
        <v>133</v>
      </c>
      <c r="B26" s="17" t="s">
        <v>134</v>
      </c>
      <c r="C26" s="18">
        <v>2024</v>
      </c>
      <c r="D26" s="18" t="s">
        <v>135</v>
      </c>
      <c r="E26" s="18" t="s">
        <v>136</v>
      </c>
      <c r="F26" s="19" t="s">
        <v>54</v>
      </c>
      <c r="G26" t="s">
        <v>7</v>
      </c>
      <c r="H26" t="s">
        <v>5</v>
      </c>
    </row>
    <row r="27" spans="1:10">
      <c r="A27" t="s">
        <v>137</v>
      </c>
      <c r="B27" s="17" t="s">
        <v>138</v>
      </c>
      <c r="C27" s="18">
        <v>2019</v>
      </c>
      <c r="D27" s="18" t="s">
        <v>139</v>
      </c>
      <c r="E27" s="18" t="s">
        <v>140</v>
      </c>
      <c r="F27" s="19" t="s">
        <v>44</v>
      </c>
      <c r="G27" t="s">
        <v>7</v>
      </c>
      <c r="H27" t="s">
        <v>5</v>
      </c>
    </row>
    <row r="28" spans="1:10">
      <c r="A28" t="s">
        <v>141</v>
      </c>
      <c r="B28" s="17" t="s">
        <v>142</v>
      </c>
      <c r="C28" s="18">
        <v>2015</v>
      </c>
      <c r="D28" s="18" t="s">
        <v>143</v>
      </c>
      <c r="E28" s="18" t="s">
        <v>144</v>
      </c>
      <c r="F28" s="19" t="s">
        <v>54</v>
      </c>
      <c r="G28" t="s">
        <v>7</v>
      </c>
      <c r="H28" t="s">
        <v>5</v>
      </c>
      <c r="J28" t="s">
        <v>145</v>
      </c>
    </row>
    <row r="29" spans="1:10" hidden="1">
      <c r="A29" t="s">
        <v>146</v>
      </c>
      <c r="B29" s="17" t="s">
        <v>147</v>
      </c>
      <c r="C29" s="18">
        <v>2013</v>
      </c>
      <c r="D29" s="18" t="s">
        <v>148</v>
      </c>
      <c r="E29" s="18" t="s">
        <v>149</v>
      </c>
      <c r="F29" s="19" t="s">
        <v>60</v>
      </c>
      <c r="G29" t="s">
        <v>11</v>
      </c>
      <c r="H29" t="s">
        <v>9</v>
      </c>
      <c r="I29" t="s">
        <v>15</v>
      </c>
    </row>
    <row r="30" spans="1:10">
      <c r="A30" t="s">
        <v>150</v>
      </c>
      <c r="B30" s="17" t="s">
        <v>151</v>
      </c>
      <c r="C30" s="18">
        <v>2020</v>
      </c>
      <c r="D30" s="18" t="s">
        <v>152</v>
      </c>
      <c r="E30" s="18" t="s">
        <v>153</v>
      </c>
      <c r="F30" s="19" t="s">
        <v>60</v>
      </c>
      <c r="G30" t="s">
        <v>7</v>
      </c>
      <c r="H30" t="s">
        <v>5</v>
      </c>
      <c r="J30" t="s">
        <v>154</v>
      </c>
    </row>
    <row r="31" spans="1:10">
      <c r="A31" t="s">
        <v>155</v>
      </c>
      <c r="B31" s="17" t="s">
        <v>156</v>
      </c>
      <c r="C31" s="18">
        <v>2013</v>
      </c>
      <c r="D31" s="18" t="s">
        <v>157</v>
      </c>
      <c r="E31" s="18" t="s">
        <v>158</v>
      </c>
      <c r="F31" s="19" t="s">
        <v>159</v>
      </c>
      <c r="G31" t="s">
        <v>7</v>
      </c>
      <c r="H31" t="s">
        <v>5</v>
      </c>
    </row>
    <row r="32" spans="1:10">
      <c r="A32" t="s">
        <v>160</v>
      </c>
      <c r="B32" s="17" t="s">
        <v>161</v>
      </c>
      <c r="C32" s="18">
        <v>2004</v>
      </c>
      <c r="D32" s="18" t="s">
        <v>162</v>
      </c>
      <c r="E32" s="18" t="s">
        <v>163</v>
      </c>
      <c r="F32" s="19" t="s">
        <v>91</v>
      </c>
      <c r="G32" t="s">
        <v>7</v>
      </c>
      <c r="H32" t="s">
        <v>5</v>
      </c>
    </row>
    <row r="33" spans="1:10" hidden="1">
      <c r="A33" t="s">
        <v>164</v>
      </c>
      <c r="B33" s="17" t="s">
        <v>165</v>
      </c>
      <c r="C33" s="18">
        <v>2008</v>
      </c>
      <c r="D33" s="18" t="s">
        <v>166</v>
      </c>
      <c r="E33" s="18" t="s">
        <v>167</v>
      </c>
      <c r="F33" s="19" t="s">
        <v>168</v>
      </c>
      <c r="G33" t="s">
        <v>11</v>
      </c>
      <c r="H33" t="s">
        <v>9</v>
      </c>
      <c r="I33" t="s">
        <v>15</v>
      </c>
      <c r="J33" t="s">
        <v>169</v>
      </c>
    </row>
    <row r="34" spans="1:10" hidden="1">
      <c r="A34" t="s">
        <v>170</v>
      </c>
      <c r="B34" s="17" t="s">
        <v>171</v>
      </c>
      <c r="C34" s="18">
        <v>2026</v>
      </c>
      <c r="D34" s="18" t="s">
        <v>172</v>
      </c>
      <c r="E34" s="18" t="s">
        <v>173</v>
      </c>
      <c r="F34" s="19" t="s">
        <v>174</v>
      </c>
      <c r="G34" t="s">
        <v>7</v>
      </c>
      <c r="H34" t="s">
        <v>9</v>
      </c>
      <c r="I34" t="s">
        <v>15</v>
      </c>
      <c r="J34" t="s">
        <v>175</v>
      </c>
    </row>
    <row r="35" spans="1:10" hidden="1">
      <c r="A35" t="s">
        <v>176</v>
      </c>
      <c r="B35" s="17" t="s">
        <v>177</v>
      </c>
      <c r="C35" s="18">
        <v>2023</v>
      </c>
      <c r="D35" s="18" t="s">
        <v>178</v>
      </c>
      <c r="E35" s="18" t="s">
        <v>179</v>
      </c>
      <c r="F35" s="19" t="s">
        <v>180</v>
      </c>
      <c r="G35" t="s">
        <v>11</v>
      </c>
      <c r="H35" t="s">
        <v>9</v>
      </c>
      <c r="I35" t="s">
        <v>15</v>
      </c>
      <c r="J35" t="s">
        <v>119</v>
      </c>
    </row>
    <row r="36" spans="1:10">
      <c r="A36" t="s">
        <v>181</v>
      </c>
      <c r="B36" s="17" t="s">
        <v>182</v>
      </c>
      <c r="C36" s="18">
        <v>2024</v>
      </c>
      <c r="D36" s="18" t="s">
        <v>183</v>
      </c>
      <c r="E36" s="18" t="s">
        <v>184</v>
      </c>
      <c r="F36" s="19" t="s">
        <v>60</v>
      </c>
      <c r="G36" t="s">
        <v>7</v>
      </c>
      <c r="H36" t="s">
        <v>5</v>
      </c>
    </row>
    <row r="37" spans="1:10" hidden="1">
      <c r="A37" t="s">
        <v>185</v>
      </c>
      <c r="B37" s="17" t="s">
        <v>186</v>
      </c>
      <c r="C37" s="18">
        <v>2022</v>
      </c>
      <c r="D37" s="18" t="s">
        <v>187</v>
      </c>
      <c r="E37" s="18" t="s">
        <v>188</v>
      </c>
      <c r="F37" s="19" t="s">
        <v>60</v>
      </c>
      <c r="G37" t="s">
        <v>11</v>
      </c>
      <c r="H37" t="s">
        <v>9</v>
      </c>
      <c r="I37" t="s">
        <v>15</v>
      </c>
      <c r="J37" t="s">
        <v>189</v>
      </c>
    </row>
    <row r="38" spans="1:10">
      <c r="A38" t="s">
        <v>190</v>
      </c>
      <c r="B38" s="17" t="s">
        <v>191</v>
      </c>
      <c r="C38" s="18">
        <v>2013</v>
      </c>
      <c r="D38" s="18" t="s">
        <v>192</v>
      </c>
      <c r="E38" s="18" t="s">
        <v>193</v>
      </c>
      <c r="F38" s="19" t="s">
        <v>194</v>
      </c>
      <c r="G38" t="s">
        <v>7</v>
      </c>
      <c r="H38" t="s">
        <v>5</v>
      </c>
    </row>
    <row r="39" spans="1:10">
      <c r="A39" t="s">
        <v>195</v>
      </c>
      <c r="B39" s="17" t="s">
        <v>196</v>
      </c>
      <c r="C39" s="18">
        <v>2018</v>
      </c>
      <c r="D39" s="18" t="s">
        <v>197</v>
      </c>
      <c r="E39" s="18" t="s">
        <v>198</v>
      </c>
      <c r="F39" s="19" t="s">
        <v>199</v>
      </c>
      <c r="G39" t="s">
        <v>7</v>
      </c>
      <c r="H39" t="s">
        <v>5</v>
      </c>
      <c r="J39" t="s">
        <v>200</v>
      </c>
    </row>
    <row r="40" spans="1:10" hidden="1">
      <c r="A40" t="s">
        <v>201</v>
      </c>
      <c r="B40" s="17" t="s">
        <v>202</v>
      </c>
      <c r="C40" s="18">
        <v>2019</v>
      </c>
      <c r="D40" s="18" t="s">
        <v>203</v>
      </c>
      <c r="E40" s="18" t="s">
        <v>204</v>
      </c>
      <c r="F40" s="19" t="s">
        <v>91</v>
      </c>
      <c r="G40" t="s">
        <v>11</v>
      </c>
      <c r="H40" t="s">
        <v>9</v>
      </c>
      <c r="I40" t="s">
        <v>10</v>
      </c>
    </row>
    <row r="41" spans="1:10">
      <c r="A41" t="s">
        <v>205</v>
      </c>
      <c r="B41" s="17" t="s">
        <v>206</v>
      </c>
      <c r="C41" s="18">
        <v>2008</v>
      </c>
      <c r="D41" s="18" t="s">
        <v>207</v>
      </c>
      <c r="E41" s="18" t="s">
        <v>208</v>
      </c>
      <c r="F41" s="19" t="s">
        <v>77</v>
      </c>
      <c r="G41" t="s">
        <v>7</v>
      </c>
      <c r="H41" t="s">
        <v>5</v>
      </c>
    </row>
    <row r="42" spans="1:10" hidden="1">
      <c r="A42" t="s">
        <v>209</v>
      </c>
      <c r="B42" s="17" t="s">
        <v>210</v>
      </c>
      <c r="C42" s="18">
        <v>2024</v>
      </c>
      <c r="D42" s="18" t="s">
        <v>211</v>
      </c>
      <c r="E42" s="18" t="s">
        <v>212</v>
      </c>
      <c r="F42" s="19" t="s">
        <v>60</v>
      </c>
      <c r="G42" t="s">
        <v>11</v>
      </c>
      <c r="H42" t="s">
        <v>9</v>
      </c>
      <c r="J42" t="s">
        <v>154</v>
      </c>
    </row>
    <row r="43" spans="1:10">
      <c r="A43" t="s">
        <v>213</v>
      </c>
      <c r="B43" s="17" t="s">
        <v>214</v>
      </c>
      <c r="C43" s="18">
        <v>2008</v>
      </c>
      <c r="D43" s="18" t="s">
        <v>215</v>
      </c>
      <c r="E43" s="18" t="s">
        <v>216</v>
      </c>
      <c r="F43" s="19" t="s">
        <v>174</v>
      </c>
      <c r="G43" t="s">
        <v>7</v>
      </c>
      <c r="H43" t="s">
        <v>5</v>
      </c>
    </row>
    <row r="44" spans="1:10" hidden="1">
      <c r="A44" t="s">
        <v>217</v>
      </c>
      <c r="B44" s="17" t="s">
        <v>218</v>
      </c>
      <c r="C44" s="18">
        <v>2017</v>
      </c>
      <c r="D44" s="18" t="s">
        <v>219</v>
      </c>
      <c r="E44" s="18" t="s">
        <v>220</v>
      </c>
      <c r="F44" s="19" t="s">
        <v>66</v>
      </c>
      <c r="G44" t="s">
        <v>7</v>
      </c>
      <c r="H44" t="s">
        <v>9</v>
      </c>
      <c r="J44" t="s">
        <v>221</v>
      </c>
    </row>
    <row r="45" spans="1:10" hidden="1">
      <c r="A45" t="s">
        <v>222</v>
      </c>
      <c r="B45" s="17" t="s">
        <v>223</v>
      </c>
      <c r="C45" s="18">
        <v>2014</v>
      </c>
      <c r="D45" s="18" t="s">
        <v>224</v>
      </c>
      <c r="E45" s="18" t="s">
        <v>225</v>
      </c>
      <c r="F45" s="19" t="s">
        <v>226</v>
      </c>
      <c r="G45" t="s">
        <v>11</v>
      </c>
      <c r="H45" t="s">
        <v>9</v>
      </c>
      <c r="J45" t="s">
        <v>227</v>
      </c>
    </row>
    <row r="46" spans="1:10" hidden="1">
      <c r="A46" t="s">
        <v>228</v>
      </c>
      <c r="B46" s="17" t="s">
        <v>229</v>
      </c>
      <c r="C46" s="18">
        <v>2019</v>
      </c>
      <c r="D46" s="18" t="s">
        <v>230</v>
      </c>
      <c r="E46" s="18" t="s">
        <v>231</v>
      </c>
      <c r="F46" s="19" t="s">
        <v>91</v>
      </c>
      <c r="G46" t="s">
        <v>11</v>
      </c>
      <c r="H46" t="s">
        <v>9</v>
      </c>
      <c r="J46" t="s">
        <v>232</v>
      </c>
    </row>
    <row r="47" spans="1:10">
      <c r="A47" t="s">
        <v>233</v>
      </c>
      <c r="B47" s="17" t="s">
        <v>234</v>
      </c>
      <c r="C47" s="18">
        <v>2025</v>
      </c>
      <c r="D47" s="18" t="s">
        <v>235</v>
      </c>
      <c r="E47" s="18" t="s">
        <v>236</v>
      </c>
      <c r="F47" s="19" t="s">
        <v>237</v>
      </c>
      <c r="G47" t="s">
        <v>7</v>
      </c>
      <c r="H47" t="s">
        <v>5</v>
      </c>
    </row>
    <row r="48" spans="1:10" hidden="1">
      <c r="A48" t="s">
        <v>238</v>
      </c>
      <c r="B48" s="17" t="s">
        <v>239</v>
      </c>
      <c r="C48" s="18">
        <v>2020</v>
      </c>
      <c r="D48" s="18" t="s">
        <v>240</v>
      </c>
      <c r="E48" s="18" t="s">
        <v>241</v>
      </c>
      <c r="F48" s="19" t="s">
        <v>54</v>
      </c>
      <c r="G48" t="s">
        <v>11</v>
      </c>
      <c r="H48" t="s">
        <v>9</v>
      </c>
      <c r="I48" t="s">
        <v>15</v>
      </c>
      <c r="J48" t="s">
        <v>242</v>
      </c>
    </row>
    <row r="49" spans="1:10" hidden="1">
      <c r="A49" t="s">
        <v>243</v>
      </c>
      <c r="B49" s="17" t="s">
        <v>244</v>
      </c>
      <c r="C49" s="18">
        <v>2013</v>
      </c>
      <c r="D49" s="18" t="s">
        <v>245</v>
      </c>
      <c r="E49" s="18" t="s">
        <v>246</v>
      </c>
      <c r="F49" s="19" t="s">
        <v>91</v>
      </c>
      <c r="G49" t="s">
        <v>7</v>
      </c>
      <c r="H49" t="s">
        <v>9</v>
      </c>
      <c r="I49" t="s">
        <v>15</v>
      </c>
      <c r="J49" t="s">
        <v>247</v>
      </c>
    </row>
    <row r="50" spans="1:10" hidden="1">
      <c r="A50" t="s">
        <v>248</v>
      </c>
      <c r="B50" s="17" t="s">
        <v>249</v>
      </c>
      <c r="C50" s="18">
        <v>2023</v>
      </c>
      <c r="D50" s="18" t="s">
        <v>250</v>
      </c>
      <c r="E50" s="18" t="s">
        <v>251</v>
      </c>
      <c r="F50" s="19" t="s">
        <v>44</v>
      </c>
      <c r="G50" t="s">
        <v>11</v>
      </c>
      <c r="H50" t="s">
        <v>9</v>
      </c>
      <c r="J50" t="s">
        <v>252</v>
      </c>
    </row>
    <row r="51" spans="1:10" hidden="1">
      <c r="A51" t="s">
        <v>253</v>
      </c>
      <c r="B51" s="17" t="s">
        <v>254</v>
      </c>
      <c r="C51" s="18">
        <v>2018</v>
      </c>
      <c r="D51" s="18" t="s">
        <v>255</v>
      </c>
      <c r="E51" s="18" t="s">
        <v>256</v>
      </c>
      <c r="F51" s="19" t="s">
        <v>54</v>
      </c>
      <c r="G51" t="s">
        <v>11</v>
      </c>
      <c r="H51" t="s">
        <v>9</v>
      </c>
      <c r="I51" t="s">
        <v>15</v>
      </c>
      <c r="J51" t="s">
        <v>257</v>
      </c>
    </row>
    <row r="52" spans="1:10" hidden="1">
      <c r="A52" t="s">
        <v>258</v>
      </c>
      <c r="B52" s="17" t="s">
        <v>259</v>
      </c>
      <c r="C52" s="18">
        <v>2023</v>
      </c>
      <c r="D52" s="18" t="s">
        <v>260</v>
      </c>
      <c r="E52" s="18" t="s">
        <v>261</v>
      </c>
      <c r="F52" s="19" t="s">
        <v>54</v>
      </c>
      <c r="G52" t="s">
        <v>11</v>
      </c>
      <c r="H52" t="s">
        <v>9</v>
      </c>
      <c r="I52" t="s">
        <v>15</v>
      </c>
      <c r="J52" t="s">
        <v>262</v>
      </c>
    </row>
    <row r="53" spans="1:10" hidden="1">
      <c r="A53" t="s">
        <v>263</v>
      </c>
      <c r="B53" s="17" t="s">
        <v>264</v>
      </c>
      <c r="C53" s="18">
        <v>2012</v>
      </c>
      <c r="D53" s="18" t="s">
        <v>265</v>
      </c>
      <c r="E53" s="18" t="s">
        <v>266</v>
      </c>
      <c r="F53" s="19" t="s">
        <v>91</v>
      </c>
      <c r="G53" t="s">
        <v>11</v>
      </c>
      <c r="H53" t="s">
        <v>9</v>
      </c>
      <c r="I53" t="s">
        <v>15</v>
      </c>
      <c r="J53" t="s">
        <v>267</v>
      </c>
    </row>
    <row r="54" spans="1:10" hidden="1">
      <c r="A54" t="s">
        <v>268</v>
      </c>
      <c r="B54" s="17" t="s">
        <v>269</v>
      </c>
      <c r="C54" s="18">
        <v>2022</v>
      </c>
      <c r="D54" s="18" t="s">
        <v>270</v>
      </c>
      <c r="E54" s="18" t="s">
        <v>271</v>
      </c>
      <c r="F54" s="19" t="s">
        <v>91</v>
      </c>
      <c r="G54" t="s">
        <v>11</v>
      </c>
      <c r="H54" t="s">
        <v>9</v>
      </c>
      <c r="I54" t="s">
        <v>15</v>
      </c>
      <c r="J54" t="s">
        <v>272</v>
      </c>
    </row>
    <row r="55" spans="1:10" hidden="1">
      <c r="A55" t="s">
        <v>273</v>
      </c>
      <c r="B55" s="17" t="s">
        <v>274</v>
      </c>
      <c r="C55" s="18">
        <v>2021</v>
      </c>
      <c r="D55" s="18" t="s">
        <v>275</v>
      </c>
      <c r="E55" s="18" t="s">
        <v>276</v>
      </c>
      <c r="F55" s="19" t="s">
        <v>277</v>
      </c>
      <c r="G55" t="s">
        <v>11</v>
      </c>
      <c r="H55" t="s">
        <v>9</v>
      </c>
      <c r="I55" t="s">
        <v>15</v>
      </c>
      <c r="J55" t="s">
        <v>278</v>
      </c>
    </row>
    <row r="56" spans="1:10" ht="36" hidden="1">
      <c r="A56" t="s">
        <v>279</v>
      </c>
      <c r="B56" s="17" t="s">
        <v>280</v>
      </c>
      <c r="C56" s="18">
        <v>2007</v>
      </c>
      <c r="D56" s="18" t="s">
        <v>281</v>
      </c>
      <c r="E56" s="18" t="s">
        <v>282</v>
      </c>
      <c r="F56" s="19" t="s">
        <v>33</v>
      </c>
      <c r="G56" t="s">
        <v>11</v>
      </c>
      <c r="H56" t="s">
        <v>9</v>
      </c>
      <c r="I56" t="s">
        <v>15</v>
      </c>
      <c r="J56" t="s">
        <v>119</v>
      </c>
    </row>
    <row r="57" spans="1:10" hidden="1">
      <c r="A57" t="s">
        <v>283</v>
      </c>
      <c r="B57" s="17" t="s">
        <v>284</v>
      </c>
      <c r="C57" s="18">
        <v>2010</v>
      </c>
      <c r="D57" s="18" t="s">
        <v>285</v>
      </c>
      <c r="E57" s="18" t="s">
        <v>286</v>
      </c>
      <c r="F57" s="19" t="s">
        <v>287</v>
      </c>
      <c r="G57" t="s">
        <v>11</v>
      </c>
      <c r="H57" t="s">
        <v>9</v>
      </c>
      <c r="I57" t="s">
        <v>15</v>
      </c>
      <c r="J57" t="s">
        <v>119</v>
      </c>
    </row>
    <row r="58" spans="1:10" hidden="1">
      <c r="A58" t="s">
        <v>288</v>
      </c>
      <c r="B58" s="17" t="s">
        <v>289</v>
      </c>
      <c r="C58" s="18">
        <v>2025</v>
      </c>
      <c r="D58" s="18" t="s">
        <v>290</v>
      </c>
      <c r="E58" s="18" t="s">
        <v>291</v>
      </c>
      <c r="F58" s="19" t="s">
        <v>60</v>
      </c>
      <c r="G58" t="s">
        <v>11</v>
      </c>
      <c r="H58" t="s">
        <v>9</v>
      </c>
      <c r="I58" t="s">
        <v>15</v>
      </c>
      <c r="J58" t="s">
        <v>292</v>
      </c>
    </row>
    <row r="59" spans="1:10" hidden="1">
      <c r="A59" t="s">
        <v>293</v>
      </c>
      <c r="B59" s="17" t="s">
        <v>294</v>
      </c>
      <c r="C59" s="18">
        <v>2020</v>
      </c>
      <c r="D59" s="18" t="s">
        <v>295</v>
      </c>
      <c r="E59" s="18" t="s">
        <v>296</v>
      </c>
      <c r="F59" s="19" t="s">
        <v>60</v>
      </c>
      <c r="G59" t="s">
        <v>11</v>
      </c>
      <c r="H59" t="s">
        <v>9</v>
      </c>
      <c r="I59" t="s">
        <v>15</v>
      </c>
      <c r="J59" t="s">
        <v>297</v>
      </c>
    </row>
    <row r="60" spans="1:10" hidden="1">
      <c r="A60" t="s">
        <v>298</v>
      </c>
      <c r="B60" s="17" t="s">
        <v>299</v>
      </c>
      <c r="C60" s="18">
        <v>2020</v>
      </c>
      <c r="D60" s="18" t="s">
        <v>300</v>
      </c>
      <c r="E60" s="18" t="s">
        <v>301</v>
      </c>
      <c r="F60" s="19" t="s">
        <v>91</v>
      </c>
      <c r="G60" t="s">
        <v>11</v>
      </c>
      <c r="H60" t="s">
        <v>9</v>
      </c>
      <c r="I60" t="s">
        <v>15</v>
      </c>
      <c r="J60" t="s">
        <v>292</v>
      </c>
    </row>
    <row r="61" spans="1:10">
      <c r="A61" t="s">
        <v>302</v>
      </c>
      <c r="B61" s="17" t="s">
        <v>303</v>
      </c>
      <c r="C61" s="18">
        <v>2010</v>
      </c>
      <c r="D61" s="18" t="s">
        <v>304</v>
      </c>
      <c r="E61" s="18" t="s">
        <v>305</v>
      </c>
      <c r="F61" s="19" t="s">
        <v>91</v>
      </c>
      <c r="G61" t="s">
        <v>7</v>
      </c>
      <c r="H61" t="s">
        <v>5</v>
      </c>
    </row>
    <row r="62" spans="1:10" hidden="1">
      <c r="A62" t="s">
        <v>306</v>
      </c>
      <c r="B62" s="17" t="s">
        <v>307</v>
      </c>
      <c r="C62" s="18">
        <v>2018</v>
      </c>
      <c r="D62" s="18" t="s">
        <v>308</v>
      </c>
      <c r="E62" s="18" t="s">
        <v>309</v>
      </c>
      <c r="F62" s="19" t="s">
        <v>66</v>
      </c>
      <c r="G62" t="s">
        <v>11</v>
      </c>
      <c r="H62" t="s">
        <v>9</v>
      </c>
      <c r="I62" t="s">
        <v>15</v>
      </c>
      <c r="J62" t="s">
        <v>297</v>
      </c>
    </row>
    <row r="63" spans="1:10" hidden="1">
      <c r="A63" t="s">
        <v>310</v>
      </c>
      <c r="B63" s="17" t="s">
        <v>311</v>
      </c>
      <c r="C63" s="18">
        <v>2010</v>
      </c>
      <c r="D63" s="18" t="s">
        <v>312</v>
      </c>
      <c r="E63" s="18" t="s">
        <v>313</v>
      </c>
      <c r="F63" s="19" t="s">
        <v>194</v>
      </c>
      <c r="G63" t="s">
        <v>11</v>
      </c>
      <c r="H63" t="s">
        <v>9</v>
      </c>
      <c r="J63" t="s">
        <v>314</v>
      </c>
    </row>
    <row r="64" spans="1:10" hidden="1">
      <c r="A64" t="s">
        <v>315</v>
      </c>
      <c r="B64" s="17" t="s">
        <v>316</v>
      </c>
      <c r="C64" s="18">
        <v>2010</v>
      </c>
      <c r="D64" s="18" t="s">
        <v>317</v>
      </c>
      <c r="E64" s="18" t="s">
        <v>318</v>
      </c>
      <c r="F64" s="19" t="s">
        <v>77</v>
      </c>
      <c r="G64" t="s">
        <v>11</v>
      </c>
      <c r="H64" t="s">
        <v>9</v>
      </c>
      <c r="J64" t="s">
        <v>319</v>
      </c>
    </row>
    <row r="65" spans="1:10">
      <c r="A65" t="s">
        <v>320</v>
      </c>
      <c r="B65" s="17" t="s">
        <v>321</v>
      </c>
      <c r="C65" s="18">
        <v>2007</v>
      </c>
      <c r="D65" s="18" t="s">
        <v>322</v>
      </c>
      <c r="E65" s="18" t="s">
        <v>323</v>
      </c>
      <c r="F65" s="19" t="s">
        <v>91</v>
      </c>
      <c r="G65" t="s">
        <v>7</v>
      </c>
      <c r="H65" t="s">
        <v>5</v>
      </c>
    </row>
    <row r="66" spans="1:10">
      <c r="A66" t="s">
        <v>324</v>
      </c>
      <c r="B66" s="17" t="s">
        <v>325</v>
      </c>
      <c r="C66" s="18">
        <v>1999</v>
      </c>
      <c r="D66" s="18" t="s">
        <v>326</v>
      </c>
      <c r="E66" s="18" t="s">
        <v>327</v>
      </c>
      <c r="F66" s="19" t="s">
        <v>328</v>
      </c>
      <c r="G66" t="s">
        <v>7</v>
      </c>
      <c r="H66" t="s">
        <v>5</v>
      </c>
    </row>
    <row r="67" spans="1:10">
      <c r="A67" t="s">
        <v>329</v>
      </c>
      <c r="B67" s="17" t="s">
        <v>330</v>
      </c>
      <c r="C67" s="18">
        <v>2019</v>
      </c>
      <c r="D67" s="18" t="s">
        <v>331</v>
      </c>
      <c r="E67" s="18" t="s">
        <v>332</v>
      </c>
      <c r="F67" s="19" t="s">
        <v>60</v>
      </c>
      <c r="G67" t="s">
        <v>7</v>
      </c>
      <c r="H67" t="s">
        <v>5</v>
      </c>
    </row>
    <row r="68" spans="1:10">
      <c r="A68" t="s">
        <v>333</v>
      </c>
      <c r="B68" s="17" t="s">
        <v>334</v>
      </c>
      <c r="C68" s="18">
        <v>2011</v>
      </c>
      <c r="D68" s="18" t="s">
        <v>335</v>
      </c>
      <c r="E68" s="18" t="s">
        <v>336</v>
      </c>
      <c r="F68" s="19" t="s">
        <v>77</v>
      </c>
      <c r="G68" t="s">
        <v>7</v>
      </c>
      <c r="H68" t="s">
        <v>5</v>
      </c>
    </row>
    <row r="69" spans="1:10" hidden="1">
      <c r="A69" t="s">
        <v>337</v>
      </c>
      <c r="B69" s="17" t="s">
        <v>338</v>
      </c>
      <c r="C69" s="18">
        <v>2013</v>
      </c>
      <c r="D69" s="18" t="s">
        <v>339</v>
      </c>
      <c r="E69" s="18" t="s">
        <v>340</v>
      </c>
      <c r="F69" s="19" t="s">
        <v>91</v>
      </c>
      <c r="G69" t="s">
        <v>11</v>
      </c>
      <c r="H69" t="s">
        <v>9</v>
      </c>
      <c r="I69" t="s">
        <v>15</v>
      </c>
      <c r="J69" t="s">
        <v>341</v>
      </c>
    </row>
    <row r="70" spans="1:10" hidden="1">
      <c r="A70" t="s">
        <v>342</v>
      </c>
      <c r="B70" s="17" t="s">
        <v>343</v>
      </c>
      <c r="C70" s="18">
        <v>2021</v>
      </c>
      <c r="D70" s="18" t="s">
        <v>344</v>
      </c>
      <c r="E70" s="18" t="s">
        <v>345</v>
      </c>
      <c r="F70" s="19" t="s">
        <v>91</v>
      </c>
      <c r="G70" t="s">
        <v>11</v>
      </c>
      <c r="H70" t="s">
        <v>9</v>
      </c>
      <c r="I70" t="s">
        <v>13</v>
      </c>
    </row>
    <row r="71" spans="1:10">
      <c r="A71" t="s">
        <v>346</v>
      </c>
      <c r="B71" s="17" t="s">
        <v>347</v>
      </c>
      <c r="C71" s="18">
        <v>1997</v>
      </c>
      <c r="D71" s="18" t="s">
        <v>348</v>
      </c>
      <c r="E71" s="18" t="s">
        <v>349</v>
      </c>
      <c r="F71" s="19" t="s">
        <v>199</v>
      </c>
      <c r="G71" t="s">
        <v>7</v>
      </c>
      <c r="H71" t="s">
        <v>5</v>
      </c>
    </row>
    <row r="72" spans="1:10">
      <c r="A72" t="s">
        <v>350</v>
      </c>
      <c r="B72" s="17" t="s">
        <v>351</v>
      </c>
      <c r="C72" s="18">
        <v>2017</v>
      </c>
      <c r="D72" s="18" t="s">
        <v>352</v>
      </c>
      <c r="E72" s="18" t="s">
        <v>353</v>
      </c>
      <c r="F72" s="19" t="s">
        <v>60</v>
      </c>
      <c r="G72" t="s">
        <v>7</v>
      </c>
      <c r="H72" t="s">
        <v>5</v>
      </c>
    </row>
    <row r="73" spans="1:10" hidden="1">
      <c r="A73" t="s">
        <v>354</v>
      </c>
      <c r="B73" s="17" t="s">
        <v>355</v>
      </c>
      <c r="C73" s="18">
        <v>2009</v>
      </c>
      <c r="D73" s="18" t="s">
        <v>356</v>
      </c>
      <c r="E73" s="18" t="s">
        <v>357</v>
      </c>
      <c r="F73" s="19" t="s">
        <v>60</v>
      </c>
      <c r="G73" t="s">
        <v>11</v>
      </c>
      <c r="H73" t="s">
        <v>9</v>
      </c>
      <c r="I73" t="s">
        <v>15</v>
      </c>
      <c r="J73" t="s">
        <v>119</v>
      </c>
    </row>
    <row r="74" spans="1:10" hidden="1">
      <c r="A74" t="s">
        <v>358</v>
      </c>
      <c r="B74" s="17" t="s">
        <v>359</v>
      </c>
      <c r="C74" s="18">
        <v>2014</v>
      </c>
      <c r="D74" s="18" t="s">
        <v>224</v>
      </c>
      <c r="E74" s="18" t="s">
        <v>360</v>
      </c>
      <c r="F74" s="19" t="s">
        <v>226</v>
      </c>
      <c r="G74" t="s">
        <v>11</v>
      </c>
      <c r="H74" t="s">
        <v>9</v>
      </c>
      <c r="I74" t="s">
        <v>15</v>
      </c>
      <c r="J74" t="s">
        <v>267</v>
      </c>
    </row>
    <row r="75" spans="1:10" hidden="1">
      <c r="A75" t="s">
        <v>361</v>
      </c>
      <c r="B75" s="17" t="s">
        <v>362</v>
      </c>
      <c r="C75" s="18">
        <v>2019</v>
      </c>
      <c r="D75" s="18" t="s">
        <v>363</v>
      </c>
      <c r="E75" s="18" t="s">
        <v>364</v>
      </c>
      <c r="F75" s="19" t="s">
        <v>66</v>
      </c>
      <c r="G75" t="s">
        <v>7</v>
      </c>
      <c r="H75" t="s">
        <v>9</v>
      </c>
      <c r="I75" t="s">
        <v>15</v>
      </c>
      <c r="J75" t="s">
        <v>365</v>
      </c>
    </row>
    <row r="76" spans="1:10" hidden="1">
      <c r="A76" t="s">
        <v>366</v>
      </c>
      <c r="B76" s="17" t="s">
        <v>367</v>
      </c>
      <c r="C76" s="18">
        <v>2024</v>
      </c>
      <c r="D76" s="18" t="s">
        <v>368</v>
      </c>
      <c r="E76" s="18" t="s">
        <v>369</v>
      </c>
      <c r="F76" s="19" t="s">
        <v>54</v>
      </c>
      <c r="G76" t="s">
        <v>11</v>
      </c>
      <c r="H76" t="s">
        <v>9</v>
      </c>
      <c r="I76" t="s">
        <v>15</v>
      </c>
      <c r="J76" t="s">
        <v>27</v>
      </c>
    </row>
    <row r="77" spans="1:10">
      <c r="A77" t="s">
        <v>370</v>
      </c>
      <c r="B77" s="17" t="s">
        <v>371</v>
      </c>
      <c r="C77" s="18">
        <v>2011</v>
      </c>
      <c r="D77" s="18" t="s">
        <v>372</v>
      </c>
      <c r="E77" s="18" t="s">
        <v>373</v>
      </c>
      <c r="F77" s="19" t="s">
        <v>194</v>
      </c>
      <c r="G77" t="s">
        <v>7</v>
      </c>
      <c r="H77" t="s">
        <v>5</v>
      </c>
    </row>
    <row r="78" spans="1:10" hidden="1">
      <c r="A78" t="s">
        <v>374</v>
      </c>
      <c r="B78" s="17" t="s">
        <v>375</v>
      </c>
      <c r="C78" s="18">
        <v>2020</v>
      </c>
      <c r="D78" s="18" t="s">
        <v>376</v>
      </c>
      <c r="E78" s="18" t="s">
        <v>377</v>
      </c>
      <c r="F78" s="19" t="s">
        <v>54</v>
      </c>
      <c r="G78" t="s">
        <v>11</v>
      </c>
      <c r="H78" t="s">
        <v>9</v>
      </c>
      <c r="I78" t="s">
        <v>15</v>
      </c>
      <c r="J78" t="s">
        <v>242</v>
      </c>
    </row>
    <row r="79" spans="1:10">
      <c r="A79" t="s">
        <v>378</v>
      </c>
      <c r="B79" s="17" t="s">
        <v>379</v>
      </c>
      <c r="C79" s="18">
        <v>2016</v>
      </c>
      <c r="D79" s="18" t="s">
        <v>380</v>
      </c>
      <c r="E79" s="18" t="s">
        <v>381</v>
      </c>
      <c r="F79" s="19" t="s">
        <v>54</v>
      </c>
      <c r="G79" t="s">
        <v>7</v>
      </c>
      <c r="H79" t="s">
        <v>5</v>
      </c>
    </row>
    <row r="80" spans="1:10">
      <c r="A80" t="s">
        <v>382</v>
      </c>
      <c r="B80" s="17" t="s">
        <v>383</v>
      </c>
      <c r="C80" s="18">
        <v>2012</v>
      </c>
      <c r="D80" s="18" t="s">
        <v>384</v>
      </c>
      <c r="E80" s="18" t="s">
        <v>385</v>
      </c>
      <c r="F80" s="19" t="s">
        <v>194</v>
      </c>
      <c r="G80" t="s">
        <v>7</v>
      </c>
      <c r="H80" t="s">
        <v>5</v>
      </c>
    </row>
    <row r="81" spans="1:10" hidden="1">
      <c r="A81" t="s">
        <v>386</v>
      </c>
      <c r="B81" s="17" t="s">
        <v>387</v>
      </c>
      <c r="C81" s="18">
        <v>2018</v>
      </c>
      <c r="D81" s="18" t="s">
        <v>388</v>
      </c>
      <c r="E81" s="18" t="s">
        <v>389</v>
      </c>
      <c r="F81" s="19" t="s">
        <v>66</v>
      </c>
      <c r="G81" t="s">
        <v>11</v>
      </c>
      <c r="H81" t="s">
        <v>9</v>
      </c>
      <c r="J81" t="s">
        <v>390</v>
      </c>
    </row>
    <row r="82" spans="1:10" hidden="1">
      <c r="A82" t="s">
        <v>391</v>
      </c>
      <c r="B82" s="17" t="s">
        <v>392</v>
      </c>
      <c r="C82" s="18">
        <v>2017</v>
      </c>
      <c r="D82" s="18" t="s">
        <v>393</v>
      </c>
      <c r="E82" s="18" t="s">
        <v>394</v>
      </c>
      <c r="F82" s="19" t="s">
        <v>199</v>
      </c>
      <c r="G82" t="s">
        <v>11</v>
      </c>
      <c r="H82" t="s">
        <v>9</v>
      </c>
      <c r="I82" t="s">
        <v>15</v>
      </c>
      <c r="J82" t="s">
        <v>119</v>
      </c>
    </row>
    <row r="83" spans="1:10">
      <c r="A83" t="s">
        <v>395</v>
      </c>
      <c r="B83" s="17" t="s">
        <v>396</v>
      </c>
      <c r="C83" s="18">
        <v>1995</v>
      </c>
      <c r="D83" s="18" t="s">
        <v>397</v>
      </c>
      <c r="E83" s="18" t="s">
        <v>398</v>
      </c>
      <c r="F83" s="19" t="s">
        <v>399</v>
      </c>
      <c r="G83" t="s">
        <v>7</v>
      </c>
      <c r="H83" t="s">
        <v>5</v>
      </c>
      <c r="J83" t="s">
        <v>400</v>
      </c>
    </row>
    <row r="84" spans="1:10" hidden="1">
      <c r="A84" t="s">
        <v>401</v>
      </c>
      <c r="B84" s="17" t="s">
        <v>402</v>
      </c>
      <c r="C84" s="18">
        <v>2007</v>
      </c>
      <c r="D84" s="18" t="s">
        <v>403</v>
      </c>
      <c r="E84" s="18" t="s">
        <v>404</v>
      </c>
      <c r="F84" s="19" t="s">
        <v>194</v>
      </c>
      <c r="G84" t="s">
        <v>11</v>
      </c>
      <c r="H84" t="s">
        <v>9</v>
      </c>
      <c r="I84" t="s">
        <v>15</v>
      </c>
      <c r="J84" t="s">
        <v>221</v>
      </c>
    </row>
    <row r="85" spans="1:10">
      <c r="A85" t="s">
        <v>405</v>
      </c>
      <c r="B85" s="17" t="s">
        <v>406</v>
      </c>
      <c r="C85" s="18">
        <v>2017</v>
      </c>
      <c r="D85" s="18" t="s">
        <v>407</v>
      </c>
      <c r="E85" s="18" t="s">
        <v>408</v>
      </c>
      <c r="F85" s="19" t="s">
        <v>180</v>
      </c>
      <c r="G85" t="s">
        <v>7</v>
      </c>
      <c r="H85" t="s">
        <v>5</v>
      </c>
    </row>
    <row r="86" spans="1:10" hidden="1">
      <c r="A86" t="s">
        <v>409</v>
      </c>
      <c r="B86" s="17" t="s">
        <v>410</v>
      </c>
      <c r="C86" s="18">
        <v>2012</v>
      </c>
      <c r="D86" s="18" t="s">
        <v>411</v>
      </c>
      <c r="E86" s="18" t="s">
        <v>412</v>
      </c>
      <c r="F86" s="19" t="s">
        <v>44</v>
      </c>
      <c r="G86" t="s">
        <v>7</v>
      </c>
      <c r="H86" t="s">
        <v>9</v>
      </c>
      <c r="I86" t="s">
        <v>10</v>
      </c>
      <c r="J86" t="s">
        <v>413</v>
      </c>
    </row>
    <row r="87" spans="1:10">
      <c r="A87" t="s">
        <v>414</v>
      </c>
      <c r="B87" s="17" t="s">
        <v>415</v>
      </c>
      <c r="C87" s="18">
        <v>2009</v>
      </c>
      <c r="D87" s="18" t="s">
        <v>416</v>
      </c>
      <c r="E87" s="18" t="s">
        <v>417</v>
      </c>
      <c r="F87" s="19" t="s">
        <v>49</v>
      </c>
      <c r="G87" t="s">
        <v>7</v>
      </c>
      <c r="H87" t="s">
        <v>5</v>
      </c>
    </row>
    <row r="88" spans="1:10">
      <c r="A88" t="s">
        <v>418</v>
      </c>
      <c r="B88" s="17" t="s">
        <v>419</v>
      </c>
      <c r="C88" s="18">
        <v>2011</v>
      </c>
      <c r="D88" s="18" t="s">
        <v>420</v>
      </c>
      <c r="E88" s="18" t="s">
        <v>421</v>
      </c>
      <c r="F88" s="19" t="s">
        <v>159</v>
      </c>
      <c r="G88" t="s">
        <v>7</v>
      </c>
      <c r="H88" t="s">
        <v>5</v>
      </c>
      <c r="J88" t="s">
        <v>413</v>
      </c>
    </row>
    <row r="89" spans="1:10">
      <c r="A89" t="s">
        <v>422</v>
      </c>
      <c r="B89" s="17" t="s">
        <v>423</v>
      </c>
      <c r="C89" s="18">
        <v>2010</v>
      </c>
      <c r="D89" s="18" t="s">
        <v>424</v>
      </c>
      <c r="E89" s="18" t="s">
        <v>425</v>
      </c>
      <c r="F89" s="19" t="s">
        <v>54</v>
      </c>
      <c r="G89" t="s">
        <v>7</v>
      </c>
      <c r="H89" t="s">
        <v>5</v>
      </c>
    </row>
    <row r="90" spans="1:10">
      <c r="A90" t="s">
        <v>426</v>
      </c>
      <c r="B90" s="17" t="s">
        <v>427</v>
      </c>
      <c r="C90" s="18">
        <v>2009</v>
      </c>
      <c r="D90" s="18" t="s">
        <v>428</v>
      </c>
      <c r="E90" s="18" t="s">
        <v>429</v>
      </c>
      <c r="F90" s="19" t="s">
        <v>91</v>
      </c>
      <c r="G90" t="s">
        <v>7</v>
      </c>
      <c r="H90" t="s">
        <v>5</v>
      </c>
    </row>
    <row r="91" spans="1:10">
      <c r="A91" t="s">
        <v>430</v>
      </c>
      <c r="B91" s="17" t="s">
        <v>431</v>
      </c>
      <c r="C91" s="18">
        <v>2014</v>
      </c>
      <c r="D91" s="18" t="s">
        <v>432</v>
      </c>
      <c r="E91" s="18" t="s">
        <v>433</v>
      </c>
      <c r="F91" s="19" t="s">
        <v>54</v>
      </c>
      <c r="G91" t="s">
        <v>7</v>
      </c>
      <c r="H91" t="s">
        <v>5</v>
      </c>
    </row>
    <row r="92" spans="1:10" hidden="1">
      <c r="A92" t="s">
        <v>434</v>
      </c>
      <c r="B92" s="17" t="s">
        <v>435</v>
      </c>
      <c r="C92" s="18">
        <v>2025</v>
      </c>
      <c r="D92" s="18" t="s">
        <v>436</v>
      </c>
      <c r="E92" s="18" t="s">
        <v>437</v>
      </c>
      <c r="F92" s="19" t="s">
        <v>44</v>
      </c>
      <c r="G92" t="s">
        <v>7</v>
      </c>
      <c r="H92" t="s">
        <v>9</v>
      </c>
      <c r="J92" t="s">
        <v>438</v>
      </c>
    </row>
    <row r="93" spans="1:10" hidden="1">
      <c r="A93" t="s">
        <v>439</v>
      </c>
      <c r="B93" s="17" t="s">
        <v>440</v>
      </c>
      <c r="C93" s="18">
        <v>2010</v>
      </c>
      <c r="D93" s="18" t="s">
        <v>441</v>
      </c>
      <c r="E93" s="18" t="s">
        <v>442</v>
      </c>
      <c r="F93" s="19" t="s">
        <v>194</v>
      </c>
      <c r="G93" t="s">
        <v>11</v>
      </c>
      <c r="H93" t="s">
        <v>9</v>
      </c>
      <c r="I93" t="s">
        <v>10</v>
      </c>
    </row>
    <row r="94" spans="1:10">
      <c r="A94" t="s">
        <v>443</v>
      </c>
      <c r="B94" s="17" t="s">
        <v>444</v>
      </c>
      <c r="C94" s="18">
        <v>2022</v>
      </c>
      <c r="D94" s="18" t="s">
        <v>445</v>
      </c>
      <c r="E94" s="18" t="s">
        <v>446</v>
      </c>
      <c r="F94" s="19" t="s">
        <v>54</v>
      </c>
      <c r="G94" t="s">
        <v>7</v>
      </c>
      <c r="H94" t="s">
        <v>5</v>
      </c>
    </row>
    <row r="95" spans="1:10" hidden="1">
      <c r="A95" t="s">
        <v>447</v>
      </c>
      <c r="B95" s="17" t="s">
        <v>448</v>
      </c>
      <c r="C95" s="18">
        <v>1995</v>
      </c>
      <c r="D95" s="18" t="s">
        <v>449</v>
      </c>
      <c r="E95" s="18" t="s">
        <v>450</v>
      </c>
      <c r="F95" s="19" t="s">
        <v>451</v>
      </c>
      <c r="G95" t="s">
        <v>11</v>
      </c>
      <c r="H95" t="s">
        <v>9</v>
      </c>
      <c r="I95" t="s">
        <v>6</v>
      </c>
    </row>
    <row r="96" spans="1:10" hidden="1">
      <c r="A96" t="s">
        <v>452</v>
      </c>
      <c r="B96" s="17" t="s">
        <v>453</v>
      </c>
      <c r="C96" s="18">
        <v>2010</v>
      </c>
      <c r="D96" s="18" t="s">
        <v>454</v>
      </c>
      <c r="E96" s="18" t="s">
        <v>455</v>
      </c>
      <c r="F96" s="19" t="s">
        <v>60</v>
      </c>
      <c r="G96" t="s">
        <v>11</v>
      </c>
      <c r="H96" t="s">
        <v>9</v>
      </c>
      <c r="I96" t="s">
        <v>10</v>
      </c>
    </row>
    <row r="97" spans="1:10" ht="36">
      <c r="A97" t="s">
        <v>456</v>
      </c>
      <c r="B97" s="17" t="s">
        <v>457</v>
      </c>
      <c r="C97" s="18">
        <v>2005</v>
      </c>
      <c r="D97" s="18" t="s">
        <v>458</v>
      </c>
      <c r="E97" s="18" t="s">
        <v>459</v>
      </c>
      <c r="F97" s="19" t="s">
        <v>33</v>
      </c>
      <c r="G97" t="s">
        <v>7</v>
      </c>
      <c r="H97" t="s">
        <v>5</v>
      </c>
    </row>
    <row r="98" spans="1:10" ht="36">
      <c r="A98" t="s">
        <v>460</v>
      </c>
      <c r="B98" s="17" t="s">
        <v>461</v>
      </c>
      <c r="C98" s="18">
        <v>2010</v>
      </c>
      <c r="D98" s="18" t="s">
        <v>462</v>
      </c>
      <c r="E98" s="18" t="s">
        <v>463</v>
      </c>
      <c r="F98" s="19" t="s">
        <v>464</v>
      </c>
      <c r="G98" t="s">
        <v>7</v>
      </c>
      <c r="H98" t="s">
        <v>5</v>
      </c>
    </row>
    <row r="99" spans="1:10">
      <c r="A99" t="s">
        <v>465</v>
      </c>
      <c r="B99" s="17" t="s">
        <v>466</v>
      </c>
      <c r="C99" s="18">
        <v>2013</v>
      </c>
      <c r="D99" s="18" t="s">
        <v>467</v>
      </c>
      <c r="E99" s="18" t="s">
        <v>468</v>
      </c>
      <c r="F99" s="19" t="s">
        <v>66</v>
      </c>
      <c r="G99" t="s">
        <v>7</v>
      </c>
      <c r="H99" t="s">
        <v>5</v>
      </c>
    </row>
    <row r="100" spans="1:10" hidden="1">
      <c r="A100" t="s">
        <v>469</v>
      </c>
      <c r="B100" s="17" t="s">
        <v>470</v>
      </c>
      <c r="C100" s="18">
        <v>2012</v>
      </c>
      <c r="D100" s="18" t="s">
        <v>471</v>
      </c>
      <c r="E100" s="18" t="s">
        <v>472</v>
      </c>
      <c r="F100" s="19" t="s">
        <v>54</v>
      </c>
      <c r="G100" t="s">
        <v>11</v>
      </c>
      <c r="H100" t="s">
        <v>9</v>
      </c>
      <c r="I100" t="s">
        <v>15</v>
      </c>
      <c r="J100" t="s">
        <v>473</v>
      </c>
    </row>
    <row r="101" spans="1:10">
      <c r="A101" t="s">
        <v>474</v>
      </c>
      <c r="B101" s="17" t="s">
        <v>475</v>
      </c>
      <c r="C101" s="18">
        <v>2009</v>
      </c>
      <c r="D101" s="18" t="s">
        <v>476</v>
      </c>
      <c r="E101" s="18" t="s">
        <v>477</v>
      </c>
      <c r="F101" s="19" t="s">
        <v>49</v>
      </c>
      <c r="G101" t="s">
        <v>7</v>
      </c>
      <c r="H101" t="s">
        <v>5</v>
      </c>
    </row>
    <row r="102" spans="1:10">
      <c r="A102" t="s">
        <v>478</v>
      </c>
      <c r="B102" s="17" t="s">
        <v>479</v>
      </c>
      <c r="C102" s="18">
        <v>2012</v>
      </c>
      <c r="D102" s="18" t="s">
        <v>480</v>
      </c>
      <c r="E102" s="18" t="s">
        <v>481</v>
      </c>
      <c r="F102" s="19" t="s">
        <v>66</v>
      </c>
      <c r="G102" t="s">
        <v>7</v>
      </c>
      <c r="H102" t="s">
        <v>5</v>
      </c>
    </row>
    <row r="103" spans="1:10" ht="36" hidden="1">
      <c r="A103" t="s">
        <v>482</v>
      </c>
      <c r="B103" s="17" t="s">
        <v>483</v>
      </c>
      <c r="C103" s="18">
        <v>1997</v>
      </c>
      <c r="D103" s="18" t="s">
        <v>484</v>
      </c>
      <c r="E103" s="18" t="s">
        <v>485</v>
      </c>
      <c r="F103" s="19" t="s">
        <v>33</v>
      </c>
      <c r="G103" t="s">
        <v>7</v>
      </c>
      <c r="H103" t="s">
        <v>9</v>
      </c>
      <c r="J103" t="s">
        <v>486</v>
      </c>
    </row>
    <row r="104" spans="1:10">
      <c r="A104" t="s">
        <v>487</v>
      </c>
      <c r="B104" s="17" t="s">
        <v>488</v>
      </c>
      <c r="C104" s="18">
        <v>2009</v>
      </c>
      <c r="D104" s="18" t="s">
        <v>489</v>
      </c>
      <c r="E104" s="18" t="s">
        <v>490</v>
      </c>
      <c r="F104" s="19" t="s">
        <v>194</v>
      </c>
      <c r="G104" t="s">
        <v>7</v>
      </c>
      <c r="H104" t="s">
        <v>5</v>
      </c>
    </row>
    <row r="105" spans="1:10" hidden="1">
      <c r="A105" t="s">
        <v>491</v>
      </c>
      <c r="B105" s="17" t="s">
        <v>492</v>
      </c>
      <c r="C105" s="18">
        <v>2015</v>
      </c>
      <c r="D105" s="18" t="s">
        <v>493</v>
      </c>
      <c r="E105" s="18" t="s">
        <v>494</v>
      </c>
      <c r="F105" s="19" t="s">
        <v>91</v>
      </c>
      <c r="G105" t="s">
        <v>7</v>
      </c>
      <c r="H105" s="31" t="s">
        <v>9</v>
      </c>
      <c r="I105" t="s">
        <v>13</v>
      </c>
    </row>
    <row r="106" spans="1:10" hidden="1">
      <c r="A106" t="s">
        <v>495</v>
      </c>
      <c r="B106" s="17" t="s">
        <v>496</v>
      </c>
      <c r="C106" s="18">
        <v>2001</v>
      </c>
      <c r="D106" s="18" t="s">
        <v>497</v>
      </c>
      <c r="E106" s="18" t="s">
        <v>498</v>
      </c>
      <c r="F106" s="19" t="s">
        <v>91</v>
      </c>
      <c r="G106" t="s">
        <v>7</v>
      </c>
      <c r="H106" s="31" t="s">
        <v>9</v>
      </c>
      <c r="I106" t="s">
        <v>13</v>
      </c>
    </row>
    <row r="107" spans="1:10" hidden="1">
      <c r="A107" t="s">
        <v>499</v>
      </c>
      <c r="B107" s="17" t="s">
        <v>500</v>
      </c>
      <c r="C107" s="18">
        <v>2009</v>
      </c>
      <c r="D107" s="18" t="s">
        <v>501</v>
      </c>
      <c r="E107" s="18" t="s">
        <v>502</v>
      </c>
      <c r="F107" s="19" t="s">
        <v>194</v>
      </c>
      <c r="G107" t="s">
        <v>11</v>
      </c>
      <c r="H107" t="s">
        <v>9</v>
      </c>
      <c r="I107" t="s">
        <v>15</v>
      </c>
      <c r="J107" t="s">
        <v>503</v>
      </c>
    </row>
    <row r="108" spans="1:10">
      <c r="A108" t="s">
        <v>504</v>
      </c>
      <c r="B108" s="17" t="s">
        <v>505</v>
      </c>
      <c r="C108" s="18">
        <v>2001</v>
      </c>
      <c r="D108" s="18" t="s">
        <v>506</v>
      </c>
      <c r="E108" s="18" t="s">
        <v>507</v>
      </c>
      <c r="F108" s="19" t="s">
        <v>77</v>
      </c>
      <c r="G108" t="s">
        <v>7</v>
      </c>
      <c r="H108" t="s">
        <v>5</v>
      </c>
    </row>
    <row r="109" spans="1:10">
      <c r="A109" t="s">
        <v>508</v>
      </c>
      <c r="B109" s="17" t="s">
        <v>509</v>
      </c>
      <c r="C109" s="18">
        <v>2020</v>
      </c>
      <c r="D109" s="18" t="s">
        <v>510</v>
      </c>
      <c r="E109" s="18" t="s">
        <v>511</v>
      </c>
      <c r="F109" s="19" t="s">
        <v>512</v>
      </c>
      <c r="G109" t="s">
        <v>7</v>
      </c>
      <c r="H109" t="s">
        <v>5</v>
      </c>
    </row>
    <row r="110" spans="1:10" hidden="1">
      <c r="A110" t="s">
        <v>513</v>
      </c>
      <c r="B110" s="17" t="s">
        <v>514</v>
      </c>
      <c r="C110" s="18">
        <v>2008</v>
      </c>
      <c r="D110" s="18" t="s">
        <v>515</v>
      </c>
      <c r="E110" s="18" t="s">
        <v>516</v>
      </c>
      <c r="F110" s="19" t="s">
        <v>194</v>
      </c>
      <c r="G110" t="s">
        <v>11</v>
      </c>
      <c r="H110" t="s">
        <v>9</v>
      </c>
      <c r="I110" t="s">
        <v>15</v>
      </c>
      <c r="J110" t="s">
        <v>517</v>
      </c>
    </row>
    <row r="111" spans="1:10">
      <c r="A111" t="s">
        <v>518</v>
      </c>
      <c r="B111" s="17" t="s">
        <v>519</v>
      </c>
      <c r="C111" s="18">
        <v>2009</v>
      </c>
      <c r="D111" s="18" t="s">
        <v>520</v>
      </c>
      <c r="E111" s="18" t="s">
        <v>521</v>
      </c>
      <c r="F111" s="19" t="s">
        <v>194</v>
      </c>
      <c r="G111" t="s">
        <v>7</v>
      </c>
      <c r="H111" t="s">
        <v>5</v>
      </c>
    </row>
    <row r="112" spans="1:10" hidden="1">
      <c r="A112" t="s">
        <v>522</v>
      </c>
      <c r="B112" s="17" t="s">
        <v>523</v>
      </c>
      <c r="C112" s="18">
        <v>2024</v>
      </c>
      <c r="D112" s="18" t="s">
        <v>524</v>
      </c>
      <c r="E112" s="18" t="s">
        <v>525</v>
      </c>
      <c r="F112" s="19" t="s">
        <v>60</v>
      </c>
    </row>
    <row r="113" spans="1:10">
      <c r="A113" t="s">
        <v>526</v>
      </c>
      <c r="B113" s="17" t="s">
        <v>527</v>
      </c>
      <c r="C113" s="18">
        <v>2024</v>
      </c>
      <c r="D113" s="18" t="s">
        <v>528</v>
      </c>
      <c r="E113" s="18" t="s">
        <v>529</v>
      </c>
      <c r="F113" s="19" t="s">
        <v>199</v>
      </c>
      <c r="G113" t="s">
        <v>7</v>
      </c>
      <c r="H113" t="s">
        <v>5</v>
      </c>
    </row>
    <row r="114" spans="1:10" hidden="1">
      <c r="A114" t="s">
        <v>530</v>
      </c>
      <c r="B114" s="17" t="s">
        <v>531</v>
      </c>
      <c r="C114" s="18">
        <v>2017</v>
      </c>
      <c r="D114" s="18" t="s">
        <v>532</v>
      </c>
      <c r="E114" s="18" t="s">
        <v>533</v>
      </c>
      <c r="F114" s="19" t="s">
        <v>54</v>
      </c>
      <c r="G114" t="s">
        <v>11</v>
      </c>
      <c r="H114" t="s">
        <v>9</v>
      </c>
      <c r="I114" t="s">
        <v>15</v>
      </c>
      <c r="J114" t="s">
        <v>534</v>
      </c>
    </row>
    <row r="115" spans="1:10">
      <c r="A115" t="s">
        <v>535</v>
      </c>
      <c r="B115" s="17" t="s">
        <v>536</v>
      </c>
      <c r="C115" s="18">
        <v>2018</v>
      </c>
      <c r="D115" s="18" t="s">
        <v>537</v>
      </c>
      <c r="E115" s="18" t="s">
        <v>538</v>
      </c>
      <c r="F115" s="19" t="s">
        <v>199</v>
      </c>
      <c r="G115" t="s">
        <v>7</v>
      </c>
      <c r="H115" t="s">
        <v>5</v>
      </c>
    </row>
    <row r="116" spans="1:10" ht="36" hidden="1">
      <c r="A116" t="s">
        <v>539</v>
      </c>
      <c r="B116" s="17" t="s">
        <v>540</v>
      </c>
      <c r="C116" s="18">
        <v>2013</v>
      </c>
      <c r="D116" s="18" t="s">
        <v>541</v>
      </c>
      <c r="E116" s="18" t="s">
        <v>542</v>
      </c>
      <c r="F116" s="19" t="s">
        <v>33</v>
      </c>
      <c r="G116" t="s">
        <v>7</v>
      </c>
      <c r="H116" s="31" t="s">
        <v>9</v>
      </c>
      <c r="I116" t="s">
        <v>13</v>
      </c>
    </row>
    <row r="117" spans="1:10" hidden="1">
      <c r="A117" t="s">
        <v>543</v>
      </c>
      <c r="B117" s="17" t="s">
        <v>544</v>
      </c>
      <c r="C117" s="18">
        <v>2005</v>
      </c>
      <c r="D117" s="18" t="s">
        <v>545</v>
      </c>
      <c r="E117" s="18" t="s">
        <v>546</v>
      </c>
      <c r="F117" s="19" t="s">
        <v>194</v>
      </c>
      <c r="G117" t="s">
        <v>7</v>
      </c>
      <c r="H117" t="s">
        <v>9</v>
      </c>
      <c r="I117" t="s">
        <v>13</v>
      </c>
    </row>
    <row r="118" spans="1:10" hidden="1">
      <c r="A118" t="s">
        <v>547</v>
      </c>
      <c r="B118" s="17" t="s">
        <v>548</v>
      </c>
      <c r="C118" s="18">
        <v>2009</v>
      </c>
      <c r="D118" s="18" t="s">
        <v>549</v>
      </c>
      <c r="E118" s="18" t="s">
        <v>550</v>
      </c>
      <c r="F118" s="19" t="s">
        <v>194</v>
      </c>
      <c r="G118" t="s">
        <v>7</v>
      </c>
      <c r="H118" t="s">
        <v>9</v>
      </c>
      <c r="I118" t="s">
        <v>6</v>
      </c>
    </row>
    <row r="119" spans="1:10" hidden="1">
      <c r="A119" t="s">
        <v>551</v>
      </c>
      <c r="B119" s="17" t="s">
        <v>552</v>
      </c>
      <c r="C119" s="18">
        <v>1993</v>
      </c>
      <c r="D119" s="18" t="s">
        <v>553</v>
      </c>
      <c r="E119" s="18" t="s">
        <v>554</v>
      </c>
      <c r="F119" s="19" t="s">
        <v>555</v>
      </c>
      <c r="G119" t="s">
        <v>7</v>
      </c>
      <c r="H119" t="s">
        <v>9</v>
      </c>
      <c r="I119" t="s">
        <v>6</v>
      </c>
    </row>
    <row r="120" spans="1:10">
      <c r="A120" t="s">
        <v>556</v>
      </c>
      <c r="B120" s="17" t="s">
        <v>557</v>
      </c>
      <c r="C120" s="18">
        <v>2012</v>
      </c>
      <c r="D120" s="18" t="s">
        <v>558</v>
      </c>
      <c r="E120" s="18" t="s">
        <v>559</v>
      </c>
      <c r="F120" s="19" t="s">
        <v>180</v>
      </c>
      <c r="G120" t="s">
        <v>7</v>
      </c>
      <c r="H120" t="s">
        <v>5</v>
      </c>
    </row>
    <row r="121" spans="1:10" hidden="1">
      <c r="A121" t="s">
        <v>560</v>
      </c>
      <c r="B121" s="17" t="s">
        <v>561</v>
      </c>
      <c r="C121" s="18">
        <v>2019</v>
      </c>
      <c r="D121" s="18" t="s">
        <v>562</v>
      </c>
      <c r="E121" s="18" t="s">
        <v>563</v>
      </c>
      <c r="F121" s="19" t="s">
        <v>54</v>
      </c>
      <c r="G121" t="s">
        <v>7</v>
      </c>
      <c r="H121" t="s">
        <v>9</v>
      </c>
      <c r="I121" t="s">
        <v>13</v>
      </c>
    </row>
    <row r="122" spans="1:10" hidden="1">
      <c r="A122" t="s">
        <v>564</v>
      </c>
      <c r="B122" s="17" t="s">
        <v>565</v>
      </c>
      <c r="C122" s="18">
        <v>2023</v>
      </c>
      <c r="D122" s="18" t="s">
        <v>566</v>
      </c>
      <c r="E122" s="18" t="s">
        <v>567</v>
      </c>
      <c r="F122" s="19" t="s">
        <v>66</v>
      </c>
      <c r="G122" t="s">
        <v>11</v>
      </c>
      <c r="H122" t="s">
        <v>9</v>
      </c>
      <c r="I122" t="s">
        <v>15</v>
      </c>
      <c r="J122" t="s">
        <v>534</v>
      </c>
    </row>
    <row r="123" spans="1:10" hidden="1">
      <c r="A123" t="s">
        <v>568</v>
      </c>
      <c r="B123" s="17" t="s">
        <v>569</v>
      </c>
      <c r="C123" s="18">
        <v>2020</v>
      </c>
      <c r="D123" s="18" t="s">
        <v>570</v>
      </c>
      <c r="E123" s="18" t="s">
        <v>571</v>
      </c>
      <c r="F123" s="19" t="s">
        <v>44</v>
      </c>
      <c r="G123" t="s">
        <v>7</v>
      </c>
      <c r="H123" t="s">
        <v>9</v>
      </c>
      <c r="I123" t="s">
        <v>15</v>
      </c>
      <c r="J123" t="s">
        <v>572</v>
      </c>
    </row>
    <row r="124" spans="1:10" hidden="1">
      <c r="A124" t="s">
        <v>573</v>
      </c>
      <c r="B124" s="17" t="s">
        <v>574</v>
      </c>
      <c r="C124" s="18">
        <v>2018</v>
      </c>
      <c r="D124" s="18" t="s">
        <v>575</v>
      </c>
      <c r="E124" s="18" t="s">
        <v>576</v>
      </c>
      <c r="F124" s="19" t="s">
        <v>328</v>
      </c>
      <c r="G124" t="s">
        <v>11</v>
      </c>
      <c r="H124" t="s">
        <v>9</v>
      </c>
      <c r="I124" t="s">
        <v>15</v>
      </c>
      <c r="J124" t="s">
        <v>577</v>
      </c>
    </row>
    <row r="125" spans="1:10">
      <c r="A125" t="s">
        <v>578</v>
      </c>
      <c r="B125" s="17" t="s">
        <v>579</v>
      </c>
      <c r="C125" s="18">
        <v>2024</v>
      </c>
      <c r="D125" s="18" t="s">
        <v>580</v>
      </c>
      <c r="E125" s="18" t="s">
        <v>581</v>
      </c>
      <c r="F125" s="19" t="s">
        <v>54</v>
      </c>
      <c r="G125" t="s">
        <v>7</v>
      </c>
      <c r="H125" t="s">
        <v>5</v>
      </c>
      <c r="J125" s="16"/>
    </row>
    <row r="126" spans="1:10" hidden="1">
      <c r="A126" t="s">
        <v>582</v>
      </c>
      <c r="B126" s="17" t="s">
        <v>583</v>
      </c>
      <c r="C126" s="18">
        <v>2019</v>
      </c>
      <c r="D126" s="18" t="s">
        <v>584</v>
      </c>
      <c r="E126" s="18" t="s">
        <v>585</v>
      </c>
      <c r="F126" s="19" t="s">
        <v>66</v>
      </c>
      <c r="G126" t="s">
        <v>11</v>
      </c>
      <c r="H126" t="s">
        <v>9</v>
      </c>
      <c r="I126" t="s">
        <v>15</v>
      </c>
      <c r="J126" t="s">
        <v>517</v>
      </c>
    </row>
    <row r="127" spans="1:10">
      <c r="A127" t="s">
        <v>586</v>
      </c>
      <c r="B127" s="17" t="s">
        <v>587</v>
      </c>
      <c r="C127" s="18">
        <v>2026</v>
      </c>
      <c r="D127" s="18" t="s">
        <v>588</v>
      </c>
      <c r="E127" s="18" t="s">
        <v>589</v>
      </c>
      <c r="F127" s="19" t="s">
        <v>180</v>
      </c>
      <c r="G127" t="s">
        <v>7</v>
      </c>
      <c r="H127" t="s">
        <v>5</v>
      </c>
    </row>
    <row r="128" spans="1:10" hidden="1">
      <c r="A128" t="s">
        <v>590</v>
      </c>
      <c r="B128" s="17" t="s">
        <v>591</v>
      </c>
      <c r="C128" s="18">
        <v>2023</v>
      </c>
      <c r="D128" s="18" t="s">
        <v>592</v>
      </c>
      <c r="E128" s="18" t="s">
        <v>593</v>
      </c>
      <c r="F128" s="19" t="s">
        <v>174</v>
      </c>
      <c r="G128" t="s">
        <v>11</v>
      </c>
      <c r="H128" t="s">
        <v>9</v>
      </c>
      <c r="I128" t="s">
        <v>15</v>
      </c>
      <c r="J128" t="s">
        <v>534</v>
      </c>
    </row>
    <row r="129" spans="1:10" hidden="1">
      <c r="A129" t="s">
        <v>594</v>
      </c>
      <c r="B129" s="17" t="s">
        <v>595</v>
      </c>
      <c r="C129" s="18">
        <v>2014</v>
      </c>
      <c r="D129" s="18" t="s">
        <v>596</v>
      </c>
      <c r="E129" s="18" t="s">
        <v>597</v>
      </c>
      <c r="F129" s="19" t="s">
        <v>60</v>
      </c>
      <c r="G129" t="s">
        <v>11</v>
      </c>
      <c r="H129" t="s">
        <v>9</v>
      </c>
      <c r="I129" t="s">
        <v>15</v>
      </c>
      <c r="J129" t="s">
        <v>534</v>
      </c>
    </row>
    <row r="130" spans="1:10" hidden="1">
      <c r="A130" t="s">
        <v>598</v>
      </c>
      <c r="B130" s="17" t="s">
        <v>599</v>
      </c>
      <c r="C130" s="18">
        <v>2021</v>
      </c>
      <c r="D130" s="18" t="s">
        <v>600</v>
      </c>
      <c r="E130" s="18" t="s">
        <v>601</v>
      </c>
      <c r="F130" s="19" t="s">
        <v>91</v>
      </c>
      <c r="G130" t="s">
        <v>11</v>
      </c>
      <c r="H130" t="s">
        <v>9</v>
      </c>
      <c r="I130" t="s">
        <v>15</v>
      </c>
      <c r="J130" t="s">
        <v>534</v>
      </c>
    </row>
    <row r="131" spans="1:10" hidden="1">
      <c r="A131" t="s">
        <v>602</v>
      </c>
      <c r="B131" s="17" t="s">
        <v>603</v>
      </c>
      <c r="C131" s="18">
        <v>2024</v>
      </c>
      <c r="D131" s="18" t="s">
        <v>604</v>
      </c>
      <c r="E131" s="18" t="s">
        <v>605</v>
      </c>
      <c r="F131" s="19" t="s">
        <v>60</v>
      </c>
      <c r="G131" t="s">
        <v>11</v>
      </c>
      <c r="H131" t="s">
        <v>9</v>
      </c>
      <c r="I131" t="s">
        <v>15</v>
      </c>
      <c r="J131" t="s">
        <v>534</v>
      </c>
    </row>
    <row r="132" spans="1:10" hidden="1">
      <c r="A132" t="s">
        <v>606</v>
      </c>
      <c r="B132" s="17" t="s">
        <v>607</v>
      </c>
      <c r="C132" s="18">
        <v>2016</v>
      </c>
      <c r="D132" s="18" t="s">
        <v>608</v>
      </c>
      <c r="E132" s="18" t="s">
        <v>609</v>
      </c>
      <c r="F132" s="19" t="s">
        <v>174</v>
      </c>
      <c r="G132" t="s">
        <v>11</v>
      </c>
      <c r="H132" t="s">
        <v>9</v>
      </c>
      <c r="I132" t="s">
        <v>15</v>
      </c>
      <c r="J132" t="s">
        <v>534</v>
      </c>
    </row>
    <row r="133" spans="1:10">
      <c r="A133" t="s">
        <v>610</v>
      </c>
      <c r="B133" s="17" t="s">
        <v>611</v>
      </c>
      <c r="C133" s="18">
        <v>2018</v>
      </c>
      <c r="D133" s="18" t="s">
        <v>612</v>
      </c>
      <c r="E133" s="18" t="s">
        <v>613</v>
      </c>
      <c r="F133" s="19" t="s">
        <v>328</v>
      </c>
      <c r="G133" t="s">
        <v>7</v>
      </c>
      <c r="H133" t="s">
        <v>5</v>
      </c>
    </row>
    <row r="134" spans="1:10">
      <c r="A134" t="s">
        <v>614</v>
      </c>
      <c r="B134" s="17" t="s">
        <v>615</v>
      </c>
      <c r="C134" s="18">
        <v>2023</v>
      </c>
      <c r="D134" s="18" t="s">
        <v>616</v>
      </c>
      <c r="E134" s="18" t="s">
        <v>617</v>
      </c>
      <c r="F134" s="19" t="s">
        <v>91</v>
      </c>
      <c r="G134" t="s">
        <v>7</v>
      </c>
      <c r="H134" t="s">
        <v>5</v>
      </c>
      <c r="J134" s="16"/>
    </row>
    <row r="135" spans="1:10">
      <c r="A135" t="s">
        <v>618</v>
      </c>
      <c r="B135" s="17" t="s">
        <v>619</v>
      </c>
      <c r="C135" s="18">
        <v>2016</v>
      </c>
      <c r="D135" s="18" t="s">
        <v>620</v>
      </c>
      <c r="E135" s="18" t="s">
        <v>621</v>
      </c>
      <c r="F135" s="19" t="s">
        <v>54</v>
      </c>
      <c r="G135" t="s">
        <v>7</v>
      </c>
      <c r="H135" t="s">
        <v>5</v>
      </c>
    </row>
    <row r="136" spans="1:10">
      <c r="A136" t="s">
        <v>622</v>
      </c>
      <c r="B136" s="17" t="s">
        <v>623</v>
      </c>
      <c r="C136" s="18">
        <v>2004</v>
      </c>
      <c r="D136" s="18" t="s">
        <v>624</v>
      </c>
      <c r="E136" s="18" t="s">
        <v>625</v>
      </c>
      <c r="F136" s="19" t="s">
        <v>328</v>
      </c>
      <c r="G136" t="s">
        <v>7</v>
      </c>
      <c r="H136" t="s">
        <v>5</v>
      </c>
    </row>
    <row r="137" spans="1:10" hidden="1">
      <c r="A137" t="s">
        <v>626</v>
      </c>
      <c r="B137" s="17" t="s">
        <v>627</v>
      </c>
      <c r="C137" s="18">
        <v>2023</v>
      </c>
      <c r="D137" s="18" t="s">
        <v>628</v>
      </c>
      <c r="E137" s="18" t="s">
        <v>629</v>
      </c>
      <c r="F137" s="19" t="s">
        <v>54</v>
      </c>
      <c r="G137" t="s">
        <v>11</v>
      </c>
      <c r="H137" t="s">
        <v>9</v>
      </c>
      <c r="I137" t="s">
        <v>15</v>
      </c>
      <c r="J137" t="s">
        <v>534</v>
      </c>
    </row>
    <row r="138" spans="1:10" hidden="1">
      <c r="A138" t="s">
        <v>630</v>
      </c>
      <c r="B138" s="17" t="s">
        <v>631</v>
      </c>
      <c r="C138" s="18">
        <v>2026</v>
      </c>
      <c r="D138" s="18" t="s">
        <v>632</v>
      </c>
      <c r="E138" s="18" t="s">
        <v>633</v>
      </c>
      <c r="F138" s="19" t="s">
        <v>44</v>
      </c>
      <c r="G138" t="s">
        <v>7</v>
      </c>
      <c r="H138" t="s">
        <v>9</v>
      </c>
      <c r="I138" t="s">
        <v>6</v>
      </c>
    </row>
    <row r="139" spans="1:10">
      <c r="A139" t="s">
        <v>634</v>
      </c>
      <c r="B139" s="17" t="s">
        <v>635</v>
      </c>
      <c r="C139" s="18">
        <v>2024</v>
      </c>
      <c r="D139" s="18" t="s">
        <v>636</v>
      </c>
      <c r="E139" s="18" t="s">
        <v>637</v>
      </c>
      <c r="F139" s="19" t="s">
        <v>66</v>
      </c>
      <c r="G139" t="s">
        <v>7</v>
      </c>
      <c r="H139" t="s">
        <v>5</v>
      </c>
    </row>
    <row r="140" spans="1:10" hidden="1">
      <c r="A140" t="s">
        <v>638</v>
      </c>
      <c r="B140" s="17" t="s">
        <v>639</v>
      </c>
      <c r="C140" s="18">
        <v>2018</v>
      </c>
      <c r="D140" s="18" t="s">
        <v>640</v>
      </c>
      <c r="E140" s="18" t="s">
        <v>641</v>
      </c>
      <c r="F140" s="19" t="s">
        <v>642</v>
      </c>
      <c r="G140" t="s">
        <v>11</v>
      </c>
      <c r="H140" t="s">
        <v>9</v>
      </c>
      <c r="I140" t="s">
        <v>15</v>
      </c>
      <c r="J140" t="s">
        <v>643</v>
      </c>
    </row>
    <row r="141" spans="1:10">
      <c r="A141" t="s">
        <v>644</v>
      </c>
      <c r="B141" s="17" t="s">
        <v>645</v>
      </c>
      <c r="C141" s="18">
        <v>2017</v>
      </c>
      <c r="D141" s="18" t="s">
        <v>646</v>
      </c>
      <c r="E141" s="18" t="s">
        <v>647</v>
      </c>
      <c r="F141" s="19" t="s">
        <v>54</v>
      </c>
      <c r="G141" t="s">
        <v>7</v>
      </c>
      <c r="H141" t="s">
        <v>5</v>
      </c>
    </row>
    <row r="142" spans="1:10" hidden="1">
      <c r="A142" t="s">
        <v>648</v>
      </c>
      <c r="B142" s="17" t="s">
        <v>649</v>
      </c>
      <c r="C142" s="18">
        <v>2010</v>
      </c>
      <c r="D142" s="18" t="s">
        <v>650</v>
      </c>
      <c r="E142" s="18" t="s">
        <v>651</v>
      </c>
      <c r="F142" s="19" t="s">
        <v>652</v>
      </c>
      <c r="G142" t="s">
        <v>11</v>
      </c>
      <c r="H142" t="s">
        <v>9</v>
      </c>
      <c r="I142" t="s">
        <v>15</v>
      </c>
      <c r="J142" t="s">
        <v>534</v>
      </c>
    </row>
    <row r="143" spans="1:10" hidden="1">
      <c r="A143" t="s">
        <v>653</v>
      </c>
      <c r="B143" s="17" t="s">
        <v>654</v>
      </c>
      <c r="C143" s="18">
        <v>2013</v>
      </c>
      <c r="D143" s="18" t="s">
        <v>655</v>
      </c>
      <c r="E143" s="18" t="s">
        <v>656</v>
      </c>
      <c r="F143" s="19" t="s">
        <v>91</v>
      </c>
      <c r="G143" t="s">
        <v>11</v>
      </c>
      <c r="H143" t="s">
        <v>9</v>
      </c>
      <c r="I143" t="s">
        <v>15</v>
      </c>
      <c r="J143" t="s">
        <v>657</v>
      </c>
    </row>
    <row r="144" spans="1:10">
      <c r="A144" t="s">
        <v>658</v>
      </c>
      <c r="B144" s="17" t="s">
        <v>659</v>
      </c>
      <c r="C144" s="18">
        <v>2007</v>
      </c>
      <c r="D144" s="18" t="s">
        <v>660</v>
      </c>
      <c r="E144" s="18" t="s">
        <v>661</v>
      </c>
      <c r="F144" s="19" t="s">
        <v>194</v>
      </c>
      <c r="G144" t="s">
        <v>7</v>
      </c>
      <c r="H144" t="s">
        <v>5</v>
      </c>
    </row>
    <row r="145" spans="1:10">
      <c r="A145" t="s">
        <v>662</v>
      </c>
      <c r="B145" s="17" t="s">
        <v>663</v>
      </c>
      <c r="C145" s="18">
        <v>2023</v>
      </c>
      <c r="D145" s="18" t="s">
        <v>664</v>
      </c>
      <c r="E145" s="18" t="s">
        <v>665</v>
      </c>
      <c r="F145" s="19" t="s">
        <v>91</v>
      </c>
      <c r="G145" t="s">
        <v>7</v>
      </c>
      <c r="H145" t="s">
        <v>5</v>
      </c>
    </row>
    <row r="146" spans="1:10" hidden="1">
      <c r="A146" t="s">
        <v>666</v>
      </c>
      <c r="B146" s="17" t="s">
        <v>667</v>
      </c>
      <c r="C146" s="18">
        <v>2020</v>
      </c>
      <c r="D146" s="18" t="s">
        <v>668</v>
      </c>
      <c r="E146" s="18" t="s">
        <v>669</v>
      </c>
      <c r="F146" s="19" t="s">
        <v>54</v>
      </c>
      <c r="G146" t="s">
        <v>7</v>
      </c>
      <c r="H146" t="s">
        <v>9</v>
      </c>
      <c r="I146" t="s">
        <v>6</v>
      </c>
    </row>
    <row r="147" spans="1:10">
      <c r="A147" t="s">
        <v>670</v>
      </c>
      <c r="B147" s="17" t="s">
        <v>671</v>
      </c>
      <c r="C147" s="18">
        <v>2015</v>
      </c>
      <c r="D147" s="18" t="s">
        <v>672</v>
      </c>
      <c r="E147" s="18" t="s">
        <v>673</v>
      </c>
      <c r="F147" s="19" t="s">
        <v>66</v>
      </c>
      <c r="G147" t="s">
        <v>7</v>
      </c>
      <c r="H147" t="s">
        <v>5</v>
      </c>
    </row>
    <row r="148" spans="1:10" hidden="1">
      <c r="A148" t="s">
        <v>674</v>
      </c>
      <c r="B148" s="17" t="s">
        <v>675</v>
      </c>
      <c r="C148" s="18">
        <v>2011</v>
      </c>
      <c r="D148" s="18" t="s">
        <v>676</v>
      </c>
      <c r="E148" s="18" t="s">
        <v>677</v>
      </c>
      <c r="F148" s="19" t="s">
        <v>44</v>
      </c>
      <c r="G148" t="s">
        <v>7</v>
      </c>
      <c r="H148" t="s">
        <v>9</v>
      </c>
      <c r="I148" t="s">
        <v>6</v>
      </c>
    </row>
    <row r="149" spans="1:10" hidden="1">
      <c r="A149" t="s">
        <v>678</v>
      </c>
      <c r="B149" s="17" t="s">
        <v>679</v>
      </c>
      <c r="C149" s="18">
        <v>2018</v>
      </c>
      <c r="D149" s="18" t="s">
        <v>680</v>
      </c>
      <c r="E149" s="18" t="s">
        <v>681</v>
      </c>
      <c r="F149" s="19" t="s">
        <v>66</v>
      </c>
      <c r="G149" t="s">
        <v>11</v>
      </c>
      <c r="H149" t="s">
        <v>9</v>
      </c>
      <c r="I149" t="s">
        <v>15</v>
      </c>
      <c r="J149" t="s">
        <v>577</v>
      </c>
    </row>
    <row r="150" spans="1:10" hidden="1">
      <c r="A150" t="s">
        <v>682</v>
      </c>
      <c r="B150" s="17" t="s">
        <v>683</v>
      </c>
      <c r="C150" s="18">
        <v>2025</v>
      </c>
      <c r="D150" s="18" t="s">
        <v>684</v>
      </c>
      <c r="E150" s="18" t="s">
        <v>685</v>
      </c>
      <c r="F150" s="19" t="s">
        <v>60</v>
      </c>
      <c r="G150" t="s">
        <v>7</v>
      </c>
      <c r="H150" t="s">
        <v>9</v>
      </c>
      <c r="I150" t="s">
        <v>15</v>
      </c>
      <c r="J150" t="s">
        <v>686</v>
      </c>
    </row>
    <row r="151" spans="1:10" hidden="1">
      <c r="A151" t="s">
        <v>687</v>
      </c>
      <c r="B151" s="17" t="s">
        <v>688</v>
      </c>
      <c r="C151" s="18">
        <v>2025</v>
      </c>
      <c r="D151" s="18" t="s">
        <v>689</v>
      </c>
      <c r="E151" s="18" t="s">
        <v>690</v>
      </c>
      <c r="F151" s="19" t="s">
        <v>39</v>
      </c>
      <c r="G151" t="s">
        <v>7</v>
      </c>
      <c r="H151" t="s">
        <v>9</v>
      </c>
      <c r="I151" t="s">
        <v>13</v>
      </c>
    </row>
    <row r="152" spans="1:10" hidden="1">
      <c r="A152" t="s">
        <v>691</v>
      </c>
      <c r="B152" s="17" t="s">
        <v>692</v>
      </c>
      <c r="C152" s="18">
        <v>2010</v>
      </c>
      <c r="D152" s="18" t="s">
        <v>693</v>
      </c>
      <c r="E152" s="18" t="s">
        <v>694</v>
      </c>
      <c r="F152" s="19" t="s">
        <v>54</v>
      </c>
      <c r="G152" t="s">
        <v>11</v>
      </c>
      <c r="H152" t="s">
        <v>9</v>
      </c>
      <c r="I152" t="s">
        <v>15</v>
      </c>
      <c r="J152" t="s">
        <v>517</v>
      </c>
    </row>
    <row r="153" spans="1:10">
      <c r="A153" t="s">
        <v>695</v>
      </c>
      <c r="B153" s="17" t="s">
        <v>696</v>
      </c>
      <c r="C153" s="18">
        <v>2007</v>
      </c>
      <c r="D153" s="18" t="s">
        <v>697</v>
      </c>
      <c r="E153" s="18" t="s">
        <v>698</v>
      </c>
      <c r="F153" s="19" t="s">
        <v>699</v>
      </c>
      <c r="G153" t="s">
        <v>7</v>
      </c>
      <c r="H153" t="s">
        <v>5</v>
      </c>
    </row>
    <row r="154" spans="1:10" hidden="1">
      <c r="A154" t="s">
        <v>700</v>
      </c>
      <c r="B154" s="17" t="s">
        <v>701</v>
      </c>
      <c r="C154" s="18">
        <v>2000</v>
      </c>
      <c r="D154" s="18" t="s">
        <v>702</v>
      </c>
      <c r="E154" s="18" t="s">
        <v>703</v>
      </c>
      <c r="F154" s="19" t="s">
        <v>399</v>
      </c>
      <c r="G154" t="s">
        <v>7</v>
      </c>
      <c r="H154" t="s">
        <v>9</v>
      </c>
      <c r="I154" t="s">
        <v>13</v>
      </c>
      <c r="J154" t="s">
        <v>704</v>
      </c>
    </row>
    <row r="155" spans="1:10" ht="36">
      <c r="A155" t="s">
        <v>705</v>
      </c>
      <c r="B155" s="17" t="s">
        <v>706</v>
      </c>
      <c r="C155" s="18">
        <v>2013</v>
      </c>
      <c r="D155" s="18" t="s">
        <v>707</v>
      </c>
      <c r="E155" s="18" t="s">
        <v>708</v>
      </c>
      <c r="F155" s="19" t="s">
        <v>33</v>
      </c>
      <c r="G155" t="s">
        <v>7</v>
      </c>
      <c r="H155" t="s">
        <v>5</v>
      </c>
    </row>
    <row r="156" spans="1:10" hidden="1">
      <c r="A156" t="s">
        <v>709</v>
      </c>
      <c r="B156" s="17" t="s">
        <v>710</v>
      </c>
      <c r="C156" s="18">
        <v>2020</v>
      </c>
      <c r="D156" s="18" t="s">
        <v>711</v>
      </c>
      <c r="E156" s="18" t="s">
        <v>712</v>
      </c>
      <c r="F156" s="19" t="s">
        <v>642</v>
      </c>
      <c r="G156" t="s">
        <v>7</v>
      </c>
      <c r="H156" t="s">
        <v>9</v>
      </c>
      <c r="I156" t="s">
        <v>6</v>
      </c>
    </row>
    <row r="157" spans="1:10">
      <c r="A157" t="s">
        <v>713</v>
      </c>
      <c r="B157" s="17" t="s">
        <v>714</v>
      </c>
      <c r="C157" s="18">
        <v>2013</v>
      </c>
      <c r="D157" s="18" t="s">
        <v>715</v>
      </c>
      <c r="E157" s="18" t="s">
        <v>716</v>
      </c>
      <c r="F157" s="19" t="s">
        <v>44</v>
      </c>
      <c r="G157" t="s">
        <v>7</v>
      </c>
      <c r="H157" t="s">
        <v>5</v>
      </c>
    </row>
    <row r="158" spans="1:10">
      <c r="A158" t="s">
        <v>717</v>
      </c>
      <c r="B158" s="17" t="s">
        <v>718</v>
      </c>
      <c r="C158" s="18">
        <v>2011</v>
      </c>
      <c r="D158" s="18" t="s">
        <v>719</v>
      </c>
      <c r="E158" s="18" t="s">
        <v>720</v>
      </c>
      <c r="F158" s="19" t="s">
        <v>91</v>
      </c>
      <c r="G158" t="s">
        <v>7</v>
      </c>
      <c r="H158" t="s">
        <v>5</v>
      </c>
    </row>
    <row r="159" spans="1:10">
      <c r="A159" t="s">
        <v>721</v>
      </c>
      <c r="B159" s="17" t="s">
        <v>722</v>
      </c>
      <c r="C159" s="18">
        <v>2013</v>
      </c>
      <c r="D159" s="18" t="s">
        <v>723</v>
      </c>
      <c r="E159" s="18" t="s">
        <v>724</v>
      </c>
      <c r="F159" s="19" t="s">
        <v>91</v>
      </c>
      <c r="G159" t="s">
        <v>7</v>
      </c>
      <c r="H159" t="s">
        <v>5</v>
      </c>
    </row>
    <row r="160" spans="1:10" hidden="1">
      <c r="A160" t="s">
        <v>725</v>
      </c>
      <c r="B160" s="17" t="s">
        <v>726</v>
      </c>
      <c r="C160" s="18">
        <v>2020</v>
      </c>
      <c r="D160" s="18" t="s">
        <v>727</v>
      </c>
      <c r="E160" s="18" t="s">
        <v>728</v>
      </c>
      <c r="F160" s="19" t="s">
        <v>44</v>
      </c>
      <c r="G160" t="s">
        <v>11</v>
      </c>
      <c r="H160" t="s">
        <v>9</v>
      </c>
      <c r="I160" t="s">
        <v>15</v>
      </c>
      <c r="J160" t="s">
        <v>577</v>
      </c>
    </row>
    <row r="161" spans="1:10" hidden="1">
      <c r="A161" t="s">
        <v>729</v>
      </c>
      <c r="B161" s="17" t="s">
        <v>730</v>
      </c>
      <c r="C161" s="18">
        <v>2020</v>
      </c>
      <c r="D161" s="18" t="s">
        <v>731</v>
      </c>
      <c r="E161" s="18" t="s">
        <v>732</v>
      </c>
      <c r="F161" s="19" t="s">
        <v>66</v>
      </c>
      <c r="G161" t="s">
        <v>11</v>
      </c>
      <c r="H161" t="s">
        <v>9</v>
      </c>
      <c r="I161" t="s">
        <v>15</v>
      </c>
      <c r="J161" t="s">
        <v>577</v>
      </c>
    </row>
    <row r="162" spans="1:10">
      <c r="A162" t="s">
        <v>733</v>
      </c>
      <c r="B162" s="17" t="s">
        <v>734</v>
      </c>
      <c r="C162" s="18">
        <v>2009</v>
      </c>
      <c r="D162" s="18" t="s">
        <v>735</v>
      </c>
      <c r="E162" s="18" t="s">
        <v>736</v>
      </c>
      <c r="F162" s="19" t="s">
        <v>44</v>
      </c>
      <c r="G162" t="s">
        <v>7</v>
      </c>
      <c r="H162" t="s">
        <v>5</v>
      </c>
    </row>
    <row r="163" spans="1:10" hidden="1">
      <c r="A163" t="s">
        <v>737</v>
      </c>
      <c r="B163" s="17" t="s">
        <v>738</v>
      </c>
      <c r="C163" s="18">
        <v>1992</v>
      </c>
      <c r="D163" s="18" t="s">
        <v>739</v>
      </c>
      <c r="E163" s="18" t="s">
        <v>740</v>
      </c>
      <c r="F163" s="19" t="s">
        <v>555</v>
      </c>
      <c r="G163" t="s">
        <v>7</v>
      </c>
      <c r="H163" t="s">
        <v>9</v>
      </c>
      <c r="I163" t="s">
        <v>6</v>
      </c>
    </row>
    <row r="164" spans="1:10" ht="36">
      <c r="A164" t="s">
        <v>741</v>
      </c>
      <c r="B164" s="17" t="s">
        <v>742</v>
      </c>
      <c r="C164" s="18">
        <v>2007</v>
      </c>
      <c r="D164" s="18" t="s">
        <v>743</v>
      </c>
      <c r="E164" s="18" t="s">
        <v>744</v>
      </c>
      <c r="F164" s="19" t="s">
        <v>33</v>
      </c>
      <c r="G164" t="s">
        <v>7</v>
      </c>
      <c r="H164" t="s">
        <v>5</v>
      </c>
    </row>
    <row r="165" spans="1:10" hidden="1">
      <c r="A165" t="s">
        <v>745</v>
      </c>
      <c r="B165" s="17" t="s">
        <v>746</v>
      </c>
      <c r="C165" s="18">
        <v>2019</v>
      </c>
      <c r="D165" s="18" t="s">
        <v>747</v>
      </c>
      <c r="E165" s="18" t="s">
        <v>748</v>
      </c>
      <c r="F165" s="19" t="s">
        <v>54</v>
      </c>
      <c r="G165" t="s">
        <v>7</v>
      </c>
      <c r="H165" t="s">
        <v>9</v>
      </c>
      <c r="I165" t="s">
        <v>6</v>
      </c>
    </row>
    <row r="166" spans="1:10">
      <c r="A166" t="s">
        <v>749</v>
      </c>
      <c r="B166" s="17" t="s">
        <v>750</v>
      </c>
      <c r="C166" s="18">
        <v>2007</v>
      </c>
      <c r="D166" s="18" t="s">
        <v>751</v>
      </c>
      <c r="E166" s="18" t="s">
        <v>752</v>
      </c>
      <c r="F166" s="19" t="s">
        <v>328</v>
      </c>
      <c r="G166" t="s">
        <v>7</v>
      </c>
      <c r="H166" t="s">
        <v>5</v>
      </c>
    </row>
    <row r="167" spans="1:10">
      <c r="A167" t="s">
        <v>753</v>
      </c>
      <c r="B167" s="17" t="s">
        <v>750</v>
      </c>
      <c r="C167" s="18">
        <v>2009</v>
      </c>
      <c r="D167" s="18" t="s">
        <v>754</v>
      </c>
      <c r="E167" s="18" t="s">
        <v>755</v>
      </c>
      <c r="F167" s="19" t="s">
        <v>328</v>
      </c>
      <c r="G167" t="s">
        <v>7</v>
      </c>
      <c r="H167" t="s">
        <v>5</v>
      </c>
    </row>
    <row r="168" spans="1:10">
      <c r="A168" t="s">
        <v>756</v>
      </c>
      <c r="B168" s="17" t="s">
        <v>757</v>
      </c>
      <c r="C168" s="18">
        <v>2016</v>
      </c>
      <c r="D168" s="18" t="s">
        <v>758</v>
      </c>
      <c r="E168" s="18" t="s">
        <v>759</v>
      </c>
      <c r="F168" s="19" t="s">
        <v>54</v>
      </c>
      <c r="G168" t="s">
        <v>7</v>
      </c>
      <c r="H168" t="s">
        <v>5</v>
      </c>
    </row>
    <row r="169" spans="1:10" hidden="1">
      <c r="A169" t="s">
        <v>760</v>
      </c>
      <c r="B169" s="17" t="s">
        <v>761</v>
      </c>
      <c r="C169" s="18">
        <v>1995</v>
      </c>
      <c r="D169" s="18" t="s">
        <v>762</v>
      </c>
      <c r="E169" s="18" t="s">
        <v>763</v>
      </c>
      <c r="F169" s="19" t="s">
        <v>328</v>
      </c>
      <c r="G169" t="s">
        <v>11</v>
      </c>
      <c r="H169" t="s">
        <v>9</v>
      </c>
      <c r="I169" t="s">
        <v>15</v>
      </c>
      <c r="J169" t="s">
        <v>764</v>
      </c>
    </row>
    <row r="170" spans="1:10">
      <c r="A170" t="s">
        <v>765</v>
      </c>
      <c r="B170" s="17" t="s">
        <v>475</v>
      </c>
      <c r="C170" s="18">
        <v>2012</v>
      </c>
      <c r="D170" s="18" t="s">
        <v>766</v>
      </c>
      <c r="E170" s="18" t="s">
        <v>767</v>
      </c>
      <c r="F170" s="19" t="s">
        <v>49</v>
      </c>
      <c r="G170" t="s">
        <v>7</v>
      </c>
      <c r="H170" t="s">
        <v>5</v>
      </c>
    </row>
    <row r="171" spans="1:10">
      <c r="A171" t="s">
        <v>768</v>
      </c>
      <c r="B171" s="17" t="s">
        <v>769</v>
      </c>
      <c r="C171" s="18">
        <v>2012</v>
      </c>
      <c r="D171" s="18" t="s">
        <v>770</v>
      </c>
      <c r="E171" s="18" t="s">
        <v>771</v>
      </c>
      <c r="F171" s="19" t="s">
        <v>66</v>
      </c>
      <c r="G171" t="s">
        <v>7</v>
      </c>
      <c r="H171" t="s">
        <v>5</v>
      </c>
    </row>
    <row r="172" spans="1:10" hidden="1">
      <c r="A172" t="s">
        <v>772</v>
      </c>
      <c r="B172" s="17" t="s">
        <v>773</v>
      </c>
      <c r="C172" s="18">
        <v>1997</v>
      </c>
      <c r="D172" s="18" t="s">
        <v>774</v>
      </c>
      <c r="E172" s="18" t="s">
        <v>775</v>
      </c>
      <c r="F172" s="19" t="s">
        <v>91</v>
      </c>
      <c r="G172" t="s">
        <v>7</v>
      </c>
      <c r="H172" t="s">
        <v>9</v>
      </c>
      <c r="I172" t="s">
        <v>13</v>
      </c>
    </row>
    <row r="173" spans="1:10">
      <c r="A173" t="s">
        <v>776</v>
      </c>
      <c r="B173" s="17" t="s">
        <v>777</v>
      </c>
      <c r="C173" s="18">
        <v>2005</v>
      </c>
      <c r="D173" s="18" t="s">
        <v>778</v>
      </c>
      <c r="E173" s="18" t="s">
        <v>779</v>
      </c>
      <c r="F173" s="19" t="s">
        <v>199</v>
      </c>
      <c r="G173" t="s">
        <v>7</v>
      </c>
      <c r="H173" t="s">
        <v>5</v>
      </c>
    </row>
    <row r="174" spans="1:10">
      <c r="A174" t="s">
        <v>780</v>
      </c>
      <c r="B174" s="17" t="s">
        <v>781</v>
      </c>
      <c r="C174" s="18">
        <v>2004</v>
      </c>
      <c r="D174" s="18" t="s">
        <v>782</v>
      </c>
      <c r="E174" s="18" t="s">
        <v>783</v>
      </c>
      <c r="F174" s="19" t="s">
        <v>91</v>
      </c>
      <c r="G174" t="s">
        <v>7</v>
      </c>
      <c r="H174" t="s">
        <v>5</v>
      </c>
    </row>
    <row r="175" spans="1:10">
      <c r="A175" t="s">
        <v>784</v>
      </c>
      <c r="B175" s="17" t="s">
        <v>785</v>
      </c>
      <c r="C175" s="18">
        <v>2008</v>
      </c>
      <c r="D175" s="18" t="s">
        <v>786</v>
      </c>
      <c r="E175" s="18" t="s">
        <v>787</v>
      </c>
      <c r="F175" s="19" t="s">
        <v>174</v>
      </c>
      <c r="G175" t="s">
        <v>7</v>
      </c>
      <c r="H175" t="s">
        <v>5</v>
      </c>
    </row>
    <row r="176" spans="1:10">
      <c r="A176" t="s">
        <v>788</v>
      </c>
      <c r="B176" s="17" t="s">
        <v>789</v>
      </c>
      <c r="C176" s="18">
        <v>2025</v>
      </c>
      <c r="D176" s="18" t="s">
        <v>790</v>
      </c>
      <c r="E176" s="18" t="s">
        <v>791</v>
      </c>
      <c r="F176" s="19" t="s">
        <v>60</v>
      </c>
      <c r="G176" t="s">
        <v>7</v>
      </c>
      <c r="H176" t="s">
        <v>5</v>
      </c>
    </row>
    <row r="177" spans="1:10">
      <c r="A177" t="s">
        <v>792</v>
      </c>
      <c r="B177" s="17" t="s">
        <v>793</v>
      </c>
      <c r="C177" s="18">
        <v>2009</v>
      </c>
      <c r="D177" s="18" t="s">
        <v>794</v>
      </c>
      <c r="E177" s="18" t="s">
        <v>795</v>
      </c>
      <c r="F177" s="19" t="s">
        <v>194</v>
      </c>
      <c r="G177" t="s">
        <v>7</v>
      </c>
      <c r="H177" t="s">
        <v>5</v>
      </c>
    </row>
    <row r="178" spans="1:10">
      <c r="A178" t="s">
        <v>796</v>
      </c>
      <c r="B178" s="17" t="s">
        <v>797</v>
      </c>
      <c r="C178" s="18">
        <v>2021</v>
      </c>
      <c r="D178" s="18" t="s">
        <v>798</v>
      </c>
      <c r="E178" s="18" t="s">
        <v>799</v>
      </c>
      <c r="F178" s="19" t="s">
        <v>800</v>
      </c>
      <c r="G178" t="s">
        <v>7</v>
      </c>
      <c r="H178" t="s">
        <v>5</v>
      </c>
    </row>
    <row r="179" spans="1:10">
      <c r="A179" t="s">
        <v>801</v>
      </c>
      <c r="B179" s="17" t="s">
        <v>802</v>
      </c>
      <c r="C179" s="18">
        <v>2020</v>
      </c>
      <c r="D179" s="18" t="s">
        <v>803</v>
      </c>
      <c r="E179" s="18" t="s">
        <v>804</v>
      </c>
      <c r="F179" s="19" t="s">
        <v>44</v>
      </c>
      <c r="G179" t="s">
        <v>7</v>
      </c>
      <c r="H179" t="s">
        <v>5</v>
      </c>
    </row>
    <row r="180" spans="1:10" hidden="1">
      <c r="A180" t="s">
        <v>805</v>
      </c>
      <c r="B180" s="17" t="s">
        <v>806</v>
      </c>
      <c r="C180" s="18">
        <v>1999</v>
      </c>
      <c r="D180" s="18" t="s">
        <v>807</v>
      </c>
      <c r="E180" s="18" t="s">
        <v>808</v>
      </c>
      <c r="F180" s="19" t="s">
        <v>328</v>
      </c>
      <c r="G180" t="s">
        <v>7</v>
      </c>
      <c r="H180" t="s">
        <v>9</v>
      </c>
      <c r="I180" t="s">
        <v>15</v>
      </c>
      <c r="J180" t="s">
        <v>517</v>
      </c>
    </row>
    <row r="181" spans="1:10" ht="36">
      <c r="A181" t="s">
        <v>809</v>
      </c>
      <c r="B181" s="17" t="s">
        <v>810</v>
      </c>
      <c r="C181" s="18">
        <v>2012</v>
      </c>
      <c r="D181" s="18" t="s">
        <v>811</v>
      </c>
      <c r="E181" s="18" t="s">
        <v>812</v>
      </c>
      <c r="F181" s="19" t="s">
        <v>33</v>
      </c>
      <c r="G181" t="s">
        <v>7</v>
      </c>
      <c r="H181" t="s">
        <v>5</v>
      </c>
    </row>
    <row r="182" spans="1:10" hidden="1">
      <c r="A182" t="s">
        <v>813</v>
      </c>
      <c r="B182" s="17" t="s">
        <v>814</v>
      </c>
      <c r="C182" s="18">
        <v>2006</v>
      </c>
      <c r="D182" s="18" t="s">
        <v>815</v>
      </c>
      <c r="E182" s="18" t="s">
        <v>816</v>
      </c>
      <c r="F182" s="19" t="s">
        <v>91</v>
      </c>
      <c r="G182" t="s">
        <v>11</v>
      </c>
      <c r="H182" t="s">
        <v>9</v>
      </c>
      <c r="I182" t="s">
        <v>15</v>
      </c>
      <c r="J182" t="s">
        <v>577</v>
      </c>
    </row>
    <row r="183" spans="1:10">
      <c r="A183" t="s">
        <v>817</v>
      </c>
      <c r="B183" s="17" t="s">
        <v>818</v>
      </c>
      <c r="C183" s="18">
        <v>1999</v>
      </c>
      <c r="D183" s="18" t="s">
        <v>819</v>
      </c>
      <c r="E183" s="18" t="s">
        <v>820</v>
      </c>
      <c r="F183" s="19" t="s">
        <v>821</v>
      </c>
      <c r="G183" t="s">
        <v>7</v>
      </c>
      <c r="H183" t="s">
        <v>5</v>
      </c>
    </row>
    <row r="184" spans="1:10" hidden="1">
      <c r="A184" t="s">
        <v>822</v>
      </c>
      <c r="B184" s="17" t="s">
        <v>823</v>
      </c>
      <c r="C184" s="18">
        <v>2020</v>
      </c>
      <c r="D184" s="18" t="s">
        <v>824</v>
      </c>
      <c r="E184" s="18" t="s">
        <v>825</v>
      </c>
      <c r="F184" s="19" t="s">
        <v>60</v>
      </c>
      <c r="G184" t="s">
        <v>7</v>
      </c>
      <c r="H184" t="s">
        <v>9</v>
      </c>
      <c r="J184" t="s">
        <v>826</v>
      </c>
    </row>
    <row r="185" spans="1:10">
      <c r="A185" t="s">
        <v>827</v>
      </c>
      <c r="B185" s="17" t="s">
        <v>828</v>
      </c>
      <c r="C185" s="18">
        <v>2025</v>
      </c>
      <c r="D185" s="18" t="s">
        <v>829</v>
      </c>
      <c r="E185" s="18" t="s">
        <v>830</v>
      </c>
      <c r="F185" s="19" t="s">
        <v>831</v>
      </c>
      <c r="G185" t="s">
        <v>7</v>
      </c>
      <c r="H185" t="s">
        <v>5</v>
      </c>
    </row>
    <row r="186" spans="1:10" hidden="1">
      <c r="A186" t="s">
        <v>832</v>
      </c>
      <c r="B186" s="17" t="s">
        <v>833</v>
      </c>
      <c r="C186" s="18">
        <v>2020</v>
      </c>
      <c r="D186" s="18" t="s">
        <v>834</v>
      </c>
      <c r="E186" s="18" t="s">
        <v>835</v>
      </c>
      <c r="F186" s="19" t="s">
        <v>66</v>
      </c>
      <c r="G186" t="s">
        <v>7</v>
      </c>
      <c r="H186" t="s">
        <v>9</v>
      </c>
      <c r="I186" t="s">
        <v>15</v>
      </c>
      <c r="J186" t="s">
        <v>836</v>
      </c>
    </row>
    <row r="187" spans="1:10" hidden="1">
      <c r="A187" t="s">
        <v>837</v>
      </c>
      <c r="B187" s="17" t="s">
        <v>838</v>
      </c>
      <c r="C187" s="18">
        <v>2017</v>
      </c>
      <c r="D187" s="18" t="s">
        <v>839</v>
      </c>
      <c r="E187" s="18" t="s">
        <v>840</v>
      </c>
      <c r="F187" s="19" t="s">
        <v>841</v>
      </c>
      <c r="G187" t="s">
        <v>7</v>
      </c>
      <c r="H187" t="s">
        <v>9</v>
      </c>
      <c r="I187" t="s">
        <v>15</v>
      </c>
      <c r="J187" t="s">
        <v>842</v>
      </c>
    </row>
    <row r="188" spans="1:10" hidden="1">
      <c r="A188" t="s">
        <v>843</v>
      </c>
      <c r="B188" s="17" t="s">
        <v>844</v>
      </c>
      <c r="C188" s="18">
        <v>2012</v>
      </c>
      <c r="D188" s="18" t="s">
        <v>845</v>
      </c>
      <c r="E188" s="18" t="s">
        <v>846</v>
      </c>
      <c r="F188" s="19" t="s">
        <v>60</v>
      </c>
      <c r="G188" t="s">
        <v>7</v>
      </c>
      <c r="H188" t="s">
        <v>9</v>
      </c>
      <c r="I188" t="s">
        <v>15</v>
      </c>
      <c r="J188" t="s">
        <v>847</v>
      </c>
    </row>
    <row r="189" spans="1:10">
      <c r="A189" t="s">
        <v>848</v>
      </c>
      <c r="B189" s="17" t="s">
        <v>849</v>
      </c>
      <c r="C189" s="18">
        <v>2016</v>
      </c>
      <c r="D189" s="18" t="s">
        <v>850</v>
      </c>
      <c r="E189" s="18" t="s">
        <v>851</v>
      </c>
      <c r="F189" s="19" t="s">
        <v>60</v>
      </c>
      <c r="G189" t="s">
        <v>7</v>
      </c>
      <c r="H189" t="s">
        <v>5</v>
      </c>
    </row>
    <row r="190" spans="1:10" hidden="1">
      <c r="A190" t="s">
        <v>852</v>
      </c>
      <c r="B190" s="17" t="s">
        <v>853</v>
      </c>
      <c r="C190" s="18">
        <v>2013</v>
      </c>
      <c r="D190" s="18" t="s">
        <v>854</v>
      </c>
      <c r="E190" s="18" t="s">
        <v>855</v>
      </c>
      <c r="F190" s="19" t="s">
        <v>54</v>
      </c>
      <c r="G190" t="s">
        <v>7</v>
      </c>
      <c r="H190" t="s">
        <v>9</v>
      </c>
      <c r="I190" t="s">
        <v>6</v>
      </c>
    </row>
    <row r="191" spans="1:10">
      <c r="A191" t="s">
        <v>856</v>
      </c>
      <c r="B191" s="17" t="s">
        <v>857</v>
      </c>
      <c r="C191" s="18">
        <v>2006</v>
      </c>
      <c r="D191" s="18" t="s">
        <v>858</v>
      </c>
      <c r="E191" s="18" t="s">
        <v>859</v>
      </c>
      <c r="F191" s="19" t="s">
        <v>77</v>
      </c>
      <c r="G191" t="s">
        <v>7</v>
      </c>
      <c r="H191" t="s">
        <v>5</v>
      </c>
    </row>
    <row r="192" spans="1:10" hidden="1">
      <c r="A192" t="s">
        <v>860</v>
      </c>
      <c r="B192" s="17" t="s">
        <v>861</v>
      </c>
      <c r="C192" s="18">
        <v>2019</v>
      </c>
      <c r="D192" s="18" t="s">
        <v>862</v>
      </c>
      <c r="E192" s="18" t="s">
        <v>863</v>
      </c>
      <c r="F192" s="19" t="s">
        <v>180</v>
      </c>
      <c r="G192" t="s">
        <v>11</v>
      </c>
      <c r="H192" t="s">
        <v>9</v>
      </c>
      <c r="I192" t="s">
        <v>15</v>
      </c>
      <c r="J192" t="s">
        <v>864</v>
      </c>
    </row>
    <row r="193" spans="1:10" hidden="1">
      <c r="A193" t="s">
        <v>865</v>
      </c>
      <c r="B193" s="17" t="s">
        <v>866</v>
      </c>
      <c r="C193" s="18">
        <v>2021</v>
      </c>
      <c r="D193" s="18" t="s">
        <v>867</v>
      </c>
      <c r="E193" s="18" t="s">
        <v>868</v>
      </c>
      <c r="F193" s="19" t="s">
        <v>54</v>
      </c>
      <c r="G193" t="s">
        <v>11</v>
      </c>
      <c r="H193" t="s">
        <v>9</v>
      </c>
      <c r="I193" t="s">
        <v>15</v>
      </c>
      <c r="J193" t="s">
        <v>864</v>
      </c>
    </row>
    <row r="194" spans="1:10" hidden="1">
      <c r="A194" t="s">
        <v>869</v>
      </c>
      <c r="B194" s="17" t="s">
        <v>870</v>
      </c>
      <c r="C194" s="18">
        <v>1991</v>
      </c>
      <c r="D194" s="18" t="s">
        <v>871</v>
      </c>
      <c r="E194" s="18" t="s">
        <v>872</v>
      </c>
      <c r="F194" s="19" t="s">
        <v>451</v>
      </c>
      <c r="G194" t="s">
        <v>11</v>
      </c>
      <c r="H194" t="s">
        <v>9</v>
      </c>
      <c r="I194" t="s">
        <v>15</v>
      </c>
      <c r="J194" t="s">
        <v>873</v>
      </c>
    </row>
    <row r="195" spans="1:10">
      <c r="A195" t="s">
        <v>874</v>
      </c>
      <c r="B195" s="17" t="s">
        <v>875</v>
      </c>
      <c r="C195" s="18">
        <v>2020</v>
      </c>
      <c r="D195" s="18" t="s">
        <v>876</v>
      </c>
      <c r="E195" s="18" t="s">
        <v>877</v>
      </c>
      <c r="F195" s="19" t="s">
        <v>878</v>
      </c>
      <c r="G195" t="s">
        <v>7</v>
      </c>
      <c r="H195" t="s">
        <v>5</v>
      </c>
    </row>
    <row r="196" spans="1:10">
      <c r="A196" t="s">
        <v>879</v>
      </c>
      <c r="B196" s="17" t="s">
        <v>880</v>
      </c>
      <c r="C196" s="18">
        <v>2019</v>
      </c>
      <c r="D196" s="18" t="s">
        <v>881</v>
      </c>
      <c r="E196" s="18" t="s">
        <v>882</v>
      </c>
      <c r="F196" s="19" t="s">
        <v>54</v>
      </c>
      <c r="G196" t="s">
        <v>7</v>
      </c>
      <c r="H196" t="s">
        <v>5</v>
      </c>
    </row>
    <row r="197" spans="1:10">
      <c r="A197" t="s">
        <v>883</v>
      </c>
      <c r="B197" s="17" t="s">
        <v>884</v>
      </c>
      <c r="C197" s="18">
        <v>2023</v>
      </c>
      <c r="D197" s="18" t="s">
        <v>885</v>
      </c>
      <c r="E197" s="18" t="s">
        <v>886</v>
      </c>
      <c r="F197" s="19" t="s">
        <v>887</v>
      </c>
      <c r="G197" t="s">
        <v>7</v>
      </c>
      <c r="H197" t="s">
        <v>5</v>
      </c>
    </row>
    <row r="198" spans="1:10" hidden="1">
      <c r="A198" t="s">
        <v>888</v>
      </c>
      <c r="B198" s="17" t="s">
        <v>889</v>
      </c>
      <c r="C198" s="18">
        <v>2018</v>
      </c>
      <c r="D198" s="18" t="s">
        <v>890</v>
      </c>
      <c r="E198" s="18" t="s">
        <v>891</v>
      </c>
      <c r="F198" s="19" t="s">
        <v>66</v>
      </c>
      <c r="G198" t="s">
        <v>7</v>
      </c>
      <c r="H198" t="s">
        <v>9</v>
      </c>
      <c r="I198" t="s">
        <v>6</v>
      </c>
    </row>
    <row r="199" spans="1:10" hidden="1">
      <c r="A199" t="s">
        <v>892</v>
      </c>
      <c r="B199" s="17" t="s">
        <v>893</v>
      </c>
      <c r="C199" s="18">
        <v>2022</v>
      </c>
      <c r="D199" s="18" t="s">
        <v>894</v>
      </c>
      <c r="E199" s="18" t="s">
        <v>895</v>
      </c>
      <c r="F199" s="19" t="s">
        <v>91</v>
      </c>
      <c r="G199" t="s">
        <v>11</v>
      </c>
      <c r="H199" t="s">
        <v>9</v>
      </c>
      <c r="J199" t="s">
        <v>896</v>
      </c>
    </row>
    <row r="200" spans="1:10" hidden="1">
      <c r="A200" t="s">
        <v>897</v>
      </c>
      <c r="B200" s="17" t="s">
        <v>898</v>
      </c>
      <c r="C200" s="18">
        <v>2008</v>
      </c>
      <c r="D200" s="18" t="s">
        <v>899</v>
      </c>
      <c r="E200" s="18" t="s">
        <v>900</v>
      </c>
      <c r="F200" s="19" t="s">
        <v>180</v>
      </c>
      <c r="G200" t="s">
        <v>11</v>
      </c>
      <c r="H200" t="s">
        <v>9</v>
      </c>
      <c r="I200" t="s">
        <v>6</v>
      </c>
      <c r="J200" t="s">
        <v>901</v>
      </c>
    </row>
    <row r="201" spans="1:10">
      <c r="A201" t="s">
        <v>902</v>
      </c>
      <c r="B201" s="17" t="s">
        <v>903</v>
      </c>
      <c r="C201" s="18">
        <v>2020</v>
      </c>
      <c r="D201" s="18" t="s">
        <v>904</v>
      </c>
      <c r="E201" s="18" t="s">
        <v>905</v>
      </c>
      <c r="F201" s="19" t="s">
        <v>180</v>
      </c>
      <c r="G201" t="s">
        <v>7</v>
      </c>
      <c r="H201" t="s">
        <v>5</v>
      </c>
    </row>
    <row r="202" spans="1:10" hidden="1">
      <c r="A202" t="s">
        <v>906</v>
      </c>
      <c r="B202" s="17" t="s">
        <v>907</v>
      </c>
      <c r="C202" s="18">
        <v>2007</v>
      </c>
      <c r="D202" s="18" t="s">
        <v>908</v>
      </c>
      <c r="E202" s="18" t="s">
        <v>909</v>
      </c>
      <c r="F202" s="19" t="s">
        <v>49</v>
      </c>
      <c r="G202" t="s">
        <v>7</v>
      </c>
      <c r="H202" t="s">
        <v>9</v>
      </c>
      <c r="I202" t="s">
        <v>6</v>
      </c>
    </row>
    <row r="203" spans="1:10">
      <c r="A203" t="s">
        <v>910</v>
      </c>
      <c r="B203" s="17" t="s">
        <v>911</v>
      </c>
      <c r="C203" s="18">
        <v>2022</v>
      </c>
      <c r="D203" s="18" t="s">
        <v>912</v>
      </c>
      <c r="E203" s="18" t="s">
        <v>913</v>
      </c>
      <c r="F203" s="19" t="s">
        <v>66</v>
      </c>
      <c r="G203" t="s">
        <v>7</v>
      </c>
      <c r="H203" t="s">
        <v>5</v>
      </c>
    </row>
    <row r="204" spans="1:10">
      <c r="A204" t="s">
        <v>914</v>
      </c>
      <c r="B204" s="17" t="s">
        <v>915</v>
      </c>
      <c r="C204" s="18">
        <v>2014</v>
      </c>
      <c r="D204" s="18" t="s">
        <v>916</v>
      </c>
      <c r="E204" s="18" t="s">
        <v>917</v>
      </c>
      <c r="F204" s="19" t="s">
        <v>66</v>
      </c>
      <c r="G204" t="s">
        <v>7</v>
      </c>
      <c r="H204" t="s">
        <v>5</v>
      </c>
    </row>
    <row r="205" spans="1:10">
      <c r="A205" t="s">
        <v>918</v>
      </c>
      <c r="B205" s="17" t="s">
        <v>919</v>
      </c>
      <c r="C205" s="18">
        <v>2021</v>
      </c>
      <c r="D205" s="18" t="s">
        <v>920</v>
      </c>
      <c r="E205" s="18" t="s">
        <v>921</v>
      </c>
      <c r="F205" s="19" t="s">
        <v>54</v>
      </c>
      <c r="G205" t="s">
        <v>7</v>
      </c>
      <c r="H205" t="s">
        <v>5</v>
      </c>
    </row>
    <row r="206" spans="1:10" hidden="1">
      <c r="A206" t="s">
        <v>922</v>
      </c>
      <c r="B206" s="17" t="s">
        <v>923</v>
      </c>
      <c r="C206" s="18">
        <v>2010</v>
      </c>
      <c r="D206" s="18" t="s">
        <v>924</v>
      </c>
      <c r="E206" s="18" t="s">
        <v>925</v>
      </c>
      <c r="F206" s="19" t="s">
        <v>91</v>
      </c>
      <c r="G206" t="s">
        <v>7</v>
      </c>
      <c r="H206" t="s">
        <v>9</v>
      </c>
      <c r="I206" t="s">
        <v>15</v>
      </c>
      <c r="J206" t="s">
        <v>926</v>
      </c>
    </row>
    <row r="207" spans="1:10">
      <c r="A207" t="s">
        <v>927</v>
      </c>
      <c r="B207" s="17" t="s">
        <v>928</v>
      </c>
      <c r="C207" s="18">
        <v>2019</v>
      </c>
      <c r="D207" s="18" t="s">
        <v>929</v>
      </c>
      <c r="E207" s="18" t="s">
        <v>930</v>
      </c>
      <c r="F207" s="19" t="s">
        <v>54</v>
      </c>
      <c r="G207" t="s">
        <v>7</v>
      </c>
      <c r="H207" t="s">
        <v>5</v>
      </c>
    </row>
    <row r="208" spans="1:10">
      <c r="A208" t="s">
        <v>931</v>
      </c>
      <c r="B208" s="17" t="s">
        <v>932</v>
      </c>
      <c r="C208" s="18">
        <v>2013</v>
      </c>
      <c r="D208" s="18" t="s">
        <v>933</v>
      </c>
      <c r="E208" s="18" t="s">
        <v>934</v>
      </c>
      <c r="F208" s="19" t="s">
        <v>66</v>
      </c>
      <c r="G208" t="s">
        <v>7</v>
      </c>
      <c r="H208" t="s">
        <v>5</v>
      </c>
    </row>
    <row r="209" spans="1:10">
      <c r="A209" t="s">
        <v>935</v>
      </c>
      <c r="B209" s="17" t="s">
        <v>936</v>
      </c>
      <c r="C209" s="18">
        <v>2021</v>
      </c>
      <c r="D209" s="18" t="s">
        <v>937</v>
      </c>
      <c r="E209" s="18" t="s">
        <v>938</v>
      </c>
      <c r="F209" s="19" t="s">
        <v>44</v>
      </c>
      <c r="G209" t="s">
        <v>7</v>
      </c>
      <c r="H209" t="s">
        <v>5</v>
      </c>
    </row>
    <row r="210" spans="1:10" hidden="1">
      <c r="A210" t="s">
        <v>939</v>
      </c>
      <c r="B210" s="17" t="s">
        <v>940</v>
      </c>
      <c r="C210" s="18">
        <v>2016</v>
      </c>
      <c r="D210" s="18" t="s">
        <v>941</v>
      </c>
      <c r="E210" s="18" t="s">
        <v>942</v>
      </c>
      <c r="F210" s="19" t="s">
        <v>54</v>
      </c>
      <c r="G210" t="s">
        <v>11</v>
      </c>
      <c r="H210" t="s">
        <v>9</v>
      </c>
      <c r="I210" t="s">
        <v>15</v>
      </c>
      <c r="J210" t="s">
        <v>943</v>
      </c>
    </row>
    <row r="211" spans="1:10" hidden="1">
      <c r="A211" t="s">
        <v>944</v>
      </c>
      <c r="B211" s="17" t="s">
        <v>945</v>
      </c>
      <c r="C211" s="18">
        <v>2018</v>
      </c>
      <c r="D211" s="18" t="s">
        <v>946</v>
      </c>
      <c r="E211" s="18" t="s">
        <v>947</v>
      </c>
      <c r="F211" s="19" t="s">
        <v>54</v>
      </c>
      <c r="G211" t="s">
        <v>7</v>
      </c>
      <c r="H211" t="s">
        <v>9</v>
      </c>
      <c r="I211" t="s">
        <v>15</v>
      </c>
      <c r="J211" t="s">
        <v>948</v>
      </c>
    </row>
    <row r="212" spans="1:10">
      <c r="A212" t="s">
        <v>949</v>
      </c>
      <c r="B212" s="17" t="s">
        <v>950</v>
      </c>
      <c r="C212" s="18">
        <v>2024</v>
      </c>
      <c r="D212" s="18" t="s">
        <v>951</v>
      </c>
      <c r="E212" s="18" t="s">
        <v>952</v>
      </c>
      <c r="F212" s="19" t="s">
        <v>54</v>
      </c>
      <c r="G212" t="s">
        <v>7</v>
      </c>
      <c r="H212" t="s">
        <v>5</v>
      </c>
    </row>
    <row r="213" spans="1:10" hidden="1">
      <c r="A213" t="s">
        <v>953</v>
      </c>
      <c r="B213" s="17" t="s">
        <v>954</v>
      </c>
      <c r="C213" s="18">
        <v>2025</v>
      </c>
      <c r="D213" s="18" t="s">
        <v>955</v>
      </c>
      <c r="E213" s="18" t="s">
        <v>956</v>
      </c>
      <c r="F213" s="19" t="s">
        <v>957</v>
      </c>
      <c r="G213" t="s">
        <v>7</v>
      </c>
      <c r="H213" t="s">
        <v>9</v>
      </c>
      <c r="I213" t="s">
        <v>6</v>
      </c>
    </row>
    <row r="214" spans="1:10">
      <c r="A214" t="s">
        <v>958</v>
      </c>
      <c r="B214" s="17" t="s">
        <v>959</v>
      </c>
      <c r="C214" s="18">
        <v>2024</v>
      </c>
      <c r="D214" s="18" t="s">
        <v>960</v>
      </c>
      <c r="E214" s="18" t="s">
        <v>961</v>
      </c>
      <c r="F214" s="19" t="s">
        <v>66</v>
      </c>
      <c r="G214" t="s">
        <v>7</v>
      </c>
      <c r="H214" t="s">
        <v>5</v>
      </c>
    </row>
    <row r="215" spans="1:10">
      <c r="A215" t="s">
        <v>962</v>
      </c>
      <c r="B215" s="17" t="s">
        <v>963</v>
      </c>
      <c r="C215" s="18">
        <v>2025</v>
      </c>
      <c r="D215" s="18" t="s">
        <v>964</v>
      </c>
      <c r="E215" s="18" t="s">
        <v>965</v>
      </c>
      <c r="F215" s="19" t="s">
        <v>39</v>
      </c>
      <c r="G215" t="s">
        <v>7</v>
      </c>
      <c r="H215" t="s">
        <v>5</v>
      </c>
    </row>
    <row r="216" spans="1:10" ht="36" hidden="1">
      <c r="A216" t="s">
        <v>966</v>
      </c>
      <c r="B216" s="17" t="s">
        <v>967</v>
      </c>
      <c r="C216" s="18">
        <v>2008</v>
      </c>
      <c r="D216" s="18" t="s">
        <v>968</v>
      </c>
      <c r="E216" s="18" t="s">
        <v>969</v>
      </c>
      <c r="F216" s="19" t="s">
        <v>33</v>
      </c>
      <c r="G216" t="s">
        <v>7</v>
      </c>
      <c r="H216" t="s">
        <v>9</v>
      </c>
      <c r="I216" t="s">
        <v>6</v>
      </c>
    </row>
    <row r="217" spans="1:10" ht="36" hidden="1">
      <c r="A217" t="s">
        <v>970</v>
      </c>
      <c r="B217" s="17" t="s">
        <v>971</v>
      </c>
      <c r="C217" s="18">
        <v>2011</v>
      </c>
      <c r="D217" s="18" t="s">
        <v>972</v>
      </c>
      <c r="E217" s="18" t="s">
        <v>973</v>
      </c>
      <c r="F217" s="19" t="s">
        <v>33</v>
      </c>
      <c r="G217" t="s">
        <v>7</v>
      </c>
      <c r="H217" t="s">
        <v>9</v>
      </c>
      <c r="I217" t="s">
        <v>15</v>
      </c>
      <c r="J217" t="s">
        <v>926</v>
      </c>
    </row>
    <row r="218" spans="1:10" hidden="1">
      <c r="A218" t="s">
        <v>974</v>
      </c>
      <c r="B218" s="17" t="s">
        <v>975</v>
      </c>
      <c r="C218" s="18">
        <v>2018</v>
      </c>
      <c r="D218" s="18" t="s">
        <v>976</v>
      </c>
      <c r="E218" s="18" t="s">
        <v>977</v>
      </c>
      <c r="F218" s="19" t="s">
        <v>91</v>
      </c>
      <c r="G218" t="s">
        <v>7</v>
      </c>
      <c r="H218" t="s">
        <v>9</v>
      </c>
      <c r="I218" t="s">
        <v>6</v>
      </c>
    </row>
    <row r="219" spans="1:10" hidden="1">
      <c r="A219" t="s">
        <v>978</v>
      </c>
      <c r="B219" s="17" t="s">
        <v>979</v>
      </c>
      <c r="C219" s="18">
        <v>2008</v>
      </c>
      <c r="D219" s="18" t="s">
        <v>980</v>
      </c>
      <c r="E219" s="18" t="s">
        <v>981</v>
      </c>
      <c r="F219" s="19" t="s">
        <v>91</v>
      </c>
      <c r="G219" t="s">
        <v>7</v>
      </c>
      <c r="H219" t="s">
        <v>9</v>
      </c>
      <c r="J219" t="s">
        <v>982</v>
      </c>
    </row>
    <row r="220" spans="1:10">
      <c r="A220" t="s">
        <v>983</v>
      </c>
      <c r="B220" s="17" t="s">
        <v>984</v>
      </c>
      <c r="C220" s="18">
        <v>2026</v>
      </c>
      <c r="D220" s="18" t="s">
        <v>985</v>
      </c>
      <c r="E220" s="18" t="s">
        <v>986</v>
      </c>
      <c r="F220" s="19" t="s">
        <v>180</v>
      </c>
      <c r="G220" t="s">
        <v>7</v>
      </c>
      <c r="H220" t="s">
        <v>5</v>
      </c>
      <c r="J220" t="s">
        <v>987</v>
      </c>
    </row>
    <row r="221" spans="1:10">
      <c r="A221" t="s">
        <v>988</v>
      </c>
      <c r="B221" s="17" t="s">
        <v>989</v>
      </c>
      <c r="C221" s="18">
        <v>2018</v>
      </c>
      <c r="D221" s="18" t="s">
        <v>990</v>
      </c>
      <c r="E221" s="18" t="s">
        <v>991</v>
      </c>
      <c r="F221" s="19" t="s">
        <v>199</v>
      </c>
      <c r="G221" t="s">
        <v>7</v>
      </c>
      <c r="H221" t="s">
        <v>5</v>
      </c>
    </row>
    <row r="222" spans="1:10">
      <c r="A222" t="s">
        <v>992</v>
      </c>
      <c r="B222" s="17" t="s">
        <v>993</v>
      </c>
      <c r="C222" s="18">
        <v>2014</v>
      </c>
      <c r="D222" s="18" t="s">
        <v>994</v>
      </c>
      <c r="E222" s="18" t="s">
        <v>995</v>
      </c>
      <c r="F222" s="19" t="s">
        <v>44</v>
      </c>
      <c r="G222" t="s">
        <v>7</v>
      </c>
      <c r="H222" t="s">
        <v>5</v>
      </c>
    </row>
    <row r="223" spans="1:10">
      <c r="A223" t="s">
        <v>996</v>
      </c>
      <c r="B223" s="17" t="s">
        <v>997</v>
      </c>
      <c r="C223" s="18">
        <v>2017</v>
      </c>
      <c r="D223" s="18" t="s">
        <v>998</v>
      </c>
      <c r="E223" s="18" t="s">
        <v>999</v>
      </c>
      <c r="F223" s="19" t="s">
        <v>91</v>
      </c>
      <c r="G223" t="s">
        <v>7</v>
      </c>
      <c r="H223" t="s">
        <v>5</v>
      </c>
    </row>
    <row r="224" spans="1:10" ht="36" hidden="1">
      <c r="A224" t="s">
        <v>1000</v>
      </c>
      <c r="B224" s="17" t="s">
        <v>1001</v>
      </c>
      <c r="C224" s="18">
        <v>2003</v>
      </c>
      <c r="D224" s="18" t="s">
        <v>1002</v>
      </c>
      <c r="E224" s="18" t="s">
        <v>1003</v>
      </c>
      <c r="F224" s="19" t="s">
        <v>33</v>
      </c>
      <c r="G224" t="s">
        <v>7</v>
      </c>
      <c r="H224" t="s">
        <v>9</v>
      </c>
      <c r="I224" t="s">
        <v>15</v>
      </c>
      <c r="J224" t="s">
        <v>1004</v>
      </c>
    </row>
    <row r="225" spans="1:10">
      <c r="A225" t="s">
        <v>1005</v>
      </c>
      <c r="B225" s="17" t="s">
        <v>1006</v>
      </c>
      <c r="C225" s="18">
        <v>2012</v>
      </c>
      <c r="D225" s="18" t="s">
        <v>1007</v>
      </c>
      <c r="E225" s="18" t="s">
        <v>1008</v>
      </c>
      <c r="F225" s="19" t="s">
        <v>49</v>
      </c>
      <c r="G225" t="s">
        <v>7</v>
      </c>
      <c r="H225" t="s">
        <v>5</v>
      </c>
    </row>
    <row r="226" spans="1:10" hidden="1">
      <c r="A226" t="s">
        <v>1009</v>
      </c>
      <c r="B226" s="17" t="s">
        <v>1010</v>
      </c>
      <c r="C226" s="18">
        <v>2010</v>
      </c>
      <c r="D226" s="18" t="s">
        <v>1011</v>
      </c>
      <c r="E226" s="18" t="s">
        <v>1012</v>
      </c>
      <c r="F226" s="19" t="s">
        <v>287</v>
      </c>
      <c r="G226" t="s">
        <v>11</v>
      </c>
      <c r="H226" t="s">
        <v>9</v>
      </c>
      <c r="I226" t="s">
        <v>15</v>
      </c>
      <c r="J226" t="s">
        <v>1013</v>
      </c>
    </row>
    <row r="227" spans="1:10">
      <c r="A227" t="s">
        <v>1014</v>
      </c>
      <c r="B227" s="17" t="s">
        <v>1015</v>
      </c>
      <c r="C227" s="18">
        <v>2024</v>
      </c>
      <c r="D227" s="18" t="s">
        <v>1016</v>
      </c>
      <c r="E227" s="18" t="s">
        <v>1017</v>
      </c>
      <c r="F227" s="19" t="s">
        <v>54</v>
      </c>
      <c r="G227" t="s">
        <v>7</v>
      </c>
      <c r="H227" t="s">
        <v>5</v>
      </c>
    </row>
    <row r="228" spans="1:10">
      <c r="A228" t="s">
        <v>1018</v>
      </c>
      <c r="B228" s="17" t="s">
        <v>1019</v>
      </c>
      <c r="C228" s="18">
        <v>2023</v>
      </c>
      <c r="D228" s="18" t="s">
        <v>1020</v>
      </c>
      <c r="E228" s="18" t="s">
        <v>1021</v>
      </c>
      <c r="F228" s="19" t="s">
        <v>91</v>
      </c>
      <c r="G228" t="s">
        <v>7</v>
      </c>
      <c r="H228" t="s">
        <v>5</v>
      </c>
    </row>
    <row r="229" spans="1:10">
      <c r="A229" t="s">
        <v>1022</v>
      </c>
      <c r="B229" s="17" t="s">
        <v>1023</v>
      </c>
      <c r="C229" s="18">
        <v>2021</v>
      </c>
      <c r="D229" s="18" t="s">
        <v>1024</v>
      </c>
      <c r="E229" s="18" t="s">
        <v>1025</v>
      </c>
      <c r="F229" s="19" t="s">
        <v>39</v>
      </c>
      <c r="G229" t="s">
        <v>7</v>
      </c>
      <c r="H229" t="s">
        <v>5</v>
      </c>
    </row>
    <row r="230" spans="1:10">
      <c r="A230" t="s">
        <v>1026</v>
      </c>
      <c r="B230" s="17" t="s">
        <v>1027</v>
      </c>
      <c r="C230" s="18">
        <v>2023</v>
      </c>
      <c r="D230" s="18" t="s">
        <v>1028</v>
      </c>
      <c r="E230" s="18" t="s">
        <v>1029</v>
      </c>
      <c r="F230" s="19" t="s">
        <v>91</v>
      </c>
      <c r="G230" t="s">
        <v>7</v>
      </c>
      <c r="H230" t="s">
        <v>5</v>
      </c>
    </row>
    <row r="231" spans="1:10" hidden="1">
      <c r="A231" t="s">
        <v>1030</v>
      </c>
      <c r="B231" s="17" t="s">
        <v>853</v>
      </c>
      <c r="C231" s="18">
        <v>2013</v>
      </c>
      <c r="D231" s="18" t="s">
        <v>1031</v>
      </c>
      <c r="E231" s="18" t="s">
        <v>1032</v>
      </c>
      <c r="F231" s="19" t="s">
        <v>194</v>
      </c>
      <c r="G231" t="s">
        <v>7</v>
      </c>
      <c r="H231" t="s">
        <v>9</v>
      </c>
      <c r="I231" t="s">
        <v>6</v>
      </c>
    </row>
  </sheetData>
  <autoFilter ref="A4:J231" xr:uid="{00000000-0001-0000-0100-000000000000}">
    <filterColumn colId="7">
      <filters>
        <filter val="Included"/>
      </filters>
    </filterColumn>
    <sortState xmlns:xlrd2="http://schemas.microsoft.com/office/spreadsheetml/2017/richdata2" ref="A9:J226">
      <sortCondition ref="A4:A231"/>
    </sortState>
  </autoFilter>
  <sortState xmlns:xlrd2="http://schemas.microsoft.com/office/spreadsheetml/2017/richdata2" ref="A5:J231">
    <sortCondition ref="E4:E231"/>
  </sortState>
  <mergeCells count="2">
    <mergeCell ref="A2:J2"/>
    <mergeCell ref="A1:J1"/>
  </mergeCells>
  <phoneticPr fontId="6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55A5BA2-BD6C-4C74-80F6-A25720B25E04}">
          <x14:formula1>
            <xm:f>lists!$C$2:$C$5</xm:f>
          </x14:formula1>
          <xm:sqref>I215:I1048576 I5:I49 I50:I213</xm:sqref>
        </x14:dataValidation>
        <x14:dataValidation type="list" allowBlank="1" showInputMessage="1" showErrorMessage="1" xr:uid="{1BD7F6B1-E316-4BBF-8E4A-C4329E6E2B97}">
          <x14:formula1>
            <xm:f>lists!$B$2:$B$3</xm:f>
          </x14:formula1>
          <xm:sqref>G187 H87:H231 H5:H49 H50:H85</xm:sqref>
        </x14:dataValidation>
        <x14:dataValidation type="list" allowBlank="1" showInputMessage="1" showErrorMessage="1" xr:uid="{66163299-76BD-4C26-BC89-1D4A200A4B19}">
          <x14:formula1>
            <xm:f>lists!$D$2:$D$3</xm:f>
          </x14:formula1>
          <xm:sqref>G87:G1048576 G5:G49 G50:G85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N169"/>
  <sheetViews>
    <sheetView zoomScaleNormal="100" workbookViewId="0">
      <pane xSplit="3" ySplit="4" topLeftCell="D13" activePane="bottomRight" state="frozen"/>
      <selection pane="topRight" activeCell="D1" sqref="D1"/>
      <selection pane="bottomLeft" activeCell="A5" sqref="A5"/>
      <selection pane="bottomRight" activeCell="D23" sqref="D23"/>
    </sheetView>
  </sheetViews>
  <sheetFormatPr defaultColWidth="8.88671875" defaultRowHeight="18"/>
  <cols>
    <col min="1" max="2" width="13.88671875" customWidth="1"/>
    <col min="3" max="3" width="23.88671875" customWidth="1"/>
    <col min="4" max="4" width="90.33203125" bestFit="1" customWidth="1"/>
    <col min="5" max="5" width="23.88671875" customWidth="1"/>
    <col min="6" max="6" width="21.88671875" customWidth="1"/>
    <col min="7" max="31" width="13.88671875" customWidth="1"/>
    <col min="32" max="32" width="10.6640625" customWidth="1"/>
    <col min="37" max="40" width="13.88671875" customWidth="1"/>
    <col min="41" max="41" width="10.6640625" customWidth="1"/>
    <col min="59" max="59" width="9" customWidth="1"/>
    <col min="61" max="61" width="13.33203125" customWidth="1"/>
    <col min="63" max="65" width="13.33203125" customWidth="1"/>
    <col min="66" max="66" width="29.88671875" customWidth="1"/>
  </cols>
  <sheetData>
    <row r="1" spans="1:66" ht="21.9" customHeight="1">
      <c r="A1" s="55" t="s">
        <v>1033</v>
      </c>
      <c r="B1" s="55"/>
      <c r="C1" s="55"/>
      <c r="D1" s="55"/>
      <c r="E1" s="55"/>
      <c r="F1" s="55"/>
      <c r="G1" s="55"/>
      <c r="H1" s="55"/>
      <c r="I1" s="55"/>
      <c r="J1" s="55"/>
    </row>
    <row r="2" spans="1:66" ht="36" customHeight="1">
      <c r="A2" s="53" t="s">
        <v>1034</v>
      </c>
      <c r="B2" s="53"/>
      <c r="C2" s="53"/>
      <c r="D2" s="53"/>
      <c r="E2" s="53"/>
      <c r="F2" s="53"/>
      <c r="G2" s="53"/>
      <c r="H2" s="53"/>
      <c r="I2" s="53"/>
      <c r="J2" s="53"/>
    </row>
    <row r="4" spans="1:66" ht="60">
      <c r="A4" s="6" t="s">
        <v>19</v>
      </c>
      <c r="B4" s="6" t="s">
        <v>1035</v>
      </c>
      <c r="C4" s="6" t="s">
        <v>1036</v>
      </c>
      <c r="D4" s="6" t="s">
        <v>1037</v>
      </c>
      <c r="E4" s="6" t="s">
        <v>1038</v>
      </c>
      <c r="F4" s="6" t="s">
        <v>1039</v>
      </c>
      <c r="G4" s="6" t="s">
        <v>1040</v>
      </c>
      <c r="H4" s="6" t="s">
        <v>1041</v>
      </c>
      <c r="I4" s="6" t="s">
        <v>1042</v>
      </c>
      <c r="J4" s="6" t="s">
        <v>1043</v>
      </c>
      <c r="K4" s="6" t="s">
        <v>1044</v>
      </c>
      <c r="L4" s="6" t="s">
        <v>1045</v>
      </c>
      <c r="M4" s="6" t="s">
        <v>1046</v>
      </c>
      <c r="N4" s="6" t="s">
        <v>1047</v>
      </c>
      <c r="O4" s="6" t="s">
        <v>1048</v>
      </c>
      <c r="P4" s="6" t="s">
        <v>1049</v>
      </c>
      <c r="Q4" s="6" t="s">
        <v>1050</v>
      </c>
      <c r="R4" s="6" t="s">
        <v>1051</v>
      </c>
      <c r="S4" s="6" t="s">
        <v>1052</v>
      </c>
      <c r="T4" s="6" t="s">
        <v>1053</v>
      </c>
      <c r="U4" s="6" t="s">
        <v>1054</v>
      </c>
      <c r="V4" s="6" t="s">
        <v>1055</v>
      </c>
      <c r="W4" s="6" t="s">
        <v>1056</v>
      </c>
      <c r="X4" s="6" t="s">
        <v>1057</v>
      </c>
      <c r="Y4" s="6" t="s">
        <v>1058</v>
      </c>
      <c r="Z4" s="6" t="s">
        <v>1059</v>
      </c>
      <c r="AA4" s="6" t="s">
        <v>1060</v>
      </c>
      <c r="AB4" s="6" t="s">
        <v>1061</v>
      </c>
      <c r="AC4" s="6" t="s">
        <v>1062</v>
      </c>
      <c r="AD4" s="6" t="s">
        <v>1063</v>
      </c>
      <c r="AE4" s="6" t="s">
        <v>1064</v>
      </c>
      <c r="AF4" s="6" t="s">
        <v>1065</v>
      </c>
      <c r="AG4" s="6" t="s">
        <v>1066</v>
      </c>
      <c r="AH4" s="6" t="s">
        <v>1067</v>
      </c>
      <c r="AI4" s="6" t="s">
        <v>1068</v>
      </c>
      <c r="AJ4" s="6" t="s">
        <v>1069</v>
      </c>
      <c r="AK4" s="2" t="s">
        <v>1070</v>
      </c>
      <c r="AL4" s="2" t="s">
        <v>1071</v>
      </c>
      <c r="AM4" s="2" t="s">
        <v>1072</v>
      </c>
      <c r="AN4" s="2" t="s">
        <v>1073</v>
      </c>
      <c r="AO4" s="6" t="s">
        <v>1074</v>
      </c>
      <c r="AP4" s="6" t="s">
        <v>1075</v>
      </c>
      <c r="AQ4" s="6" t="s">
        <v>1076</v>
      </c>
      <c r="AR4" s="6" t="s">
        <v>1077</v>
      </c>
      <c r="AS4" s="6" t="s">
        <v>1078</v>
      </c>
      <c r="AT4" s="6" t="s">
        <v>1079</v>
      </c>
      <c r="AU4" s="6" t="s">
        <v>1080</v>
      </c>
      <c r="AV4" s="6" t="s">
        <v>1081</v>
      </c>
      <c r="AW4" s="6" t="s">
        <v>1082</v>
      </c>
      <c r="AX4" s="6" t="s">
        <v>1083</v>
      </c>
      <c r="AY4" s="6" t="s">
        <v>1084</v>
      </c>
      <c r="AZ4" s="6" t="s">
        <v>1085</v>
      </c>
      <c r="BA4" s="6" t="s">
        <v>1086</v>
      </c>
      <c r="BB4" s="6" t="s">
        <v>1087</v>
      </c>
      <c r="BC4" s="6" t="s">
        <v>1088</v>
      </c>
      <c r="BD4" s="6" t="s">
        <v>1089</v>
      </c>
      <c r="BE4" s="6" t="s">
        <v>1090</v>
      </c>
      <c r="BF4" s="6" t="s">
        <v>1091</v>
      </c>
      <c r="BG4" s="6" t="s">
        <v>1092</v>
      </c>
      <c r="BH4" s="6" t="s">
        <v>1093</v>
      </c>
      <c r="BI4" s="6" t="s">
        <v>1094</v>
      </c>
      <c r="BJ4" s="6" t="s">
        <v>1095</v>
      </c>
      <c r="BK4" s="6" t="s">
        <v>1096</v>
      </c>
      <c r="BL4" s="6" t="s">
        <v>1097</v>
      </c>
      <c r="BM4" s="6" t="s">
        <v>1098</v>
      </c>
      <c r="BN4" s="6" t="s">
        <v>28</v>
      </c>
    </row>
    <row r="5" spans="1:66" ht="37.200000000000003">
      <c r="A5" s="7" t="s">
        <v>1026</v>
      </c>
      <c r="B5" t="s">
        <v>1099</v>
      </c>
      <c r="C5" t="s">
        <v>1100</v>
      </c>
      <c r="D5" s="5" t="s">
        <v>1101</v>
      </c>
      <c r="E5" s="44" t="s">
        <v>1102</v>
      </c>
      <c r="G5" s="31" t="s">
        <v>1103</v>
      </c>
      <c r="H5" s="31">
        <v>28.68</v>
      </c>
      <c r="I5" s="31">
        <v>45.3</v>
      </c>
      <c r="J5" s="31">
        <v>26.62</v>
      </c>
      <c r="K5">
        <v>16.87</v>
      </c>
      <c r="L5" t="s">
        <v>1104</v>
      </c>
      <c r="Q5">
        <v>7.06</v>
      </c>
      <c r="R5" t="s">
        <v>1105</v>
      </c>
      <c r="S5" t="s">
        <v>1106</v>
      </c>
      <c r="AB5">
        <v>1.21</v>
      </c>
      <c r="AC5" t="s">
        <v>1107</v>
      </c>
      <c r="AF5">
        <v>1.22</v>
      </c>
      <c r="AG5" t="s">
        <v>1104</v>
      </c>
      <c r="AI5">
        <v>0.42</v>
      </c>
      <c r="AJ5" t="s">
        <v>1104</v>
      </c>
      <c r="AK5" s="11"/>
      <c r="AL5" s="11"/>
      <c r="AM5" s="11"/>
      <c r="AN5" s="11"/>
      <c r="AO5">
        <v>54.29</v>
      </c>
      <c r="AP5" t="s">
        <v>1108</v>
      </c>
      <c r="AQ5">
        <v>32.880000000000003</v>
      </c>
      <c r="AR5" t="s">
        <v>1108</v>
      </c>
    </row>
    <row r="6" spans="1:66" ht="36">
      <c r="B6" t="s">
        <v>1109</v>
      </c>
      <c r="C6" t="s">
        <v>1110</v>
      </c>
      <c r="D6" s="5" t="s">
        <v>1111</v>
      </c>
      <c r="E6" s="31" t="s">
        <v>1112</v>
      </c>
      <c r="K6">
        <v>11.7</v>
      </c>
      <c r="L6" t="s">
        <v>1104</v>
      </c>
      <c r="Q6">
        <v>7.86</v>
      </c>
      <c r="AB6">
        <v>158</v>
      </c>
      <c r="AC6" t="s">
        <v>1107</v>
      </c>
      <c r="AF6">
        <v>1.34</v>
      </c>
      <c r="AG6" t="s">
        <v>1104</v>
      </c>
      <c r="AI6">
        <v>0.88</v>
      </c>
      <c r="AJ6" t="s">
        <v>1104</v>
      </c>
      <c r="AO6">
        <v>51.25</v>
      </c>
      <c r="AP6" t="s">
        <v>1108</v>
      </c>
      <c r="AQ6">
        <v>7.6</v>
      </c>
      <c r="AR6" t="s">
        <v>1108</v>
      </c>
    </row>
    <row r="7" spans="1:66">
      <c r="A7" t="s">
        <v>1022</v>
      </c>
      <c r="B7" t="s">
        <v>1113</v>
      </c>
      <c r="C7" t="s">
        <v>1114</v>
      </c>
      <c r="D7" t="s">
        <v>1115</v>
      </c>
      <c r="G7" t="s">
        <v>1116</v>
      </c>
      <c r="H7">
        <v>30</v>
      </c>
      <c r="I7">
        <v>4.18</v>
      </c>
      <c r="J7">
        <v>65.8</v>
      </c>
      <c r="M7">
        <v>7.3999999999999996E-2</v>
      </c>
      <c r="N7" t="s">
        <v>1117</v>
      </c>
      <c r="O7">
        <v>1.6</v>
      </c>
      <c r="P7" t="s">
        <v>1118</v>
      </c>
      <c r="Q7">
        <v>6.72</v>
      </c>
      <c r="V7">
        <v>13.5</v>
      </c>
      <c r="W7" t="s">
        <v>1119</v>
      </c>
      <c r="AF7">
        <v>0.13</v>
      </c>
      <c r="AG7" t="s">
        <v>1118</v>
      </c>
      <c r="AH7">
        <v>7.25</v>
      </c>
    </row>
    <row r="8" spans="1:66">
      <c r="B8" t="s">
        <v>1120</v>
      </c>
      <c r="C8" t="s">
        <v>1121</v>
      </c>
      <c r="D8" t="s">
        <v>1115</v>
      </c>
      <c r="G8" t="s">
        <v>1122</v>
      </c>
      <c r="H8">
        <v>10.5</v>
      </c>
      <c r="I8">
        <v>4.8899999999999997</v>
      </c>
      <c r="J8">
        <v>84.6</v>
      </c>
      <c r="M8">
        <v>0.11799999999999999</v>
      </c>
      <c r="N8" t="s">
        <v>1117</v>
      </c>
      <c r="O8">
        <v>0.93</v>
      </c>
      <c r="P8" t="s">
        <v>1118</v>
      </c>
      <c r="Q8">
        <v>5.82</v>
      </c>
      <c r="V8">
        <v>3.44</v>
      </c>
      <c r="W8" t="s">
        <v>1119</v>
      </c>
      <c r="AF8">
        <v>0.06</v>
      </c>
      <c r="AG8" t="s">
        <v>1118</v>
      </c>
      <c r="AH8">
        <v>9.18</v>
      </c>
    </row>
    <row r="9" spans="1:66">
      <c r="A9" t="s">
        <v>1018</v>
      </c>
      <c r="B9" t="s">
        <v>1123</v>
      </c>
      <c r="D9" t="s">
        <v>1124</v>
      </c>
      <c r="E9" t="s">
        <v>1125</v>
      </c>
      <c r="G9" t="s">
        <v>1126</v>
      </c>
      <c r="H9">
        <v>8</v>
      </c>
      <c r="I9">
        <v>15</v>
      </c>
      <c r="J9">
        <v>77</v>
      </c>
      <c r="O9">
        <v>1.8</v>
      </c>
      <c r="P9" t="s">
        <v>1118</v>
      </c>
      <c r="Q9">
        <v>7.81</v>
      </c>
      <c r="R9" t="s">
        <v>1105</v>
      </c>
      <c r="S9" t="s">
        <v>1127</v>
      </c>
      <c r="T9">
        <v>6.2E-2</v>
      </c>
      <c r="U9" t="s">
        <v>1128</v>
      </c>
      <c r="AD9">
        <v>12</v>
      </c>
      <c r="AE9" t="s">
        <v>1118</v>
      </c>
    </row>
    <row r="10" spans="1:66">
      <c r="A10" t="s">
        <v>1014</v>
      </c>
      <c r="B10" t="s">
        <v>1129</v>
      </c>
      <c r="C10" t="s">
        <v>1100</v>
      </c>
      <c r="D10" s="5" t="s">
        <v>1130</v>
      </c>
      <c r="E10" t="s">
        <v>1131</v>
      </c>
      <c r="G10" s="42" t="s">
        <v>1132</v>
      </c>
      <c r="H10" s="42">
        <v>24.07</v>
      </c>
      <c r="I10" s="42">
        <v>47.83</v>
      </c>
      <c r="J10" s="42">
        <v>28.1</v>
      </c>
      <c r="K10">
        <v>2.2999999999999998</v>
      </c>
      <c r="L10" t="s">
        <v>1118</v>
      </c>
      <c r="Q10">
        <v>6.52</v>
      </c>
      <c r="R10" t="s">
        <v>1105</v>
      </c>
      <c r="S10" t="s">
        <v>1106</v>
      </c>
      <c r="AF10">
        <v>1.4</v>
      </c>
      <c r="AG10" t="s">
        <v>1104</v>
      </c>
    </row>
    <row r="11" spans="1:66">
      <c r="A11" t="s">
        <v>1005</v>
      </c>
      <c r="B11" t="s">
        <v>1133</v>
      </c>
      <c r="C11" t="s">
        <v>1122</v>
      </c>
      <c r="D11" s="5" t="s">
        <v>1134</v>
      </c>
      <c r="E11" s="45" t="s">
        <v>1135</v>
      </c>
      <c r="O11">
        <v>3</v>
      </c>
      <c r="P11" t="s">
        <v>1118</v>
      </c>
      <c r="Q11">
        <v>4.9000000000000004</v>
      </c>
      <c r="AF11">
        <v>0.16</v>
      </c>
      <c r="AG11" t="s">
        <v>1118</v>
      </c>
    </row>
    <row r="12" spans="1:66">
      <c r="A12" t="s">
        <v>996</v>
      </c>
      <c r="B12" t="s">
        <v>1136</v>
      </c>
      <c r="C12" t="s">
        <v>1137</v>
      </c>
      <c r="D12" t="s">
        <v>1138</v>
      </c>
      <c r="E12" s="43" t="s">
        <v>1139</v>
      </c>
      <c r="G12" s="48" t="s">
        <v>1140</v>
      </c>
      <c r="H12" s="48">
        <v>23.96</v>
      </c>
      <c r="I12" s="48">
        <v>44.41</v>
      </c>
      <c r="J12" s="48">
        <v>31.62</v>
      </c>
      <c r="K12">
        <v>14.04</v>
      </c>
      <c r="L12" t="s">
        <v>1104</v>
      </c>
      <c r="O12">
        <v>24.2</v>
      </c>
      <c r="P12" t="s">
        <v>1104</v>
      </c>
      <c r="Q12">
        <v>7.13</v>
      </c>
      <c r="V12">
        <v>39.85</v>
      </c>
      <c r="W12" t="s">
        <v>1119</v>
      </c>
      <c r="AF12">
        <v>1.21</v>
      </c>
      <c r="AG12" t="s">
        <v>1104</v>
      </c>
      <c r="AH12">
        <f>O12/AF12</f>
        <v>20</v>
      </c>
    </row>
    <row r="13" spans="1:66">
      <c r="B13" t="s">
        <v>1141</v>
      </c>
      <c r="C13" t="s">
        <v>1142</v>
      </c>
      <c r="D13" t="s">
        <v>1143</v>
      </c>
      <c r="E13" s="43" t="s">
        <v>1144</v>
      </c>
      <c r="G13" s="48" t="s">
        <v>1132</v>
      </c>
      <c r="H13" s="48">
        <v>23.67</v>
      </c>
      <c r="I13" s="48">
        <v>48.91</v>
      </c>
      <c r="J13" s="48">
        <v>27.41</v>
      </c>
      <c r="K13">
        <v>27.46</v>
      </c>
      <c r="L13" t="s">
        <v>1104</v>
      </c>
      <c r="O13">
        <v>47.34</v>
      </c>
      <c r="P13" t="s">
        <v>1104</v>
      </c>
      <c r="Q13">
        <v>6.74</v>
      </c>
      <c r="V13">
        <v>43.51</v>
      </c>
      <c r="W13" t="s">
        <v>1119</v>
      </c>
      <c r="AF13">
        <v>2.37</v>
      </c>
      <c r="AG13" t="s">
        <v>1104</v>
      </c>
      <c r="AH13">
        <f>O13/AF13</f>
        <v>19.974683544303797</v>
      </c>
    </row>
    <row r="14" spans="1:66">
      <c r="A14" t="s">
        <v>992</v>
      </c>
      <c r="B14" t="s">
        <v>1145</v>
      </c>
      <c r="C14" t="s">
        <v>1146</v>
      </c>
      <c r="G14" t="s">
        <v>1147</v>
      </c>
      <c r="H14">
        <v>1.9</v>
      </c>
      <c r="I14">
        <v>8.9</v>
      </c>
      <c r="J14">
        <v>89.2</v>
      </c>
      <c r="K14">
        <v>3.85</v>
      </c>
      <c r="L14" t="s">
        <v>1118</v>
      </c>
      <c r="Q14">
        <v>4.97</v>
      </c>
      <c r="R14" t="s">
        <v>1148</v>
      </c>
      <c r="S14" t="s">
        <v>1149</v>
      </c>
      <c r="T14">
        <v>8.5000000000000006E-3</v>
      </c>
      <c r="U14" t="s">
        <v>1150</v>
      </c>
      <c r="AB14">
        <v>1</v>
      </c>
      <c r="AC14" t="s">
        <v>1151</v>
      </c>
      <c r="AF14">
        <v>0.2</v>
      </c>
      <c r="AG14" t="s">
        <v>1118</v>
      </c>
    </row>
    <row r="15" spans="1:66">
      <c r="B15" t="s">
        <v>1152</v>
      </c>
      <c r="C15" t="s">
        <v>1153</v>
      </c>
      <c r="G15" t="s">
        <v>1153</v>
      </c>
      <c r="H15">
        <v>0</v>
      </c>
      <c r="I15">
        <v>0.8</v>
      </c>
      <c r="J15">
        <v>99.2</v>
      </c>
      <c r="K15">
        <v>0.24</v>
      </c>
      <c r="L15" t="s">
        <v>1118</v>
      </c>
      <c r="Q15">
        <v>8.0299999999999994</v>
      </c>
      <c r="R15" t="s">
        <v>1148</v>
      </c>
      <c r="S15" t="s">
        <v>1149</v>
      </c>
      <c r="T15" s="12">
        <v>4.4999999999999998E-2</v>
      </c>
      <c r="U15" s="9" t="s">
        <v>1150</v>
      </c>
      <c r="AB15">
        <v>1.3</v>
      </c>
      <c r="AC15" t="s">
        <v>1151</v>
      </c>
      <c r="AF15">
        <v>0.04</v>
      </c>
      <c r="AG15" t="s">
        <v>1118</v>
      </c>
      <c r="BN15" s="56"/>
    </row>
    <row r="16" spans="1:66">
      <c r="A16" t="s">
        <v>988</v>
      </c>
      <c r="B16" t="s">
        <v>1154</v>
      </c>
      <c r="C16" t="s">
        <v>1155</v>
      </c>
      <c r="F16" t="s">
        <v>1156</v>
      </c>
      <c r="G16" t="s">
        <v>1157</v>
      </c>
      <c r="H16">
        <v>29.1</v>
      </c>
      <c r="I16">
        <v>39.700000000000003</v>
      </c>
      <c r="J16">
        <v>31.2</v>
      </c>
      <c r="O16">
        <v>19.600000000000001</v>
      </c>
      <c r="P16" t="s">
        <v>1104</v>
      </c>
      <c r="Q16">
        <v>5.4</v>
      </c>
      <c r="R16" s="10"/>
      <c r="S16" s="10"/>
      <c r="T16" s="10"/>
      <c r="U16" s="10"/>
      <c r="AO16">
        <v>15.6</v>
      </c>
      <c r="AP16" t="s">
        <v>1108</v>
      </c>
      <c r="AS16">
        <v>28.6</v>
      </c>
      <c r="AT16" t="s">
        <v>1108</v>
      </c>
      <c r="AU16" t="s">
        <v>1158</v>
      </c>
      <c r="BN16" s="56"/>
    </row>
    <row r="17" spans="1:63">
      <c r="B17" t="s">
        <v>1159</v>
      </c>
      <c r="C17" t="s">
        <v>1160</v>
      </c>
      <c r="F17" t="s">
        <v>1161</v>
      </c>
      <c r="G17" t="s">
        <v>1140</v>
      </c>
      <c r="H17">
        <v>15.2</v>
      </c>
      <c r="I17">
        <v>36.700000000000003</v>
      </c>
      <c r="J17">
        <v>48.1</v>
      </c>
      <c r="O17">
        <v>7.6</v>
      </c>
      <c r="P17" t="s">
        <v>1104</v>
      </c>
      <c r="Q17">
        <v>6.6</v>
      </c>
      <c r="AO17">
        <v>9.3000000000000007</v>
      </c>
      <c r="AP17" t="s">
        <v>1108</v>
      </c>
      <c r="AS17">
        <v>352.5</v>
      </c>
      <c r="AT17" t="s">
        <v>1108</v>
      </c>
      <c r="AU17" t="s">
        <v>1158</v>
      </c>
      <c r="BD17">
        <v>3.8</v>
      </c>
      <c r="BE17" t="s">
        <v>1104</v>
      </c>
    </row>
    <row r="18" spans="1:63">
      <c r="A18" t="s">
        <v>983</v>
      </c>
      <c r="B18" t="s">
        <v>1162</v>
      </c>
      <c r="C18" t="s">
        <v>1122</v>
      </c>
      <c r="D18" t="s">
        <v>1163</v>
      </c>
      <c r="G18" t="s">
        <v>1122</v>
      </c>
      <c r="H18">
        <v>4</v>
      </c>
      <c r="I18">
        <v>8</v>
      </c>
      <c r="J18">
        <v>88</v>
      </c>
      <c r="O18">
        <v>0.2</v>
      </c>
      <c r="P18" t="s">
        <v>1118</v>
      </c>
      <c r="Q18">
        <v>7.68</v>
      </c>
      <c r="T18">
        <v>2.0299999999999998</v>
      </c>
      <c r="U18" t="s">
        <v>1164</v>
      </c>
      <c r="AD18">
        <v>10</v>
      </c>
      <c r="AE18" t="s">
        <v>1118</v>
      </c>
      <c r="BD18">
        <v>2.2999999999999998</v>
      </c>
      <c r="BE18" t="s">
        <v>1104</v>
      </c>
    </row>
    <row r="19" spans="1:63">
      <c r="B19" t="s">
        <v>1165</v>
      </c>
      <c r="C19" t="s">
        <v>1166</v>
      </c>
      <c r="D19" t="s">
        <v>1163</v>
      </c>
      <c r="G19" t="s">
        <v>1166</v>
      </c>
      <c r="H19">
        <v>39.5</v>
      </c>
      <c r="I19">
        <v>34.799999999999997</v>
      </c>
      <c r="J19">
        <v>25.7</v>
      </c>
      <c r="O19">
        <v>0.55000000000000004</v>
      </c>
      <c r="P19" t="s">
        <v>1118</v>
      </c>
      <c r="Q19">
        <v>7.53</v>
      </c>
      <c r="T19">
        <v>1.48</v>
      </c>
      <c r="U19" t="s">
        <v>1164</v>
      </c>
      <c r="AD19">
        <v>10</v>
      </c>
      <c r="AE19" t="s">
        <v>1118</v>
      </c>
    </row>
    <row r="20" spans="1:63">
      <c r="A20" t="s">
        <v>962</v>
      </c>
      <c r="B20" t="s">
        <v>1167</v>
      </c>
      <c r="D20" t="s">
        <v>1168</v>
      </c>
      <c r="E20" t="s">
        <v>1169</v>
      </c>
      <c r="G20" s="48" t="s">
        <v>1170</v>
      </c>
      <c r="H20" s="48">
        <v>16.57</v>
      </c>
      <c r="I20" s="48">
        <v>52.55</v>
      </c>
      <c r="J20" s="48">
        <v>30.86</v>
      </c>
      <c r="K20">
        <v>2023.3</v>
      </c>
      <c r="L20" t="s">
        <v>1108</v>
      </c>
      <c r="Q20">
        <v>6.34</v>
      </c>
      <c r="AF20">
        <v>1822.6</v>
      </c>
      <c r="AG20" t="s">
        <v>1108</v>
      </c>
      <c r="AI20">
        <v>732.6</v>
      </c>
      <c r="AJ20" t="s">
        <v>1108</v>
      </c>
      <c r="AQ20">
        <v>28.7</v>
      </c>
      <c r="AR20" t="s">
        <v>1108</v>
      </c>
      <c r="BJ20">
        <v>292.2</v>
      </c>
      <c r="BK20" t="s">
        <v>1171</v>
      </c>
    </row>
    <row r="21" spans="1:63">
      <c r="A21" t="s">
        <v>958</v>
      </c>
      <c r="B21" t="s">
        <v>1172</v>
      </c>
      <c r="C21" t="s">
        <v>1100</v>
      </c>
      <c r="K21">
        <v>13.09</v>
      </c>
      <c r="L21" t="s">
        <v>1104</v>
      </c>
      <c r="M21">
        <v>108.74</v>
      </c>
      <c r="N21" t="s">
        <v>1108</v>
      </c>
      <c r="Q21">
        <v>6.18</v>
      </c>
      <c r="R21" t="s">
        <v>1105</v>
      </c>
      <c r="S21" t="s">
        <v>1127</v>
      </c>
      <c r="V21">
        <v>20.55</v>
      </c>
      <c r="W21" t="s">
        <v>1119</v>
      </c>
      <c r="AF21">
        <v>1.19</v>
      </c>
      <c r="AG21" t="s">
        <v>1104</v>
      </c>
      <c r="AI21">
        <v>0.57999999999999996</v>
      </c>
      <c r="AJ21" t="s">
        <v>1104</v>
      </c>
      <c r="AK21">
        <v>77.83</v>
      </c>
      <c r="AL21" t="s">
        <v>1108</v>
      </c>
      <c r="AM21">
        <v>25.76</v>
      </c>
      <c r="AN21" t="s">
        <v>1108</v>
      </c>
      <c r="AQ21">
        <v>71.06</v>
      </c>
      <c r="AR21" t="s">
        <v>1108</v>
      </c>
      <c r="AV21">
        <v>247.33</v>
      </c>
      <c r="AW21" t="s">
        <v>1108</v>
      </c>
    </row>
    <row r="22" spans="1:63">
      <c r="A22" t="s">
        <v>949</v>
      </c>
      <c r="B22" t="s">
        <v>1173</v>
      </c>
      <c r="C22" t="s">
        <v>1174</v>
      </c>
      <c r="D22" t="s">
        <v>1175</v>
      </c>
      <c r="G22" t="s">
        <v>1176</v>
      </c>
      <c r="H22">
        <v>14.9</v>
      </c>
      <c r="I22">
        <v>4.7</v>
      </c>
      <c r="J22">
        <v>80.400000000000006</v>
      </c>
      <c r="K22">
        <v>0.69</v>
      </c>
      <c r="L22" t="s">
        <v>1118</v>
      </c>
      <c r="M22">
        <v>0.14000000000000001</v>
      </c>
      <c r="N22" t="s">
        <v>1177</v>
      </c>
      <c r="Q22">
        <v>6.81</v>
      </c>
      <c r="AF22">
        <v>0.09</v>
      </c>
      <c r="AG22" t="s">
        <v>1118</v>
      </c>
      <c r="AH22">
        <v>7.93</v>
      </c>
    </row>
    <row r="23" spans="1:63">
      <c r="B23" t="s">
        <v>1178</v>
      </c>
      <c r="C23" t="s">
        <v>1179</v>
      </c>
      <c r="D23" t="s">
        <v>1175</v>
      </c>
      <c r="G23" t="s">
        <v>1176</v>
      </c>
      <c r="H23">
        <v>14.9</v>
      </c>
      <c r="I23">
        <v>4.7</v>
      </c>
      <c r="J23">
        <v>80.400000000000006</v>
      </c>
      <c r="K23">
        <v>1.01</v>
      </c>
      <c r="L23" t="s">
        <v>1118</v>
      </c>
      <c r="M23">
        <v>0.14000000000000001</v>
      </c>
      <c r="N23" t="s">
        <v>1177</v>
      </c>
      <c r="Q23">
        <v>7.67</v>
      </c>
      <c r="AF23">
        <v>0.12</v>
      </c>
      <c r="AG23" t="s">
        <v>1118</v>
      </c>
      <c r="AH23">
        <v>8.27</v>
      </c>
    </row>
    <row r="24" spans="1:63">
      <c r="A24" t="s">
        <v>935</v>
      </c>
      <c r="B24" t="s">
        <v>1180</v>
      </c>
      <c r="C24" t="s">
        <v>1181</v>
      </c>
      <c r="D24" t="s">
        <v>1182</v>
      </c>
      <c r="E24" t="s">
        <v>1183</v>
      </c>
      <c r="F24" t="s">
        <v>1184</v>
      </c>
      <c r="G24" s="42" t="s">
        <v>1140</v>
      </c>
      <c r="H24" s="42">
        <v>40.17</v>
      </c>
      <c r="I24" s="42">
        <f>100-H24-J24</f>
        <v>27.25</v>
      </c>
      <c r="J24" s="42">
        <v>32.58</v>
      </c>
      <c r="K24">
        <v>1.98</v>
      </c>
      <c r="L24" t="s">
        <v>1118</v>
      </c>
      <c r="Q24">
        <v>4.8</v>
      </c>
      <c r="R24" t="s">
        <v>1185</v>
      </c>
      <c r="V24">
        <v>48.7</v>
      </c>
      <c r="W24" t="s">
        <v>1186</v>
      </c>
      <c r="AF24">
        <v>1813</v>
      </c>
      <c r="AG24" t="s">
        <v>1108</v>
      </c>
      <c r="AQ24">
        <v>20</v>
      </c>
      <c r="AR24" t="s">
        <v>1187</v>
      </c>
      <c r="AV24">
        <v>0.9</v>
      </c>
      <c r="AW24" t="s">
        <v>1186</v>
      </c>
      <c r="AX24">
        <v>8</v>
      </c>
      <c r="AY24" t="s">
        <v>1186</v>
      </c>
    </row>
    <row r="25" spans="1:63">
      <c r="A25" t="s">
        <v>931</v>
      </c>
      <c r="B25" t="s">
        <v>1188</v>
      </c>
      <c r="C25" t="s">
        <v>1174</v>
      </c>
      <c r="D25" t="s">
        <v>1189</v>
      </c>
      <c r="E25" t="s">
        <v>1190</v>
      </c>
      <c r="F25" t="s">
        <v>1191</v>
      </c>
      <c r="G25" t="s">
        <v>1132</v>
      </c>
      <c r="H25">
        <v>23.9</v>
      </c>
      <c r="I25">
        <v>32.4</v>
      </c>
      <c r="J25">
        <v>43.7</v>
      </c>
      <c r="K25">
        <v>9.6999999999999993</v>
      </c>
      <c r="L25" t="s">
        <v>1104</v>
      </c>
      <c r="M25">
        <v>131</v>
      </c>
      <c r="N25" t="s">
        <v>1108</v>
      </c>
      <c r="Q25">
        <v>6.81</v>
      </c>
      <c r="R25" t="s">
        <v>1105</v>
      </c>
      <c r="S25" t="s">
        <v>1192</v>
      </c>
      <c r="T25">
        <v>2.4700000000000002</v>
      </c>
      <c r="U25" t="s">
        <v>1164</v>
      </c>
      <c r="BH25">
        <v>0.97</v>
      </c>
      <c r="BI25" t="s">
        <v>1193</v>
      </c>
    </row>
    <row r="26" spans="1:63">
      <c r="B26" t="s">
        <v>1194</v>
      </c>
      <c r="C26" t="s">
        <v>1179</v>
      </c>
      <c r="D26" t="s">
        <v>1189</v>
      </c>
      <c r="E26" t="s">
        <v>1195</v>
      </c>
      <c r="F26" t="s">
        <v>1196</v>
      </c>
      <c r="G26" t="s">
        <v>1122</v>
      </c>
      <c r="H26">
        <v>14.2</v>
      </c>
      <c r="I26">
        <v>32.299999999999997</v>
      </c>
      <c r="J26">
        <v>53.5</v>
      </c>
      <c r="K26">
        <v>6.7</v>
      </c>
      <c r="L26" t="s">
        <v>1104</v>
      </c>
      <c r="M26">
        <v>103</v>
      </c>
      <c r="N26" t="s">
        <v>1108</v>
      </c>
      <c r="Q26">
        <v>5.7</v>
      </c>
      <c r="R26" t="s">
        <v>1105</v>
      </c>
      <c r="S26" t="s">
        <v>1192</v>
      </c>
      <c r="T26">
        <v>3.08</v>
      </c>
      <c r="U26" t="s">
        <v>1164</v>
      </c>
      <c r="BH26">
        <v>0.75</v>
      </c>
      <c r="BI26" t="s">
        <v>1193</v>
      </c>
    </row>
    <row r="27" spans="1:63">
      <c r="B27" t="s">
        <v>1197</v>
      </c>
      <c r="C27" t="s">
        <v>1114</v>
      </c>
      <c r="D27" t="s">
        <v>1189</v>
      </c>
      <c r="E27" t="s">
        <v>1198</v>
      </c>
      <c r="F27" t="s">
        <v>1199</v>
      </c>
      <c r="G27" t="s">
        <v>1140</v>
      </c>
      <c r="H27">
        <v>42.2</v>
      </c>
      <c r="I27">
        <v>14.4</v>
      </c>
      <c r="J27">
        <v>43.4</v>
      </c>
      <c r="K27">
        <v>13.4</v>
      </c>
      <c r="L27" t="s">
        <v>1104</v>
      </c>
      <c r="M27">
        <v>195</v>
      </c>
      <c r="N27" t="s">
        <v>1108</v>
      </c>
      <c r="Q27">
        <v>8.15</v>
      </c>
      <c r="R27" t="s">
        <v>1105</v>
      </c>
      <c r="S27" t="s">
        <v>1192</v>
      </c>
      <c r="T27">
        <v>0.66</v>
      </c>
      <c r="U27" t="s">
        <v>1164</v>
      </c>
      <c r="BH27">
        <v>1.32</v>
      </c>
      <c r="BI27" t="s">
        <v>1193</v>
      </c>
    </row>
    <row r="28" spans="1:63">
      <c r="B28" t="s">
        <v>1200</v>
      </c>
      <c r="C28" t="s">
        <v>1201</v>
      </c>
      <c r="D28" t="s">
        <v>1202</v>
      </c>
      <c r="E28" t="s">
        <v>1203</v>
      </c>
      <c r="F28" t="s">
        <v>1204</v>
      </c>
      <c r="G28" t="s">
        <v>1205</v>
      </c>
      <c r="H28">
        <v>29.7</v>
      </c>
      <c r="I28">
        <v>21.1</v>
      </c>
      <c r="J28">
        <v>49.2</v>
      </c>
      <c r="K28">
        <v>9.9</v>
      </c>
      <c r="L28" t="s">
        <v>1104</v>
      </c>
      <c r="M28">
        <v>69</v>
      </c>
      <c r="N28" t="s">
        <v>1108</v>
      </c>
      <c r="Q28">
        <v>7.8</v>
      </c>
      <c r="R28" t="s">
        <v>1105</v>
      </c>
      <c r="S28" t="s">
        <v>1192</v>
      </c>
      <c r="T28">
        <v>0.43</v>
      </c>
      <c r="U28" t="s">
        <v>1164</v>
      </c>
      <c r="BH28">
        <v>1.37</v>
      </c>
      <c r="BI28" t="s">
        <v>1193</v>
      </c>
    </row>
    <row r="29" spans="1:63">
      <c r="A29" t="s">
        <v>927</v>
      </c>
      <c r="B29" t="s">
        <v>1206</v>
      </c>
      <c r="C29" t="s">
        <v>1207</v>
      </c>
      <c r="D29" t="s">
        <v>1208</v>
      </c>
      <c r="E29" t="s">
        <v>1209</v>
      </c>
      <c r="G29" s="51" t="s">
        <v>1166</v>
      </c>
      <c r="H29">
        <v>43.2</v>
      </c>
      <c r="I29">
        <v>24.7</v>
      </c>
      <c r="J29">
        <v>32.1</v>
      </c>
      <c r="K29">
        <v>0.84</v>
      </c>
      <c r="L29" t="s">
        <v>1118</v>
      </c>
      <c r="O29">
        <v>1.45</v>
      </c>
      <c r="P29" t="s">
        <v>1118</v>
      </c>
      <c r="Q29">
        <v>4.8499999999999996</v>
      </c>
      <c r="V29">
        <v>24.8</v>
      </c>
      <c r="W29" t="s">
        <v>1119</v>
      </c>
      <c r="AF29">
        <v>574</v>
      </c>
      <c r="AG29" t="s">
        <v>1108</v>
      </c>
    </row>
    <row r="30" spans="1:63">
      <c r="B30" t="s">
        <v>1210</v>
      </c>
      <c r="C30" t="s">
        <v>1211</v>
      </c>
      <c r="D30" t="s">
        <v>1212</v>
      </c>
      <c r="E30" t="s">
        <v>1213</v>
      </c>
      <c r="G30" t="s">
        <v>1122</v>
      </c>
      <c r="H30">
        <v>15.4</v>
      </c>
      <c r="I30">
        <v>12.3</v>
      </c>
      <c r="J30">
        <v>73.2</v>
      </c>
      <c r="K30">
        <v>0.98</v>
      </c>
      <c r="L30" t="s">
        <v>1118</v>
      </c>
      <c r="O30">
        <v>1.69</v>
      </c>
      <c r="P30" t="s">
        <v>1118</v>
      </c>
      <c r="Q30">
        <v>7.55</v>
      </c>
      <c r="V30">
        <v>9.0399999999999991</v>
      </c>
      <c r="W30" t="s">
        <v>1119</v>
      </c>
      <c r="AF30">
        <v>273</v>
      </c>
      <c r="AG30" t="s">
        <v>1108</v>
      </c>
    </row>
    <row r="31" spans="1:63">
      <c r="B31" t="s">
        <v>1214</v>
      </c>
      <c r="C31" t="s">
        <v>1215</v>
      </c>
      <c r="D31" t="s">
        <v>1216</v>
      </c>
      <c r="E31" t="s">
        <v>1217</v>
      </c>
      <c r="G31" s="51" t="s">
        <v>1103</v>
      </c>
      <c r="H31">
        <v>21.9</v>
      </c>
      <c r="I31">
        <v>23.1</v>
      </c>
      <c r="J31">
        <v>55</v>
      </c>
      <c r="K31">
        <v>2.23</v>
      </c>
      <c r="L31" t="s">
        <v>1118</v>
      </c>
      <c r="O31">
        <v>3.84</v>
      </c>
      <c r="P31" t="s">
        <v>1118</v>
      </c>
      <c r="Q31">
        <v>6.59</v>
      </c>
      <c r="V31">
        <v>27.8</v>
      </c>
      <c r="W31" t="s">
        <v>1119</v>
      </c>
      <c r="AF31">
        <v>1740</v>
      </c>
      <c r="AG31" t="s">
        <v>1108</v>
      </c>
    </row>
    <row r="32" spans="1:63">
      <c r="A32" t="s">
        <v>918</v>
      </c>
      <c r="B32" t="s">
        <v>1218</v>
      </c>
      <c r="C32" t="s">
        <v>1181</v>
      </c>
      <c r="D32" t="s">
        <v>1219</v>
      </c>
      <c r="E32" t="s">
        <v>1220</v>
      </c>
      <c r="F32" t="s">
        <v>1221</v>
      </c>
      <c r="G32" t="s">
        <v>1122</v>
      </c>
      <c r="H32">
        <v>16</v>
      </c>
      <c r="I32">
        <v>20</v>
      </c>
      <c r="J32">
        <v>64</v>
      </c>
      <c r="K32">
        <v>1.56</v>
      </c>
      <c r="L32" t="s">
        <v>1118</v>
      </c>
      <c r="Q32">
        <v>8.5</v>
      </c>
      <c r="R32" t="s">
        <v>1105</v>
      </c>
      <c r="S32" t="s">
        <v>1127</v>
      </c>
      <c r="T32">
        <v>140</v>
      </c>
      <c r="U32" t="s">
        <v>1222</v>
      </c>
      <c r="AD32">
        <v>18</v>
      </c>
      <c r="AE32" t="s">
        <v>1118</v>
      </c>
      <c r="AH32">
        <v>11.2</v>
      </c>
    </row>
    <row r="33" spans="1:66">
      <c r="A33" t="s">
        <v>914</v>
      </c>
      <c r="B33" t="s">
        <v>1223</v>
      </c>
      <c r="C33" t="s">
        <v>1224</v>
      </c>
      <c r="G33" t="s">
        <v>1103</v>
      </c>
      <c r="H33">
        <v>32.9</v>
      </c>
      <c r="I33">
        <v>30.2</v>
      </c>
      <c r="J33">
        <v>36.9</v>
      </c>
      <c r="O33">
        <v>3.1</v>
      </c>
      <c r="P33" t="s">
        <v>1118</v>
      </c>
      <c r="Q33">
        <v>7.3</v>
      </c>
      <c r="R33" t="s">
        <v>1105</v>
      </c>
      <c r="S33" t="s">
        <v>1192</v>
      </c>
      <c r="T33">
        <v>7.3</v>
      </c>
      <c r="U33" t="s">
        <v>1164</v>
      </c>
      <c r="AB33">
        <v>1.33</v>
      </c>
      <c r="AC33" t="s">
        <v>1151</v>
      </c>
    </row>
    <row r="34" spans="1:66">
      <c r="A34" t="s">
        <v>29</v>
      </c>
      <c r="B34" t="s">
        <v>1225</v>
      </c>
      <c r="C34" t="s">
        <v>1226</v>
      </c>
      <c r="D34" t="s">
        <v>1227</v>
      </c>
      <c r="G34" t="s">
        <v>1103</v>
      </c>
      <c r="H34">
        <v>33</v>
      </c>
      <c r="I34">
        <v>31</v>
      </c>
      <c r="J34">
        <v>36</v>
      </c>
      <c r="K34">
        <v>3.06</v>
      </c>
      <c r="L34" t="s">
        <v>1118</v>
      </c>
      <c r="Q34">
        <v>7.9</v>
      </c>
    </row>
    <row r="35" spans="1:66">
      <c r="B35" t="s">
        <v>1228</v>
      </c>
      <c r="C35" t="s">
        <v>1229</v>
      </c>
      <c r="D35" t="s">
        <v>1227</v>
      </c>
      <c r="G35" t="s">
        <v>1205</v>
      </c>
      <c r="H35">
        <v>29</v>
      </c>
      <c r="I35">
        <v>17</v>
      </c>
      <c r="J35">
        <v>54</v>
      </c>
      <c r="K35">
        <v>3.74</v>
      </c>
      <c r="L35" t="s">
        <v>1118</v>
      </c>
      <c r="Q35">
        <v>6.9</v>
      </c>
    </row>
    <row r="36" spans="1:66">
      <c r="B36" t="s">
        <v>1230</v>
      </c>
      <c r="C36" t="s">
        <v>1231</v>
      </c>
      <c r="D36" t="s">
        <v>1227</v>
      </c>
      <c r="G36" t="s">
        <v>1232</v>
      </c>
      <c r="H36">
        <v>19</v>
      </c>
      <c r="I36">
        <v>19</v>
      </c>
      <c r="J36">
        <v>62</v>
      </c>
      <c r="K36">
        <v>3.07</v>
      </c>
      <c r="L36" t="s">
        <v>1118</v>
      </c>
      <c r="Q36">
        <v>5.9</v>
      </c>
    </row>
    <row r="37" spans="1:66">
      <c r="B37" t="s">
        <v>1233</v>
      </c>
      <c r="C37" t="s">
        <v>1234</v>
      </c>
      <c r="D37" t="s">
        <v>1227</v>
      </c>
      <c r="G37" t="s">
        <v>1232</v>
      </c>
      <c r="H37">
        <v>13</v>
      </c>
      <c r="I37">
        <v>9</v>
      </c>
      <c r="J37">
        <v>79</v>
      </c>
      <c r="K37">
        <v>0.6</v>
      </c>
      <c r="L37" t="s">
        <v>1118</v>
      </c>
      <c r="Q37">
        <v>7.7</v>
      </c>
    </row>
    <row r="38" spans="1:66">
      <c r="A38" t="s">
        <v>40</v>
      </c>
      <c r="B38" t="s">
        <v>1235</v>
      </c>
      <c r="C38" t="s">
        <v>1236</v>
      </c>
      <c r="D38" t="s">
        <v>1237</v>
      </c>
      <c r="E38" t="s">
        <v>1238</v>
      </c>
      <c r="G38" t="s">
        <v>1132</v>
      </c>
      <c r="H38">
        <v>25.6</v>
      </c>
      <c r="I38">
        <v>45.5</v>
      </c>
      <c r="J38">
        <v>28.9</v>
      </c>
      <c r="O38">
        <v>23.33</v>
      </c>
      <c r="P38" t="s">
        <v>1104</v>
      </c>
      <c r="Q38">
        <v>6.32</v>
      </c>
      <c r="R38" t="s">
        <v>1105</v>
      </c>
      <c r="S38" t="s">
        <v>1127</v>
      </c>
      <c r="Z38">
        <v>60</v>
      </c>
      <c r="AA38" t="s">
        <v>1118</v>
      </c>
      <c r="AF38">
        <v>0.83</v>
      </c>
      <c r="AG38" t="s">
        <v>1104</v>
      </c>
    </row>
    <row r="39" spans="1:66">
      <c r="B39" t="s">
        <v>1239</v>
      </c>
      <c r="C39" t="s">
        <v>1240</v>
      </c>
      <c r="D39" t="s">
        <v>1237</v>
      </c>
      <c r="E39" t="s">
        <v>1238</v>
      </c>
      <c r="G39" t="s">
        <v>1132</v>
      </c>
      <c r="H39">
        <v>25.6</v>
      </c>
      <c r="I39">
        <v>45.5</v>
      </c>
      <c r="J39">
        <v>28.9</v>
      </c>
      <c r="O39">
        <v>23.33</v>
      </c>
      <c r="P39" t="s">
        <v>1104</v>
      </c>
      <c r="Q39">
        <v>6.32</v>
      </c>
      <c r="R39" t="s">
        <v>1105</v>
      </c>
      <c r="S39" t="s">
        <v>1127</v>
      </c>
      <c r="Z39">
        <v>60</v>
      </c>
      <c r="AA39" t="s">
        <v>1118</v>
      </c>
      <c r="AF39">
        <v>0.83</v>
      </c>
      <c r="AG39" t="s">
        <v>1104</v>
      </c>
    </row>
    <row r="40" spans="1:66">
      <c r="A40" t="s">
        <v>45</v>
      </c>
      <c r="B40" t="s">
        <v>1241</v>
      </c>
      <c r="C40" t="s">
        <v>1181</v>
      </c>
      <c r="D40" t="s">
        <v>1242</v>
      </c>
      <c r="E40" s="43" t="s">
        <v>1243</v>
      </c>
      <c r="G40" s="31" t="s">
        <v>1103</v>
      </c>
      <c r="H40" s="31">
        <v>29.95</v>
      </c>
      <c r="I40" s="31">
        <v>35.92</v>
      </c>
      <c r="J40" s="31">
        <v>34.119999999999997</v>
      </c>
      <c r="O40">
        <v>12.6</v>
      </c>
      <c r="P40" t="s">
        <v>1104</v>
      </c>
      <c r="Q40">
        <v>5.75</v>
      </c>
      <c r="S40" t="s">
        <v>1149</v>
      </c>
      <c r="T40">
        <v>58.6</v>
      </c>
      <c r="U40" t="s">
        <v>1244</v>
      </c>
      <c r="V40">
        <v>12.16</v>
      </c>
      <c r="W40" t="s">
        <v>1119</v>
      </c>
      <c r="Z40">
        <v>26.3</v>
      </c>
      <c r="AA40" t="s">
        <v>1118</v>
      </c>
      <c r="AF40">
        <v>945.7</v>
      </c>
      <c r="AG40" t="s">
        <v>1108</v>
      </c>
      <c r="BB40">
        <v>0.68</v>
      </c>
      <c r="BC40" t="s">
        <v>1108</v>
      </c>
      <c r="BD40">
        <v>13.75</v>
      </c>
      <c r="BE40" t="s">
        <v>1108</v>
      </c>
      <c r="BF40">
        <v>1.1499999999999999</v>
      </c>
      <c r="BG40" t="s">
        <v>1108</v>
      </c>
    </row>
    <row r="41" spans="1:66">
      <c r="A41" t="s">
        <v>68</v>
      </c>
      <c r="B41" t="s">
        <v>1245</v>
      </c>
      <c r="C41" t="s">
        <v>1246</v>
      </c>
      <c r="D41" t="s">
        <v>1247</v>
      </c>
      <c r="E41" t="s">
        <v>1248</v>
      </c>
      <c r="G41" t="s">
        <v>1170</v>
      </c>
      <c r="H41">
        <v>9.1</v>
      </c>
      <c r="I41">
        <v>69.099999999999994</v>
      </c>
      <c r="J41">
        <v>21.8</v>
      </c>
      <c r="O41">
        <v>0.55000000000000004</v>
      </c>
      <c r="P41" t="s">
        <v>1118</v>
      </c>
      <c r="Q41">
        <v>8.1</v>
      </c>
    </row>
    <row r="42" spans="1:66">
      <c r="A42" t="s">
        <v>73</v>
      </c>
      <c r="B42" t="s">
        <v>1249</v>
      </c>
      <c r="C42" t="s">
        <v>1181</v>
      </c>
      <c r="D42" t="s">
        <v>1250</v>
      </c>
      <c r="G42" t="s">
        <v>1122</v>
      </c>
      <c r="H42">
        <v>15.9</v>
      </c>
      <c r="I42">
        <v>12.4</v>
      </c>
      <c r="J42">
        <v>71.7</v>
      </c>
      <c r="K42">
        <v>0.36</v>
      </c>
      <c r="L42" t="s">
        <v>1118</v>
      </c>
      <c r="Q42">
        <v>8.1</v>
      </c>
      <c r="AF42">
        <v>0.02</v>
      </c>
      <c r="AG42" t="s">
        <v>1118</v>
      </c>
    </row>
    <row r="43" spans="1:66">
      <c r="B43" t="s">
        <v>1251</v>
      </c>
      <c r="C43" t="s">
        <v>1181</v>
      </c>
      <c r="D43" t="s">
        <v>1252</v>
      </c>
      <c r="G43" t="s">
        <v>1103</v>
      </c>
      <c r="H43">
        <v>28</v>
      </c>
      <c r="I43">
        <v>31.1</v>
      </c>
      <c r="J43">
        <v>40.9</v>
      </c>
      <c r="K43">
        <v>1.23</v>
      </c>
      <c r="L43" t="s">
        <v>1118</v>
      </c>
      <c r="Q43">
        <v>8.02</v>
      </c>
      <c r="AF43">
        <v>0.15</v>
      </c>
      <c r="AG43" t="s">
        <v>1118</v>
      </c>
    </row>
    <row r="44" spans="1:66">
      <c r="B44" t="s">
        <v>1253</v>
      </c>
      <c r="C44" t="s">
        <v>1254</v>
      </c>
      <c r="D44" t="s">
        <v>1252</v>
      </c>
      <c r="G44" t="s">
        <v>1103</v>
      </c>
      <c r="H44">
        <v>27.2</v>
      </c>
      <c r="I44">
        <v>31.4</v>
      </c>
      <c r="J44">
        <v>41.9</v>
      </c>
      <c r="K44">
        <v>1.63</v>
      </c>
      <c r="L44" t="s">
        <v>1118</v>
      </c>
      <c r="Q44">
        <v>7.98</v>
      </c>
      <c r="AF44">
        <v>0.16</v>
      </c>
      <c r="AG44" t="s">
        <v>1118</v>
      </c>
      <c r="BN44" t="s">
        <v>1255</v>
      </c>
    </row>
    <row r="45" spans="1:66">
      <c r="A45" t="s">
        <v>82</v>
      </c>
      <c r="B45" t="s">
        <v>1256</v>
      </c>
      <c r="C45" t="s">
        <v>1257</v>
      </c>
      <c r="D45" t="s">
        <v>1258</v>
      </c>
      <c r="G45" t="s">
        <v>1140</v>
      </c>
      <c r="H45">
        <v>77</v>
      </c>
      <c r="I45">
        <v>10</v>
      </c>
      <c r="J45">
        <v>13</v>
      </c>
    </row>
    <row r="46" spans="1:66">
      <c r="A46" t="s">
        <v>92</v>
      </c>
      <c r="B46" t="s">
        <v>1259</v>
      </c>
      <c r="D46" t="s">
        <v>1260</v>
      </c>
      <c r="E46" t="s">
        <v>1261</v>
      </c>
      <c r="G46" t="s">
        <v>1303</v>
      </c>
      <c r="H46">
        <v>14.4</v>
      </c>
      <c r="I46">
        <v>8.1999999999999993</v>
      </c>
      <c r="J46">
        <v>77.400000000000006</v>
      </c>
      <c r="K46">
        <v>9.51</v>
      </c>
      <c r="L46" t="s">
        <v>1118</v>
      </c>
      <c r="Q46">
        <v>6.46</v>
      </c>
      <c r="BN46" t="s">
        <v>1262</v>
      </c>
    </row>
    <row r="47" spans="1:66">
      <c r="A47" t="s">
        <v>910</v>
      </c>
      <c r="B47" t="s">
        <v>1263</v>
      </c>
      <c r="D47" t="s">
        <v>1264</v>
      </c>
      <c r="E47" t="s">
        <v>1265</v>
      </c>
      <c r="G47" s="48" t="s">
        <v>1205</v>
      </c>
      <c r="H47">
        <v>20.100000000000001</v>
      </c>
      <c r="I47">
        <v>5.9</v>
      </c>
      <c r="J47">
        <v>74</v>
      </c>
      <c r="K47">
        <v>0.34</v>
      </c>
      <c r="L47" t="s">
        <v>1118</v>
      </c>
      <c r="Q47">
        <v>8.4</v>
      </c>
      <c r="R47" t="s">
        <v>1105</v>
      </c>
      <c r="S47" t="s">
        <v>1127</v>
      </c>
    </row>
    <row r="48" spans="1:66">
      <c r="A48" t="s">
        <v>902</v>
      </c>
      <c r="B48" t="s">
        <v>1266</v>
      </c>
      <c r="C48" t="s">
        <v>1267</v>
      </c>
      <c r="D48" t="s">
        <v>1268</v>
      </c>
      <c r="E48" s="31" t="s">
        <v>1269</v>
      </c>
      <c r="G48" t="s">
        <v>1132</v>
      </c>
      <c r="H48" s="48">
        <v>26.5</v>
      </c>
      <c r="I48" s="48">
        <v>45.8</v>
      </c>
      <c r="J48" s="48">
        <v>27.7</v>
      </c>
      <c r="O48">
        <v>51.3</v>
      </c>
      <c r="P48" t="s">
        <v>1104</v>
      </c>
      <c r="Q48">
        <v>7.8</v>
      </c>
      <c r="R48" t="s">
        <v>1105</v>
      </c>
      <c r="S48" t="s">
        <v>1127</v>
      </c>
      <c r="T48">
        <v>0.23</v>
      </c>
      <c r="U48" t="s">
        <v>1164</v>
      </c>
    </row>
    <row r="49" spans="1:59">
      <c r="A49" t="s">
        <v>883</v>
      </c>
      <c r="B49" t="s">
        <v>1270</v>
      </c>
      <c r="D49" s="26" t="s">
        <v>1271</v>
      </c>
      <c r="E49" t="s">
        <v>1272</v>
      </c>
      <c r="F49" t="s">
        <v>1273</v>
      </c>
      <c r="G49" t="s">
        <v>1274</v>
      </c>
      <c r="H49">
        <v>38</v>
      </c>
      <c r="I49">
        <v>12</v>
      </c>
      <c r="J49">
        <v>50</v>
      </c>
      <c r="K49">
        <v>1.2</v>
      </c>
      <c r="L49" t="s">
        <v>1118</v>
      </c>
      <c r="Q49">
        <v>5.5</v>
      </c>
      <c r="R49" t="s">
        <v>1105</v>
      </c>
      <c r="S49" t="s">
        <v>1127</v>
      </c>
      <c r="V49">
        <v>23.3</v>
      </c>
      <c r="W49" t="s">
        <v>1119</v>
      </c>
      <c r="X49">
        <v>41</v>
      </c>
      <c r="Y49" t="s">
        <v>1118</v>
      </c>
      <c r="AI49">
        <v>1.3</v>
      </c>
      <c r="AJ49" t="s">
        <v>1108</v>
      </c>
      <c r="AV49">
        <v>77</v>
      </c>
      <c r="AW49" t="s">
        <v>1108</v>
      </c>
      <c r="BB49">
        <v>3.9</v>
      </c>
      <c r="BC49" t="s">
        <v>1108</v>
      </c>
      <c r="BD49">
        <v>129.80000000000001</v>
      </c>
      <c r="BE49" t="s">
        <v>1108</v>
      </c>
      <c r="BF49">
        <v>3</v>
      </c>
      <c r="BG49" t="s">
        <v>1108</v>
      </c>
    </row>
    <row r="50" spans="1:59">
      <c r="A50" t="s">
        <v>120</v>
      </c>
      <c r="B50" t="s">
        <v>1275</v>
      </c>
      <c r="D50" t="s">
        <v>1276</v>
      </c>
      <c r="G50" t="s">
        <v>1126</v>
      </c>
      <c r="H50">
        <v>10.7</v>
      </c>
      <c r="I50">
        <v>5.9</v>
      </c>
      <c r="J50">
        <v>83.4</v>
      </c>
      <c r="K50">
        <v>0.49</v>
      </c>
      <c r="L50" t="s">
        <v>1118</v>
      </c>
      <c r="M50">
        <v>0.05</v>
      </c>
      <c r="N50" t="s">
        <v>1118</v>
      </c>
      <c r="Q50">
        <v>6.29</v>
      </c>
      <c r="R50" t="s">
        <v>1277</v>
      </c>
      <c r="S50" t="s">
        <v>1127</v>
      </c>
      <c r="V50">
        <v>4.38</v>
      </c>
      <c r="W50" t="s">
        <v>1119</v>
      </c>
      <c r="AF50">
        <v>0.04</v>
      </c>
      <c r="AG50" t="s">
        <v>1118</v>
      </c>
      <c r="AH50">
        <v>12.2</v>
      </c>
      <c r="AV50">
        <v>0.66</v>
      </c>
      <c r="AW50" t="s">
        <v>1278</v>
      </c>
      <c r="AX50">
        <v>2.4</v>
      </c>
      <c r="AY50" t="s">
        <v>1119</v>
      </c>
      <c r="AZ50">
        <v>0.03</v>
      </c>
      <c r="BA50" t="s">
        <v>1278</v>
      </c>
    </row>
    <row r="51" spans="1:59">
      <c r="A51" t="s">
        <v>879</v>
      </c>
      <c r="B51" t="s">
        <v>1279</v>
      </c>
      <c r="D51" t="s">
        <v>1280</v>
      </c>
      <c r="F51" t="s">
        <v>1281</v>
      </c>
      <c r="G51" t="s">
        <v>1122</v>
      </c>
      <c r="H51">
        <v>14.9</v>
      </c>
      <c r="I51">
        <v>4.7</v>
      </c>
      <c r="J51">
        <v>80.400000000000006</v>
      </c>
      <c r="M51">
        <v>8.0000000000000002E-3</v>
      </c>
      <c r="N51" t="s">
        <v>1118</v>
      </c>
      <c r="O51">
        <v>1.33</v>
      </c>
      <c r="P51" t="s">
        <v>1118</v>
      </c>
      <c r="Q51">
        <v>6.34</v>
      </c>
      <c r="R51" t="s">
        <v>1277</v>
      </c>
      <c r="S51" t="s">
        <v>1127</v>
      </c>
      <c r="AF51">
        <v>0.05</v>
      </c>
      <c r="AG51" t="s">
        <v>1118</v>
      </c>
      <c r="AH51">
        <v>14.5</v>
      </c>
    </row>
    <row r="52" spans="1:59">
      <c r="A52" t="s">
        <v>874</v>
      </c>
      <c r="B52" t="s">
        <v>1282</v>
      </c>
      <c r="D52" t="s">
        <v>1283</v>
      </c>
      <c r="E52" t="s">
        <v>1284</v>
      </c>
      <c r="F52" t="s">
        <v>1285</v>
      </c>
      <c r="G52" t="s">
        <v>1132</v>
      </c>
      <c r="H52">
        <v>17</v>
      </c>
      <c r="I52">
        <v>63</v>
      </c>
      <c r="J52">
        <v>19</v>
      </c>
      <c r="K52">
        <v>14.9</v>
      </c>
      <c r="L52" t="s">
        <v>1104</v>
      </c>
      <c r="Q52">
        <v>5.3</v>
      </c>
      <c r="R52" t="s">
        <v>1185</v>
      </c>
      <c r="AF52">
        <v>1.85</v>
      </c>
      <c r="AG52" t="s">
        <v>1104</v>
      </c>
    </row>
    <row r="53" spans="1:59">
      <c r="A53" t="s">
        <v>124</v>
      </c>
      <c r="B53" t="s">
        <v>1286</v>
      </c>
      <c r="D53" t="s">
        <v>1287</v>
      </c>
      <c r="E53" s="43" t="s">
        <v>1288</v>
      </c>
      <c r="G53" s="48" t="s">
        <v>1132</v>
      </c>
      <c r="H53" s="48">
        <v>15.45</v>
      </c>
      <c r="I53" s="48">
        <v>38</v>
      </c>
      <c r="J53" s="48">
        <v>46.53</v>
      </c>
      <c r="K53">
        <v>6.2</v>
      </c>
      <c r="L53" t="s">
        <v>1104</v>
      </c>
      <c r="Q53">
        <v>7.8</v>
      </c>
      <c r="X53">
        <v>2.8</v>
      </c>
      <c r="Y53" t="s">
        <v>1118</v>
      </c>
      <c r="AF53">
        <v>0.82</v>
      </c>
      <c r="AG53" t="s">
        <v>1104</v>
      </c>
    </row>
    <row r="54" spans="1:59">
      <c r="A54" t="s">
        <v>856</v>
      </c>
      <c r="B54" t="s">
        <v>1289</v>
      </c>
      <c r="C54" t="s">
        <v>1290</v>
      </c>
      <c r="D54" t="s">
        <v>1291</v>
      </c>
      <c r="G54" s="48" t="s">
        <v>1205</v>
      </c>
      <c r="H54">
        <v>23</v>
      </c>
      <c r="I54">
        <v>23</v>
      </c>
      <c r="J54">
        <v>54</v>
      </c>
      <c r="O54">
        <v>1.43</v>
      </c>
      <c r="P54" t="s">
        <v>1118</v>
      </c>
      <c r="Q54">
        <v>8</v>
      </c>
      <c r="R54" t="s">
        <v>1277</v>
      </c>
      <c r="S54" t="s">
        <v>1292</v>
      </c>
    </row>
    <row r="55" spans="1:59">
      <c r="B55" t="s">
        <v>1293</v>
      </c>
      <c r="C55" t="s">
        <v>1294</v>
      </c>
      <c r="D55" t="s">
        <v>1291</v>
      </c>
      <c r="G55" s="48" t="s">
        <v>1205</v>
      </c>
      <c r="H55">
        <v>20</v>
      </c>
      <c r="I55">
        <v>9</v>
      </c>
      <c r="J55">
        <v>71</v>
      </c>
      <c r="O55">
        <v>0.99</v>
      </c>
      <c r="P55" t="s">
        <v>1118</v>
      </c>
      <c r="Q55">
        <v>7.9</v>
      </c>
      <c r="R55" t="s">
        <v>1277</v>
      </c>
      <c r="S55" t="s">
        <v>1292</v>
      </c>
    </row>
    <row r="56" spans="1:59">
      <c r="B56" t="s">
        <v>1295</v>
      </c>
      <c r="C56" t="s">
        <v>1296</v>
      </c>
      <c r="D56" t="s">
        <v>1291</v>
      </c>
      <c r="G56" s="48" t="s">
        <v>1140</v>
      </c>
      <c r="H56">
        <v>68</v>
      </c>
      <c r="I56">
        <v>32</v>
      </c>
      <c r="J56">
        <v>1</v>
      </c>
      <c r="O56">
        <v>0.83</v>
      </c>
      <c r="P56" t="s">
        <v>1118</v>
      </c>
      <c r="Q56">
        <v>8.3000000000000007</v>
      </c>
      <c r="R56" t="s">
        <v>1277</v>
      </c>
      <c r="S56" t="s">
        <v>1292</v>
      </c>
    </row>
    <row r="57" spans="1:59">
      <c r="A57" t="s">
        <v>129</v>
      </c>
      <c r="B57" t="s">
        <v>1297</v>
      </c>
      <c r="C57" t="s">
        <v>1298</v>
      </c>
      <c r="D57" t="s">
        <v>1299</v>
      </c>
      <c r="G57" t="s">
        <v>1122</v>
      </c>
      <c r="H57">
        <v>14</v>
      </c>
      <c r="I57">
        <v>12</v>
      </c>
      <c r="J57">
        <v>74</v>
      </c>
      <c r="Q57">
        <v>6.85</v>
      </c>
      <c r="AF57">
        <v>0.14000000000000001</v>
      </c>
      <c r="AG57" t="s">
        <v>1118</v>
      </c>
      <c r="AH57" s="12">
        <f>1.29/AF57</f>
        <v>9.2142857142857135</v>
      </c>
    </row>
    <row r="58" spans="1:59">
      <c r="A58" t="s">
        <v>848</v>
      </c>
      <c r="B58" t="s">
        <v>1300</v>
      </c>
      <c r="C58" t="s">
        <v>1078</v>
      </c>
      <c r="D58" t="s">
        <v>1301</v>
      </c>
      <c r="E58" t="s">
        <v>1302</v>
      </c>
      <c r="G58" t="s">
        <v>1303</v>
      </c>
      <c r="H58">
        <v>40</v>
      </c>
      <c r="I58">
        <v>49</v>
      </c>
      <c r="J58">
        <v>11</v>
      </c>
      <c r="K58">
        <v>1.4</v>
      </c>
      <c r="L58" t="s">
        <v>1118</v>
      </c>
      <c r="O58">
        <v>2.42</v>
      </c>
      <c r="P58" t="s">
        <v>1118</v>
      </c>
      <c r="Q58">
        <v>8.6</v>
      </c>
      <c r="AD58">
        <v>43</v>
      </c>
      <c r="AE58" t="s">
        <v>1118</v>
      </c>
    </row>
    <row r="59" spans="1:59">
      <c r="A59" t="s">
        <v>133</v>
      </c>
      <c r="B59" t="s">
        <v>1304</v>
      </c>
      <c r="C59" t="s">
        <v>1305</v>
      </c>
      <c r="D59" t="s">
        <v>1306</v>
      </c>
      <c r="E59" t="s">
        <v>1307</v>
      </c>
      <c r="G59" t="s">
        <v>1205</v>
      </c>
      <c r="H59">
        <v>30.8</v>
      </c>
      <c r="I59">
        <v>14</v>
      </c>
      <c r="J59">
        <v>55.2</v>
      </c>
      <c r="O59">
        <v>1.26</v>
      </c>
      <c r="P59" t="s">
        <v>1118</v>
      </c>
      <c r="Q59">
        <v>8.15</v>
      </c>
      <c r="R59" t="s">
        <v>1277</v>
      </c>
      <c r="S59" t="s">
        <v>1308</v>
      </c>
      <c r="AF59">
        <v>0.1</v>
      </c>
      <c r="AG59" t="s">
        <v>1118</v>
      </c>
      <c r="AI59">
        <v>1.02</v>
      </c>
      <c r="AJ59" t="s">
        <v>1108</v>
      </c>
      <c r="AV59">
        <v>253</v>
      </c>
      <c r="AW59" t="s">
        <v>1108</v>
      </c>
      <c r="AX59">
        <v>225</v>
      </c>
      <c r="AY59" t="s">
        <v>1108</v>
      </c>
      <c r="AZ59">
        <v>85.9</v>
      </c>
      <c r="BA59" t="s">
        <v>1108</v>
      </c>
      <c r="BB59">
        <v>4.04</v>
      </c>
      <c r="BC59" t="s">
        <v>1108</v>
      </c>
      <c r="BD59">
        <v>46.76</v>
      </c>
      <c r="BE59" t="s">
        <v>1108</v>
      </c>
      <c r="BF59">
        <v>1.38</v>
      </c>
      <c r="BG59" t="s">
        <v>1108</v>
      </c>
    </row>
    <row r="60" spans="1:59">
      <c r="B60" t="s">
        <v>1309</v>
      </c>
      <c r="C60" t="s">
        <v>1305</v>
      </c>
      <c r="D60" t="s">
        <v>1310</v>
      </c>
      <c r="E60" t="s">
        <v>1311</v>
      </c>
      <c r="G60" t="s">
        <v>1103</v>
      </c>
      <c r="H60">
        <v>30.8</v>
      </c>
      <c r="I60">
        <v>44</v>
      </c>
      <c r="J60">
        <v>25.2</v>
      </c>
      <c r="O60">
        <v>3.73</v>
      </c>
      <c r="P60" t="s">
        <v>1118</v>
      </c>
      <c r="Q60">
        <v>6.04</v>
      </c>
      <c r="R60" t="s">
        <v>1277</v>
      </c>
      <c r="S60" t="s">
        <v>1308</v>
      </c>
      <c r="AF60">
        <v>0.23</v>
      </c>
      <c r="AG60" t="s">
        <v>1118</v>
      </c>
      <c r="AI60">
        <v>1.91</v>
      </c>
      <c r="AJ60" t="s">
        <v>1108</v>
      </c>
      <c r="AV60">
        <v>329</v>
      </c>
      <c r="AW60" t="s">
        <v>1108</v>
      </c>
      <c r="AX60">
        <v>100</v>
      </c>
      <c r="AY60" t="s">
        <v>1108</v>
      </c>
      <c r="AZ60">
        <v>21.2</v>
      </c>
      <c r="BA60" t="s">
        <v>1108</v>
      </c>
      <c r="BB60">
        <v>4.3499999999999996</v>
      </c>
      <c r="BC60" t="s">
        <v>1108</v>
      </c>
      <c r="BD60">
        <v>15.27</v>
      </c>
      <c r="BE60" t="s">
        <v>1108</v>
      </c>
      <c r="BF60">
        <v>0.34</v>
      </c>
      <c r="BG60" t="s">
        <v>1108</v>
      </c>
    </row>
    <row r="61" spans="1:59">
      <c r="A61" t="s">
        <v>827</v>
      </c>
      <c r="B61" t="s">
        <v>1312</v>
      </c>
      <c r="D61" t="s">
        <v>1313</v>
      </c>
      <c r="E61" t="s">
        <v>1314</v>
      </c>
      <c r="G61" s="48" t="s">
        <v>1132</v>
      </c>
      <c r="H61" s="48">
        <v>15.9</v>
      </c>
      <c r="I61" s="48">
        <v>49.91</v>
      </c>
      <c r="J61" s="48">
        <v>34.68</v>
      </c>
      <c r="O61">
        <v>26.87</v>
      </c>
      <c r="P61" t="s">
        <v>1104</v>
      </c>
      <c r="Q61">
        <v>6.23</v>
      </c>
      <c r="V61">
        <v>17.079999999999998</v>
      </c>
      <c r="W61" t="s">
        <v>1119</v>
      </c>
    </row>
    <row r="62" spans="1:59">
      <c r="A62" t="s">
        <v>817</v>
      </c>
      <c r="B62" t="s">
        <v>1315</v>
      </c>
      <c r="C62" t="s">
        <v>1316</v>
      </c>
      <c r="G62" s="31" t="s">
        <v>1122</v>
      </c>
      <c r="H62">
        <v>16.399999999999999</v>
      </c>
      <c r="I62">
        <f>100-H62-J62-K62</f>
        <v>7.5399999999999885</v>
      </c>
      <c r="J62">
        <v>75.400000000000006</v>
      </c>
      <c r="K62">
        <v>0.66</v>
      </c>
      <c r="L62" t="s">
        <v>1118</v>
      </c>
      <c r="Q62">
        <v>7.1</v>
      </c>
      <c r="R62" t="s">
        <v>1277</v>
      </c>
      <c r="S62" t="s">
        <v>1292</v>
      </c>
    </row>
    <row r="63" spans="1:59">
      <c r="A63" t="s">
        <v>809</v>
      </c>
      <c r="B63" t="s">
        <v>1317</v>
      </c>
      <c r="C63" t="s">
        <v>1318</v>
      </c>
      <c r="D63" t="s">
        <v>1319</v>
      </c>
      <c r="G63" t="s">
        <v>1205</v>
      </c>
      <c r="H63">
        <v>26</v>
      </c>
      <c r="I63">
        <v>20</v>
      </c>
      <c r="J63">
        <v>54</v>
      </c>
      <c r="K63">
        <v>1.8</v>
      </c>
      <c r="L63" t="s">
        <v>1118</v>
      </c>
      <c r="Q63">
        <v>6.57</v>
      </c>
      <c r="R63" t="s">
        <v>1277</v>
      </c>
      <c r="S63" t="s">
        <v>1149</v>
      </c>
      <c r="AF63">
        <v>0.19</v>
      </c>
      <c r="AG63" t="s">
        <v>1118</v>
      </c>
    </row>
    <row r="64" spans="1:59">
      <c r="B64" t="s">
        <v>1320</v>
      </c>
      <c r="C64" t="s">
        <v>1321</v>
      </c>
      <c r="D64" t="s">
        <v>1322</v>
      </c>
      <c r="G64" t="s">
        <v>1126</v>
      </c>
      <c r="H64">
        <v>30</v>
      </c>
      <c r="I64">
        <v>23</v>
      </c>
      <c r="J64">
        <v>47</v>
      </c>
      <c r="K64">
        <v>1.5</v>
      </c>
      <c r="L64" t="s">
        <v>1118</v>
      </c>
      <c r="Q64">
        <v>7.6</v>
      </c>
      <c r="R64" t="s">
        <v>1277</v>
      </c>
      <c r="S64" t="s">
        <v>1149</v>
      </c>
      <c r="AF64" t="s">
        <v>1323</v>
      </c>
      <c r="AG64" t="s">
        <v>1118</v>
      </c>
    </row>
    <row r="65" spans="1:66">
      <c r="A65" t="s">
        <v>805</v>
      </c>
      <c r="B65" t="s">
        <v>1324</v>
      </c>
    </row>
    <row r="66" spans="1:66">
      <c r="A66" t="s">
        <v>137</v>
      </c>
      <c r="B66" t="s">
        <v>1325</v>
      </c>
      <c r="C66" t="s">
        <v>1078</v>
      </c>
      <c r="D66" t="s">
        <v>1326</v>
      </c>
      <c r="F66" t="s">
        <v>1327</v>
      </c>
      <c r="G66" t="s">
        <v>1205</v>
      </c>
      <c r="H66">
        <v>24.98</v>
      </c>
      <c r="I66">
        <v>16.97</v>
      </c>
      <c r="J66">
        <v>57.63</v>
      </c>
      <c r="K66">
        <v>1.3</v>
      </c>
      <c r="L66" t="s">
        <v>1118</v>
      </c>
      <c r="M66">
        <v>6.0000000000000001E-3</v>
      </c>
      <c r="N66" t="s">
        <v>1118</v>
      </c>
      <c r="Q66">
        <v>7.35</v>
      </c>
      <c r="AF66">
        <v>0.12</v>
      </c>
      <c r="AG66" t="s">
        <v>1118</v>
      </c>
      <c r="AH66">
        <v>10.8</v>
      </c>
    </row>
    <row r="67" spans="1:66">
      <c r="A67" t="s">
        <v>141</v>
      </c>
      <c r="B67" t="s">
        <v>1328</v>
      </c>
      <c r="D67" t="s">
        <v>1329</v>
      </c>
      <c r="G67" t="s">
        <v>1126</v>
      </c>
      <c r="H67">
        <v>10</v>
      </c>
      <c r="I67">
        <v>16</v>
      </c>
      <c r="J67">
        <v>74</v>
      </c>
      <c r="O67">
        <v>0.66</v>
      </c>
      <c r="P67" t="s">
        <v>1118</v>
      </c>
      <c r="Q67">
        <v>8.6999999999999993</v>
      </c>
      <c r="R67" t="s">
        <v>1277</v>
      </c>
      <c r="S67" t="s">
        <v>1127</v>
      </c>
    </row>
    <row r="68" spans="1:66">
      <c r="A68" t="s">
        <v>150</v>
      </c>
      <c r="B68" t="s">
        <v>1330</v>
      </c>
      <c r="D68" t="s">
        <v>1331</v>
      </c>
      <c r="G68" t="s">
        <v>1303</v>
      </c>
      <c r="O68">
        <v>2.5</v>
      </c>
      <c r="P68" t="s">
        <v>1118</v>
      </c>
      <c r="Q68">
        <v>7</v>
      </c>
    </row>
    <row r="69" spans="1:66">
      <c r="A69" t="s">
        <v>155</v>
      </c>
      <c r="B69" t="s">
        <v>1332</v>
      </c>
      <c r="C69" t="s">
        <v>1174</v>
      </c>
      <c r="D69" t="s">
        <v>1189</v>
      </c>
      <c r="E69" t="s">
        <v>1333</v>
      </c>
      <c r="G69" t="s">
        <v>1132</v>
      </c>
      <c r="H69">
        <v>23.9</v>
      </c>
      <c r="I69">
        <v>32.4</v>
      </c>
      <c r="J69">
        <v>43.7</v>
      </c>
    </row>
    <row r="70" spans="1:66">
      <c r="B70" t="s">
        <v>1334</v>
      </c>
      <c r="C70" t="s">
        <v>1179</v>
      </c>
      <c r="D70" t="s">
        <v>1189</v>
      </c>
      <c r="E70" t="s">
        <v>1335</v>
      </c>
      <c r="G70" t="s">
        <v>1122</v>
      </c>
      <c r="H70">
        <v>14.2</v>
      </c>
      <c r="I70">
        <v>32.299999999999997</v>
      </c>
      <c r="J70">
        <v>53.5</v>
      </c>
    </row>
    <row r="71" spans="1:66">
      <c r="B71" t="s">
        <v>1336</v>
      </c>
      <c r="C71" t="s">
        <v>1114</v>
      </c>
      <c r="D71" t="s">
        <v>1189</v>
      </c>
      <c r="E71" t="s">
        <v>1337</v>
      </c>
      <c r="G71" t="s">
        <v>1140</v>
      </c>
      <c r="H71">
        <v>42.2</v>
      </c>
      <c r="I71">
        <v>14.4</v>
      </c>
      <c r="J71">
        <v>43.4</v>
      </c>
    </row>
    <row r="72" spans="1:66">
      <c r="B72" t="s">
        <v>1338</v>
      </c>
      <c r="C72" t="s">
        <v>1201</v>
      </c>
      <c r="D72" t="s">
        <v>1339</v>
      </c>
      <c r="E72" t="s">
        <v>1340</v>
      </c>
      <c r="G72" t="s">
        <v>1205</v>
      </c>
      <c r="H72">
        <v>29.7</v>
      </c>
      <c r="I72">
        <v>21.1</v>
      </c>
      <c r="J72">
        <v>49.2</v>
      </c>
    </row>
    <row r="73" spans="1:66">
      <c r="A73" t="s">
        <v>801</v>
      </c>
      <c r="B73" t="s">
        <v>1341</v>
      </c>
      <c r="C73" t="s">
        <v>1342</v>
      </c>
      <c r="D73" t="s">
        <v>1343</v>
      </c>
      <c r="E73" t="s">
        <v>1344</v>
      </c>
      <c r="G73" t="s">
        <v>1205</v>
      </c>
      <c r="H73">
        <v>13.8</v>
      </c>
      <c r="I73">
        <v>29.6</v>
      </c>
      <c r="J73">
        <v>56.6</v>
      </c>
    </row>
    <row r="74" spans="1:66">
      <c r="A74" t="s">
        <v>160</v>
      </c>
      <c r="B74" t="s">
        <v>1345</v>
      </c>
      <c r="D74" t="s">
        <v>1346</v>
      </c>
      <c r="G74" t="s">
        <v>1122</v>
      </c>
      <c r="H74">
        <v>11</v>
      </c>
      <c r="I74">
        <v>35</v>
      </c>
      <c r="J74">
        <v>54</v>
      </c>
      <c r="K74">
        <v>0.56000000000000005</v>
      </c>
      <c r="L74" t="s">
        <v>1118</v>
      </c>
      <c r="Q74">
        <v>5.3</v>
      </c>
      <c r="R74" t="s">
        <v>1277</v>
      </c>
      <c r="S74" t="s">
        <v>1347</v>
      </c>
      <c r="AB74">
        <v>1.35</v>
      </c>
      <c r="AC74" t="s">
        <v>1151</v>
      </c>
    </row>
    <row r="75" spans="1:66">
      <c r="A75" t="s">
        <v>796</v>
      </c>
      <c r="B75" t="s">
        <v>1348</v>
      </c>
      <c r="D75" t="s">
        <v>1349</v>
      </c>
      <c r="E75" t="s">
        <v>1350</v>
      </c>
      <c r="G75" s="42" t="s">
        <v>1132</v>
      </c>
      <c r="H75" s="42">
        <v>17.75</v>
      </c>
      <c r="I75" s="42">
        <v>39.17</v>
      </c>
      <c r="J75" s="42">
        <v>43.05</v>
      </c>
      <c r="O75">
        <v>1.1200000000000001</v>
      </c>
      <c r="P75" t="s">
        <v>1118</v>
      </c>
      <c r="Q75">
        <v>7.4</v>
      </c>
      <c r="T75">
        <v>5.6000000000000001E-2</v>
      </c>
      <c r="U75" t="s">
        <v>1351</v>
      </c>
      <c r="AD75">
        <v>5.2</v>
      </c>
      <c r="AE75" t="s">
        <v>1118</v>
      </c>
      <c r="AF75">
        <v>4.8000000000000001E-2</v>
      </c>
      <c r="AG75" t="s">
        <v>1108</v>
      </c>
      <c r="AI75">
        <v>6.2</v>
      </c>
      <c r="AJ75" t="s">
        <v>1108</v>
      </c>
      <c r="AV75">
        <v>122</v>
      </c>
      <c r="AW75" t="s">
        <v>1108</v>
      </c>
    </row>
    <row r="76" spans="1:66">
      <c r="A76" t="s">
        <v>792</v>
      </c>
      <c r="B76" t="s">
        <v>1352</v>
      </c>
      <c r="C76" t="s">
        <v>1353</v>
      </c>
      <c r="D76" t="s">
        <v>1354</v>
      </c>
      <c r="G76" t="s">
        <v>1126</v>
      </c>
      <c r="H76">
        <v>7</v>
      </c>
      <c r="I76">
        <v>5</v>
      </c>
      <c r="J76">
        <v>88</v>
      </c>
      <c r="O76">
        <v>0.7</v>
      </c>
      <c r="P76" t="s">
        <v>1118</v>
      </c>
      <c r="V76">
        <v>3.3</v>
      </c>
      <c r="W76" t="s">
        <v>1119</v>
      </c>
    </row>
    <row r="77" spans="1:66">
      <c r="B77" t="s">
        <v>1355</v>
      </c>
      <c r="C77" t="s">
        <v>1356</v>
      </c>
      <c r="D77" t="s">
        <v>1354</v>
      </c>
      <c r="G77" t="s">
        <v>1122</v>
      </c>
      <c r="H77">
        <v>6</v>
      </c>
      <c r="I77">
        <v>40</v>
      </c>
      <c r="J77">
        <v>55</v>
      </c>
      <c r="O77">
        <v>0.7</v>
      </c>
      <c r="P77" t="s">
        <v>1118</v>
      </c>
      <c r="V77">
        <v>6.8</v>
      </c>
      <c r="W77" t="s">
        <v>1119</v>
      </c>
    </row>
    <row r="78" spans="1:66">
      <c r="B78" t="s">
        <v>1357</v>
      </c>
      <c r="C78" t="s">
        <v>1358</v>
      </c>
      <c r="D78" t="s">
        <v>1354</v>
      </c>
      <c r="G78" t="s">
        <v>1132</v>
      </c>
      <c r="H78">
        <v>25</v>
      </c>
      <c r="I78">
        <v>35</v>
      </c>
      <c r="J78">
        <v>40</v>
      </c>
      <c r="O78">
        <v>1.1000000000000001</v>
      </c>
      <c r="P78" t="s">
        <v>1118</v>
      </c>
      <c r="V78">
        <v>20</v>
      </c>
      <c r="W78" t="s">
        <v>1119</v>
      </c>
    </row>
    <row r="79" spans="1:66">
      <c r="A79" t="s">
        <v>190</v>
      </c>
      <c r="B79" t="s">
        <v>1359</v>
      </c>
      <c r="C79" t="s">
        <v>1360</v>
      </c>
      <c r="D79" t="s">
        <v>1361</v>
      </c>
      <c r="F79" t="s">
        <v>1362</v>
      </c>
      <c r="G79" t="s">
        <v>1170</v>
      </c>
      <c r="H79">
        <v>7.83</v>
      </c>
      <c r="I79">
        <v>62.05</v>
      </c>
      <c r="J79">
        <v>30.12</v>
      </c>
      <c r="K79">
        <v>1.26</v>
      </c>
      <c r="L79" t="s">
        <v>1118</v>
      </c>
      <c r="Q79">
        <v>5.9</v>
      </c>
      <c r="AF79">
        <v>0.13</v>
      </c>
      <c r="AG79" t="s">
        <v>1118</v>
      </c>
      <c r="AH79">
        <v>9.6999999999999993</v>
      </c>
      <c r="BN79" t="s">
        <v>1363</v>
      </c>
    </row>
    <row r="80" spans="1:66">
      <c r="B80" t="s">
        <v>1364</v>
      </c>
      <c r="C80" t="s">
        <v>1365</v>
      </c>
      <c r="D80" t="s">
        <v>1366</v>
      </c>
      <c r="F80" t="s">
        <v>1367</v>
      </c>
      <c r="G80" t="s">
        <v>1140</v>
      </c>
      <c r="H80">
        <v>50.38</v>
      </c>
      <c r="I80">
        <v>25.2</v>
      </c>
      <c r="J80">
        <v>24.42</v>
      </c>
      <c r="K80">
        <v>3.16</v>
      </c>
      <c r="L80" t="s">
        <v>1118</v>
      </c>
      <c r="Q80">
        <v>5.7</v>
      </c>
      <c r="AF80">
        <v>0.28000000000000003</v>
      </c>
      <c r="AG80" t="s">
        <v>1118</v>
      </c>
      <c r="AH80">
        <v>11.29</v>
      </c>
      <c r="BN80" t="s">
        <v>1368</v>
      </c>
    </row>
    <row r="81" spans="1:66">
      <c r="A81" t="s">
        <v>205</v>
      </c>
      <c r="B81" t="s">
        <v>1369</v>
      </c>
      <c r="D81" t="s">
        <v>1370</v>
      </c>
      <c r="G81" t="s">
        <v>1122</v>
      </c>
      <c r="H81">
        <v>12.4</v>
      </c>
      <c r="I81">
        <v>10</v>
      </c>
      <c r="J81">
        <v>77.599999999999994</v>
      </c>
      <c r="K81">
        <v>0.51</v>
      </c>
      <c r="L81" t="s">
        <v>1118</v>
      </c>
      <c r="Q81">
        <v>7.8</v>
      </c>
      <c r="R81" t="s">
        <v>1277</v>
      </c>
      <c r="S81" t="s">
        <v>1127</v>
      </c>
      <c r="V81">
        <v>11.2</v>
      </c>
      <c r="W81" t="s">
        <v>1119</v>
      </c>
    </row>
    <row r="82" spans="1:66">
      <c r="A82" t="s">
        <v>788</v>
      </c>
      <c r="B82" t="s">
        <v>1371</v>
      </c>
      <c r="D82" t="s">
        <v>1372</v>
      </c>
      <c r="E82" t="s">
        <v>1373</v>
      </c>
      <c r="G82" t="s">
        <v>1126</v>
      </c>
      <c r="H82" s="48">
        <v>7.13</v>
      </c>
      <c r="I82" s="48">
        <v>19.760000000000002</v>
      </c>
      <c r="J82" s="48">
        <v>73.11</v>
      </c>
      <c r="K82">
        <v>1.1299999999999999</v>
      </c>
      <c r="L82" t="s">
        <v>1118</v>
      </c>
      <c r="Q82">
        <v>7.3</v>
      </c>
      <c r="R82" t="s">
        <v>1277</v>
      </c>
      <c r="S82" t="s">
        <v>1127</v>
      </c>
      <c r="T82">
        <v>0.26</v>
      </c>
      <c r="U82" t="s">
        <v>1164</v>
      </c>
      <c r="V82">
        <v>4.2300000000000004</v>
      </c>
      <c r="W82" t="s">
        <v>1119</v>
      </c>
      <c r="AF82" t="s">
        <v>1323</v>
      </c>
      <c r="AG82" t="s">
        <v>1104</v>
      </c>
      <c r="AH82" t="s">
        <v>1323</v>
      </c>
    </row>
    <row r="83" spans="1:66">
      <c r="A83" t="s">
        <v>784</v>
      </c>
      <c r="B83" t="s">
        <v>1374</v>
      </c>
      <c r="C83" t="s">
        <v>1375</v>
      </c>
      <c r="D83" t="s">
        <v>1376</v>
      </c>
      <c r="E83" s="43" t="s">
        <v>1377</v>
      </c>
      <c r="G83" s="31" t="s">
        <v>1103</v>
      </c>
      <c r="H83" s="31">
        <v>31.18</v>
      </c>
      <c r="I83" s="31">
        <v>37.35</v>
      </c>
      <c r="J83" s="31">
        <v>31.5</v>
      </c>
      <c r="O83">
        <v>0.7</v>
      </c>
      <c r="P83" t="s">
        <v>1118</v>
      </c>
      <c r="Q83">
        <v>6.75</v>
      </c>
      <c r="R83" t="s">
        <v>1277</v>
      </c>
      <c r="S83" t="s">
        <v>1127</v>
      </c>
      <c r="T83">
        <v>334.5</v>
      </c>
      <c r="U83" t="s">
        <v>1222</v>
      </c>
      <c r="AF83">
        <v>7.0000000000000007E-2</v>
      </c>
      <c r="AG83" t="s">
        <v>1118</v>
      </c>
      <c r="AI83">
        <v>87</v>
      </c>
      <c r="AJ83" t="s">
        <v>1108</v>
      </c>
      <c r="AV83">
        <v>86.53</v>
      </c>
      <c r="AW83" t="s">
        <v>1108</v>
      </c>
      <c r="AX83">
        <v>20.6</v>
      </c>
      <c r="AY83" t="s">
        <v>1108</v>
      </c>
      <c r="AZ83">
        <v>23.1</v>
      </c>
      <c r="BA83" t="s">
        <v>1108</v>
      </c>
    </row>
    <row r="84" spans="1:66">
      <c r="A84" t="s">
        <v>780</v>
      </c>
      <c r="B84" t="s">
        <v>1378</v>
      </c>
      <c r="D84" t="s">
        <v>1379</v>
      </c>
      <c r="G84" t="s">
        <v>1122</v>
      </c>
      <c r="H84">
        <v>20</v>
      </c>
      <c r="I84">
        <v>30</v>
      </c>
      <c r="J84">
        <v>50</v>
      </c>
      <c r="K84">
        <v>0.4</v>
      </c>
      <c r="L84" t="s">
        <v>1118</v>
      </c>
      <c r="O84">
        <v>0.7</v>
      </c>
      <c r="P84" t="s">
        <v>1118</v>
      </c>
      <c r="Q84">
        <v>5.26</v>
      </c>
      <c r="T84">
        <v>0.03</v>
      </c>
      <c r="U84" t="s">
        <v>1150</v>
      </c>
      <c r="V84">
        <v>2.1</v>
      </c>
      <c r="W84" t="s">
        <v>1380</v>
      </c>
      <c r="AF84">
        <v>7.0000000000000007E-2</v>
      </c>
      <c r="AG84" t="s">
        <v>1118</v>
      </c>
      <c r="AH84">
        <v>6</v>
      </c>
      <c r="AQ84">
        <v>8.6999999999999993</v>
      </c>
      <c r="AR84" t="s">
        <v>1108</v>
      </c>
      <c r="AV84">
        <v>86</v>
      </c>
      <c r="AW84" t="s">
        <v>1108</v>
      </c>
      <c r="AX84">
        <v>20.6</v>
      </c>
      <c r="AY84" t="s">
        <v>1108</v>
      </c>
      <c r="AZ84">
        <v>23.1</v>
      </c>
      <c r="BA84" t="s">
        <v>1108</v>
      </c>
      <c r="BD84">
        <v>37.4</v>
      </c>
      <c r="BE84" t="s">
        <v>1108</v>
      </c>
      <c r="BF84">
        <v>0.4</v>
      </c>
      <c r="BG84" t="s">
        <v>1108</v>
      </c>
    </row>
    <row r="85" spans="1:66">
      <c r="A85" t="s">
        <v>213</v>
      </c>
      <c r="B85" t="s">
        <v>1381</v>
      </c>
      <c r="C85" t="s">
        <v>1375</v>
      </c>
      <c r="D85" t="s">
        <v>1382</v>
      </c>
      <c r="G85" t="s">
        <v>1126</v>
      </c>
      <c r="K85">
        <v>0.15</v>
      </c>
      <c r="L85" t="s">
        <v>1118</v>
      </c>
      <c r="Q85">
        <v>8.5</v>
      </c>
      <c r="T85">
        <v>0.16</v>
      </c>
      <c r="U85" t="s">
        <v>1164</v>
      </c>
      <c r="AI85">
        <v>2</v>
      </c>
      <c r="AJ85" t="s">
        <v>1383</v>
      </c>
      <c r="AV85">
        <v>480</v>
      </c>
      <c r="AW85" t="s">
        <v>1383</v>
      </c>
    </row>
    <row r="86" spans="1:66">
      <c r="A86" t="s">
        <v>233</v>
      </c>
      <c r="B86" t="s">
        <v>1384</v>
      </c>
      <c r="C86" t="s">
        <v>1385</v>
      </c>
      <c r="G86" t="s">
        <v>1122</v>
      </c>
      <c r="H86">
        <v>22.3</v>
      </c>
      <c r="I86">
        <v>23.3</v>
      </c>
      <c r="J86">
        <v>54.4</v>
      </c>
      <c r="K86">
        <v>0.39</v>
      </c>
      <c r="L86" t="s">
        <v>1118</v>
      </c>
      <c r="Q86">
        <v>7.9</v>
      </c>
      <c r="T86">
        <v>0.73</v>
      </c>
      <c r="U86" t="s">
        <v>1386</v>
      </c>
      <c r="BN86" t="s">
        <v>1387</v>
      </c>
    </row>
    <row r="87" spans="1:66">
      <c r="B87" t="s">
        <v>1388</v>
      </c>
      <c r="C87" t="s">
        <v>1389</v>
      </c>
      <c r="G87" t="s">
        <v>1122</v>
      </c>
      <c r="H87">
        <v>22.3</v>
      </c>
      <c r="I87">
        <v>23.3</v>
      </c>
      <c r="J87">
        <v>54.4</v>
      </c>
      <c r="K87">
        <v>0.39</v>
      </c>
      <c r="L87" t="s">
        <v>1118</v>
      </c>
      <c r="Q87">
        <v>7.9</v>
      </c>
      <c r="T87">
        <v>0.73</v>
      </c>
      <c r="U87" t="s">
        <v>1386</v>
      </c>
      <c r="BN87" t="s">
        <v>1390</v>
      </c>
    </row>
    <row r="88" spans="1:66">
      <c r="B88" t="s">
        <v>1391</v>
      </c>
      <c r="C88" t="s">
        <v>1392</v>
      </c>
      <c r="G88" t="s">
        <v>1122</v>
      </c>
      <c r="H88">
        <v>22.3</v>
      </c>
      <c r="I88">
        <v>23.3</v>
      </c>
      <c r="J88">
        <v>54.4</v>
      </c>
      <c r="K88">
        <v>0.39</v>
      </c>
      <c r="L88" t="s">
        <v>1118</v>
      </c>
      <c r="Q88">
        <v>7.9</v>
      </c>
      <c r="T88">
        <v>0.73</v>
      </c>
      <c r="U88" t="s">
        <v>1386</v>
      </c>
      <c r="BN88" t="s">
        <v>1393</v>
      </c>
    </row>
    <row r="89" spans="1:66">
      <c r="B89" t="s">
        <v>1394</v>
      </c>
      <c r="C89" t="s">
        <v>1395</v>
      </c>
      <c r="G89" t="s">
        <v>1122</v>
      </c>
      <c r="H89">
        <v>22.3</v>
      </c>
      <c r="I89">
        <v>23.3</v>
      </c>
      <c r="J89">
        <v>54.4</v>
      </c>
      <c r="K89">
        <v>0.39</v>
      </c>
      <c r="L89" t="s">
        <v>1118</v>
      </c>
      <c r="Q89">
        <v>7.9</v>
      </c>
      <c r="T89">
        <v>0.73</v>
      </c>
      <c r="U89" t="s">
        <v>1386</v>
      </c>
      <c r="BN89" t="s">
        <v>1396</v>
      </c>
    </row>
    <row r="90" spans="1:66">
      <c r="A90" t="s">
        <v>776</v>
      </c>
      <c r="B90" t="s">
        <v>1397</v>
      </c>
      <c r="F90" t="s">
        <v>1398</v>
      </c>
      <c r="G90" s="48" t="s">
        <v>1170</v>
      </c>
      <c r="H90">
        <v>15.4</v>
      </c>
      <c r="I90">
        <v>78.2</v>
      </c>
      <c r="J90">
        <v>6.4</v>
      </c>
      <c r="K90">
        <v>1.2</v>
      </c>
      <c r="L90" t="s">
        <v>1118</v>
      </c>
    </row>
    <row r="91" spans="1:66">
      <c r="A91" t="s">
        <v>772</v>
      </c>
      <c r="B91" t="s">
        <v>1399</v>
      </c>
      <c r="D91" t="s">
        <v>1400</v>
      </c>
      <c r="G91" t="s">
        <v>1126</v>
      </c>
      <c r="H91">
        <v>6.11</v>
      </c>
      <c r="I91">
        <v>20.04</v>
      </c>
      <c r="J91">
        <v>73.849999999999994</v>
      </c>
      <c r="K91">
        <v>3</v>
      </c>
      <c r="L91" t="s">
        <v>1118</v>
      </c>
      <c r="O91">
        <v>4.25</v>
      </c>
      <c r="P91" t="s">
        <v>1118</v>
      </c>
      <c r="Q91">
        <v>5.4</v>
      </c>
      <c r="R91" t="s">
        <v>1401</v>
      </c>
      <c r="V91">
        <v>74</v>
      </c>
      <c r="W91" s="50" t="s">
        <v>1119</v>
      </c>
      <c r="AF91">
        <v>0.25</v>
      </c>
      <c r="AG91" t="s">
        <v>1118</v>
      </c>
      <c r="AH91">
        <v>12</v>
      </c>
      <c r="AK91">
        <v>63.36</v>
      </c>
      <c r="AL91" t="s">
        <v>1402</v>
      </c>
    </row>
    <row r="92" spans="1:66">
      <c r="A92" t="s">
        <v>768</v>
      </c>
      <c r="B92" t="s">
        <v>1403</v>
      </c>
      <c r="D92" t="s">
        <v>1404</v>
      </c>
      <c r="G92" t="s">
        <v>1122</v>
      </c>
      <c r="H92">
        <v>11.8</v>
      </c>
      <c r="I92">
        <v>13.6</v>
      </c>
      <c r="J92">
        <v>74.5</v>
      </c>
      <c r="O92">
        <v>0.85</v>
      </c>
      <c r="P92" t="s">
        <v>1118</v>
      </c>
      <c r="Q92">
        <v>6.3</v>
      </c>
      <c r="V92">
        <v>4.8</v>
      </c>
      <c r="W92" t="s">
        <v>1119</v>
      </c>
    </row>
    <row r="93" spans="1:66">
      <c r="A93" t="s">
        <v>765</v>
      </c>
      <c r="B93" t="s">
        <v>1405</v>
      </c>
      <c r="G93" t="s">
        <v>1122</v>
      </c>
      <c r="H93">
        <v>17.100000000000001</v>
      </c>
      <c r="I93">
        <v>18</v>
      </c>
      <c r="J93">
        <v>64.900000000000006</v>
      </c>
      <c r="K93">
        <v>0.39</v>
      </c>
      <c r="L93" t="s">
        <v>1118</v>
      </c>
      <c r="Q93">
        <v>7.41</v>
      </c>
      <c r="R93" t="s">
        <v>1277</v>
      </c>
      <c r="S93" t="s">
        <v>1127</v>
      </c>
      <c r="T93">
        <v>0.35</v>
      </c>
      <c r="U93" t="s">
        <v>1164</v>
      </c>
      <c r="V93">
        <v>7.35</v>
      </c>
      <c r="W93" t="s">
        <v>1406</v>
      </c>
      <c r="AB93">
        <v>1.45</v>
      </c>
      <c r="AC93" t="s">
        <v>1407</v>
      </c>
    </row>
    <row r="94" spans="1:66">
      <c r="A94" t="s">
        <v>756</v>
      </c>
      <c r="B94" t="s">
        <v>1408</v>
      </c>
      <c r="D94" t="s">
        <v>1409</v>
      </c>
      <c r="E94" t="s">
        <v>1410</v>
      </c>
      <c r="F94" t="s">
        <v>1411</v>
      </c>
      <c r="G94" s="48" t="s">
        <v>1132</v>
      </c>
      <c r="H94">
        <v>20</v>
      </c>
      <c r="I94">
        <v>37</v>
      </c>
      <c r="J94">
        <v>43</v>
      </c>
      <c r="M94">
        <v>1.94</v>
      </c>
      <c r="N94" t="s">
        <v>1412</v>
      </c>
      <c r="O94">
        <v>0.9</v>
      </c>
      <c r="P94" t="s">
        <v>1118</v>
      </c>
      <c r="Q94">
        <v>8.3000000000000007</v>
      </c>
      <c r="R94" t="s">
        <v>1277</v>
      </c>
      <c r="S94" t="s">
        <v>1127</v>
      </c>
      <c r="T94">
        <v>0.113</v>
      </c>
      <c r="U94" t="s">
        <v>1164</v>
      </c>
      <c r="AF94">
        <v>0.46</v>
      </c>
      <c r="AG94" t="s">
        <v>1412</v>
      </c>
    </row>
    <row r="95" spans="1:66">
      <c r="A95" t="s">
        <v>753</v>
      </c>
      <c r="B95" t="s">
        <v>1413</v>
      </c>
      <c r="G95" t="s">
        <v>1103</v>
      </c>
      <c r="H95">
        <v>32</v>
      </c>
      <c r="I95">
        <v>56</v>
      </c>
      <c r="J95">
        <v>12</v>
      </c>
      <c r="K95">
        <v>0.8</v>
      </c>
      <c r="L95" t="s">
        <v>1118</v>
      </c>
      <c r="Q95">
        <v>7.5</v>
      </c>
      <c r="R95" t="s">
        <v>1277</v>
      </c>
      <c r="S95" t="s">
        <v>1292</v>
      </c>
      <c r="Z95">
        <v>56</v>
      </c>
      <c r="AA95" t="s">
        <v>1118</v>
      </c>
      <c r="AB95">
        <v>1.31</v>
      </c>
      <c r="AC95" t="s">
        <v>1414</v>
      </c>
      <c r="AF95">
        <v>0.12</v>
      </c>
      <c r="AG95" t="s">
        <v>1118</v>
      </c>
    </row>
    <row r="96" spans="1:66">
      <c r="A96" t="s">
        <v>749</v>
      </c>
      <c r="B96" t="s">
        <v>1415</v>
      </c>
      <c r="G96" t="s">
        <v>1103</v>
      </c>
      <c r="H96">
        <v>32</v>
      </c>
      <c r="I96">
        <v>56</v>
      </c>
      <c r="J96">
        <v>12</v>
      </c>
      <c r="K96">
        <v>8</v>
      </c>
      <c r="L96" t="s">
        <v>1104</v>
      </c>
      <c r="Q96">
        <v>7.2</v>
      </c>
      <c r="R96" t="s">
        <v>1277</v>
      </c>
      <c r="S96" t="s">
        <v>1292</v>
      </c>
      <c r="V96">
        <v>27.2</v>
      </c>
      <c r="W96" t="s">
        <v>1119</v>
      </c>
    </row>
    <row r="97" spans="1:34">
      <c r="A97" t="s">
        <v>302</v>
      </c>
      <c r="B97" t="s">
        <v>1416</v>
      </c>
      <c r="D97" t="s">
        <v>1417</v>
      </c>
      <c r="E97" t="s">
        <v>1418</v>
      </c>
      <c r="F97" t="s">
        <v>1419</v>
      </c>
      <c r="G97" s="48" t="s">
        <v>1122</v>
      </c>
      <c r="H97">
        <v>19.7</v>
      </c>
      <c r="I97">
        <v>19.7</v>
      </c>
      <c r="J97">
        <v>60.6</v>
      </c>
    </row>
    <row r="98" spans="1:34">
      <c r="A98" t="s">
        <v>741</v>
      </c>
      <c r="B98" t="s">
        <v>1420</v>
      </c>
      <c r="D98" t="s">
        <v>1421</v>
      </c>
      <c r="F98" t="s">
        <v>1422</v>
      </c>
      <c r="G98" t="s">
        <v>1423</v>
      </c>
      <c r="H98">
        <v>21</v>
      </c>
      <c r="I98">
        <v>57</v>
      </c>
      <c r="J98">
        <v>22</v>
      </c>
      <c r="K98">
        <v>3.32</v>
      </c>
      <c r="L98" t="s">
        <v>1118</v>
      </c>
      <c r="Q98">
        <v>7</v>
      </c>
    </row>
    <row r="99" spans="1:34">
      <c r="A99" t="s">
        <v>733</v>
      </c>
      <c r="B99" t="s">
        <v>1424</v>
      </c>
      <c r="D99" t="s">
        <v>1425</v>
      </c>
      <c r="G99" t="s">
        <v>1122</v>
      </c>
      <c r="H99">
        <v>18.899999999999999</v>
      </c>
      <c r="I99">
        <v>24.4</v>
      </c>
      <c r="J99">
        <v>56.7</v>
      </c>
      <c r="K99">
        <v>14.7</v>
      </c>
      <c r="L99" t="s">
        <v>1104</v>
      </c>
      <c r="Q99">
        <v>7.3</v>
      </c>
      <c r="V99">
        <v>11.6</v>
      </c>
      <c r="W99" t="s">
        <v>1119</v>
      </c>
      <c r="Z99">
        <v>58.7</v>
      </c>
      <c r="AA99" t="s">
        <v>1118</v>
      </c>
      <c r="AF99">
        <v>3.6</v>
      </c>
      <c r="AG99" t="s">
        <v>1104</v>
      </c>
    </row>
    <row r="100" spans="1:34">
      <c r="A100" t="s">
        <v>721</v>
      </c>
      <c r="B100" t="s">
        <v>1426</v>
      </c>
      <c r="D100" t="s">
        <v>1427</v>
      </c>
      <c r="G100" t="s">
        <v>1122</v>
      </c>
      <c r="H100">
        <v>14</v>
      </c>
      <c r="I100">
        <v>12</v>
      </c>
      <c r="J100">
        <v>74</v>
      </c>
      <c r="K100">
        <v>1.4</v>
      </c>
      <c r="L100" t="s">
        <v>1118</v>
      </c>
      <c r="Q100">
        <v>6.07</v>
      </c>
      <c r="AF100">
        <v>0.15</v>
      </c>
      <c r="AG100" t="s">
        <v>1118</v>
      </c>
    </row>
    <row r="101" spans="1:34">
      <c r="A101" t="s">
        <v>717</v>
      </c>
      <c r="B101" t="s">
        <v>1428</v>
      </c>
      <c r="C101" t="s">
        <v>1429</v>
      </c>
      <c r="D101" t="s">
        <v>1430</v>
      </c>
      <c r="G101" s="48" t="s">
        <v>1140</v>
      </c>
      <c r="H101">
        <v>56</v>
      </c>
      <c r="I101">
        <v>27</v>
      </c>
      <c r="J101">
        <v>16</v>
      </c>
      <c r="O101">
        <v>1.5</v>
      </c>
      <c r="P101" t="s">
        <v>1118</v>
      </c>
      <c r="Q101">
        <v>4.4000000000000004</v>
      </c>
    </row>
    <row r="102" spans="1:34">
      <c r="B102" t="s">
        <v>1431</v>
      </c>
      <c r="C102" t="s">
        <v>1432</v>
      </c>
      <c r="D102" t="s">
        <v>1433</v>
      </c>
      <c r="G102" s="48" t="s">
        <v>1170</v>
      </c>
      <c r="H102">
        <v>16</v>
      </c>
      <c r="I102">
        <v>54</v>
      </c>
      <c r="J102">
        <v>30</v>
      </c>
      <c r="O102">
        <v>1.7</v>
      </c>
      <c r="P102" t="s">
        <v>1118</v>
      </c>
      <c r="Q102">
        <v>6.6</v>
      </c>
    </row>
    <row r="103" spans="1:34">
      <c r="B103" t="s">
        <v>1434</v>
      </c>
      <c r="C103" t="s">
        <v>1435</v>
      </c>
      <c r="D103" t="s">
        <v>1436</v>
      </c>
      <c r="G103" s="48" t="s">
        <v>1132</v>
      </c>
      <c r="H103">
        <v>22</v>
      </c>
      <c r="I103">
        <v>38</v>
      </c>
      <c r="J103">
        <v>40</v>
      </c>
      <c r="O103">
        <v>4.5999999999999996</v>
      </c>
      <c r="P103" t="s">
        <v>1118</v>
      </c>
      <c r="Q103">
        <v>7.5</v>
      </c>
    </row>
    <row r="104" spans="1:34">
      <c r="A104" t="s">
        <v>713</v>
      </c>
      <c r="B104" t="s">
        <v>1437</v>
      </c>
      <c r="D104" t="s">
        <v>1438</v>
      </c>
      <c r="E104" t="s">
        <v>1439</v>
      </c>
      <c r="F104" t="s">
        <v>1440</v>
      </c>
      <c r="G104" s="48" t="s">
        <v>1170</v>
      </c>
      <c r="H104">
        <v>10.8</v>
      </c>
      <c r="I104">
        <v>60.1</v>
      </c>
      <c r="J104">
        <v>29.1</v>
      </c>
      <c r="K104">
        <v>1.47</v>
      </c>
      <c r="L104" t="s">
        <v>1118</v>
      </c>
      <c r="Q104">
        <v>7.91</v>
      </c>
      <c r="V104">
        <v>19.3</v>
      </c>
      <c r="W104" t="s">
        <v>1119</v>
      </c>
      <c r="Z104">
        <v>45</v>
      </c>
      <c r="AA104" t="s">
        <v>1118</v>
      </c>
    </row>
    <row r="105" spans="1:34">
      <c r="A105" t="s">
        <v>705</v>
      </c>
      <c r="B105" t="s">
        <v>1441</v>
      </c>
      <c r="D105" t="s">
        <v>1442</v>
      </c>
      <c r="E105" t="s">
        <v>1443</v>
      </c>
      <c r="F105" t="s">
        <v>1419</v>
      </c>
      <c r="G105" s="48" t="s">
        <v>1140</v>
      </c>
      <c r="H105">
        <v>42.2</v>
      </c>
      <c r="I105">
        <v>14.4</v>
      </c>
      <c r="J105">
        <v>43.4</v>
      </c>
      <c r="K105">
        <v>13.4</v>
      </c>
      <c r="L105" t="s">
        <v>1104</v>
      </c>
      <c r="M105">
        <v>0.19500000000000001</v>
      </c>
      <c r="N105" t="s">
        <v>1104</v>
      </c>
      <c r="Q105">
        <v>8.15</v>
      </c>
      <c r="T105">
        <v>0.66</v>
      </c>
      <c r="U105" t="s">
        <v>1164</v>
      </c>
      <c r="AD105">
        <v>23.4</v>
      </c>
      <c r="AE105" t="s">
        <v>1104</v>
      </c>
    </row>
    <row r="106" spans="1:34">
      <c r="A106" t="s">
        <v>320</v>
      </c>
      <c r="B106" t="s">
        <v>1444</v>
      </c>
      <c r="D106" t="s">
        <v>1445</v>
      </c>
      <c r="G106" t="s">
        <v>1103</v>
      </c>
      <c r="H106">
        <v>29.3</v>
      </c>
      <c r="I106">
        <v>28.2</v>
      </c>
      <c r="J106">
        <v>42.5</v>
      </c>
      <c r="O106">
        <v>2.25</v>
      </c>
      <c r="P106" t="s">
        <v>1118</v>
      </c>
      <c r="Q106">
        <v>5.38</v>
      </c>
      <c r="V106">
        <v>8</v>
      </c>
      <c r="W106" t="s">
        <v>1119</v>
      </c>
    </row>
    <row r="107" spans="1:34">
      <c r="A107" t="s">
        <v>695</v>
      </c>
      <c r="B107" t="s">
        <v>1446</v>
      </c>
      <c r="D107" t="s">
        <v>1447</v>
      </c>
      <c r="G107" t="s">
        <v>1122</v>
      </c>
      <c r="H107">
        <v>18.899999999999999</v>
      </c>
      <c r="I107">
        <v>24.4</v>
      </c>
      <c r="J107">
        <v>56.7</v>
      </c>
      <c r="O107">
        <v>18.5</v>
      </c>
      <c r="P107" t="s">
        <v>1104</v>
      </c>
      <c r="Q107">
        <v>7.3</v>
      </c>
      <c r="V107">
        <v>11.6</v>
      </c>
      <c r="W107" t="s">
        <v>1119</v>
      </c>
      <c r="Z107">
        <v>58.7</v>
      </c>
      <c r="AA107" t="s">
        <v>1118</v>
      </c>
      <c r="AF107">
        <v>3.6</v>
      </c>
      <c r="AG107" t="s">
        <v>1104</v>
      </c>
    </row>
    <row r="108" spans="1:34">
      <c r="A108" t="s">
        <v>329</v>
      </c>
      <c r="B108" t="s">
        <v>1448</v>
      </c>
      <c r="C108" t="s">
        <v>1305</v>
      </c>
      <c r="D108" t="s">
        <v>1449</v>
      </c>
      <c r="E108" t="s">
        <v>1450</v>
      </c>
      <c r="G108" t="s">
        <v>1103</v>
      </c>
      <c r="H108">
        <v>37.99</v>
      </c>
      <c r="I108">
        <v>21.58</v>
      </c>
      <c r="J108">
        <v>40.29</v>
      </c>
      <c r="K108">
        <v>0.99</v>
      </c>
      <c r="L108" t="s">
        <v>1118</v>
      </c>
      <c r="Q108">
        <v>6.36</v>
      </c>
      <c r="R108" t="s">
        <v>1185</v>
      </c>
      <c r="S108" s="35" t="s">
        <v>1292</v>
      </c>
      <c r="V108">
        <v>12.55</v>
      </c>
      <c r="W108" t="s">
        <v>1119</v>
      </c>
      <c r="Z108">
        <v>39.43</v>
      </c>
      <c r="AA108" t="s">
        <v>1118</v>
      </c>
    </row>
    <row r="109" spans="1:34">
      <c r="A109" t="s">
        <v>670</v>
      </c>
      <c r="B109" t="s">
        <v>1451</v>
      </c>
      <c r="D109" t="s">
        <v>1452</v>
      </c>
      <c r="E109" t="s">
        <v>1453</v>
      </c>
      <c r="F109" t="s">
        <v>1454</v>
      </c>
      <c r="G109" t="s">
        <v>1122</v>
      </c>
      <c r="H109">
        <v>17.100000000000001</v>
      </c>
      <c r="I109">
        <v>20.2</v>
      </c>
      <c r="J109">
        <v>60.7</v>
      </c>
      <c r="O109">
        <v>2.36</v>
      </c>
      <c r="P109" t="s">
        <v>1118</v>
      </c>
      <c r="Q109">
        <v>7.7</v>
      </c>
      <c r="AD109">
        <v>29.5</v>
      </c>
      <c r="AE109" t="s">
        <v>1118</v>
      </c>
      <c r="AF109">
        <v>0.13</v>
      </c>
      <c r="AG109" t="s">
        <v>1118</v>
      </c>
    </row>
    <row r="110" spans="1:34" ht="37.200000000000003">
      <c r="A110" t="s">
        <v>333</v>
      </c>
      <c r="B110" t="s">
        <v>1455</v>
      </c>
      <c r="C110" t="s">
        <v>1456</v>
      </c>
      <c r="D110" t="s">
        <v>1457</v>
      </c>
      <c r="E110" s="44" t="s">
        <v>1458</v>
      </c>
      <c r="G110" s="48" t="s">
        <v>1132</v>
      </c>
      <c r="H110" s="48">
        <v>24.8</v>
      </c>
      <c r="I110" s="48">
        <v>29.4</v>
      </c>
      <c r="J110" s="48">
        <v>45.8</v>
      </c>
      <c r="K110">
        <v>1.6</v>
      </c>
      <c r="L110" t="s">
        <v>1118</v>
      </c>
      <c r="Q110">
        <v>6.82</v>
      </c>
      <c r="AF110">
        <v>0.11</v>
      </c>
      <c r="AG110" t="s">
        <v>1118</v>
      </c>
      <c r="AH110">
        <v>9</v>
      </c>
    </row>
    <row r="111" spans="1:34">
      <c r="A111" t="s">
        <v>658</v>
      </c>
      <c r="B111" t="s">
        <v>1459</v>
      </c>
      <c r="C111" t="s">
        <v>1460</v>
      </c>
      <c r="D111" t="s">
        <v>1461</v>
      </c>
      <c r="G111" t="s">
        <v>1462</v>
      </c>
      <c r="H111">
        <v>20</v>
      </c>
      <c r="I111">
        <f>100-H111-J111-O111</f>
        <v>8.3699999999999992</v>
      </c>
      <c r="J111">
        <v>71</v>
      </c>
      <c r="O111">
        <v>0.63</v>
      </c>
      <c r="P111" t="s">
        <v>1118</v>
      </c>
      <c r="Q111">
        <v>8.4</v>
      </c>
    </row>
    <row r="112" spans="1:34">
      <c r="B112" t="s">
        <v>1463</v>
      </c>
      <c r="C112" t="s">
        <v>1464</v>
      </c>
      <c r="D112" t="s">
        <v>1465</v>
      </c>
      <c r="G112" t="s">
        <v>1466</v>
      </c>
      <c r="H112">
        <v>52</v>
      </c>
      <c r="I112">
        <f>100-H112-J112-O112</f>
        <v>40.159999999999997</v>
      </c>
      <c r="J112">
        <v>6</v>
      </c>
      <c r="O112">
        <v>1.84</v>
      </c>
      <c r="P112" t="s">
        <v>1118</v>
      </c>
      <c r="Q112">
        <v>8.3000000000000007</v>
      </c>
    </row>
    <row r="113" spans="1:61">
      <c r="A113" t="s">
        <v>644</v>
      </c>
      <c r="B113" t="s">
        <v>1467</v>
      </c>
      <c r="D113" t="s">
        <v>1468</v>
      </c>
      <c r="E113" t="s">
        <v>1469</v>
      </c>
      <c r="G113" t="s">
        <v>1303</v>
      </c>
      <c r="H113">
        <v>40.049999999999997</v>
      </c>
      <c r="I113">
        <v>48.88</v>
      </c>
      <c r="J113">
        <v>11.07</v>
      </c>
      <c r="K113">
        <v>16</v>
      </c>
      <c r="L113" t="s">
        <v>1104</v>
      </c>
      <c r="M113">
        <v>0.04</v>
      </c>
      <c r="N113" t="s">
        <v>1104</v>
      </c>
      <c r="Q113">
        <v>8.6</v>
      </c>
    </row>
    <row r="114" spans="1:61">
      <c r="A114" t="s">
        <v>634</v>
      </c>
      <c r="B114" t="s">
        <v>1470</v>
      </c>
      <c r="C114" t="s">
        <v>1471</v>
      </c>
      <c r="D114" s="33" t="s">
        <v>1472</v>
      </c>
      <c r="G114" t="s">
        <v>1122</v>
      </c>
      <c r="H114">
        <v>12.7</v>
      </c>
      <c r="I114">
        <v>18.3</v>
      </c>
      <c r="J114">
        <v>69</v>
      </c>
      <c r="K114">
        <v>0.9</v>
      </c>
      <c r="L114" t="s">
        <v>1118</v>
      </c>
      <c r="Q114">
        <v>8.1999999999999993</v>
      </c>
      <c r="R114" t="s">
        <v>1277</v>
      </c>
      <c r="S114" t="s">
        <v>1127</v>
      </c>
      <c r="AM114">
        <v>16.2</v>
      </c>
      <c r="AN114" t="s">
        <v>1108</v>
      </c>
      <c r="AQ114">
        <v>39.5</v>
      </c>
      <c r="AR114" t="s">
        <v>1108</v>
      </c>
    </row>
    <row r="115" spans="1:61">
      <c r="B115" t="s">
        <v>1473</v>
      </c>
      <c r="C115" t="s">
        <v>1435</v>
      </c>
      <c r="G115" t="s">
        <v>1122</v>
      </c>
      <c r="H115">
        <v>16.8</v>
      </c>
      <c r="I115">
        <v>30.3</v>
      </c>
      <c r="J115">
        <v>52.9</v>
      </c>
      <c r="K115">
        <v>0.5</v>
      </c>
      <c r="L115" t="s">
        <v>1118</v>
      </c>
      <c r="Q115">
        <v>8.3000000000000007</v>
      </c>
      <c r="R115" t="s">
        <v>1277</v>
      </c>
      <c r="S115" t="s">
        <v>1127</v>
      </c>
      <c r="AM115">
        <v>13.7</v>
      </c>
      <c r="AN115" t="s">
        <v>1108</v>
      </c>
      <c r="AQ115">
        <v>24.1</v>
      </c>
      <c r="AR115" t="s">
        <v>1108</v>
      </c>
    </row>
    <row r="116" spans="1:61">
      <c r="A116" t="s">
        <v>622</v>
      </c>
      <c r="B116" t="s">
        <v>1474</v>
      </c>
      <c r="C116" t="s">
        <v>1475</v>
      </c>
      <c r="G116" t="s">
        <v>1132</v>
      </c>
      <c r="H116">
        <v>33</v>
      </c>
      <c r="I116">
        <v>47</v>
      </c>
      <c r="J116">
        <v>20</v>
      </c>
      <c r="K116">
        <v>1.41</v>
      </c>
      <c r="L116" t="s">
        <v>1118</v>
      </c>
      <c r="Q116">
        <v>8</v>
      </c>
      <c r="R116" t="s">
        <v>1277</v>
      </c>
      <c r="S116" t="s">
        <v>1127</v>
      </c>
      <c r="Z116">
        <v>36.799999999999997</v>
      </c>
      <c r="AA116" t="s">
        <v>1118</v>
      </c>
    </row>
    <row r="117" spans="1:61">
      <c r="B117" t="s">
        <v>1476</v>
      </c>
      <c r="C117" t="s">
        <v>1477</v>
      </c>
      <c r="G117" t="s">
        <v>1103</v>
      </c>
      <c r="H117">
        <v>20</v>
      </c>
      <c r="I117">
        <v>49</v>
      </c>
      <c r="J117">
        <v>31</v>
      </c>
      <c r="K117">
        <v>0.86</v>
      </c>
      <c r="L117" t="s">
        <v>1118</v>
      </c>
      <c r="Q117">
        <v>8.3000000000000007</v>
      </c>
      <c r="R117" t="s">
        <v>1277</v>
      </c>
      <c r="S117" t="s">
        <v>1127</v>
      </c>
      <c r="Z117">
        <v>32.4</v>
      </c>
      <c r="AA117" t="s">
        <v>1118</v>
      </c>
    </row>
    <row r="118" spans="1:61">
      <c r="A118" t="s">
        <v>618</v>
      </c>
      <c r="B118" t="s">
        <v>1478</v>
      </c>
      <c r="C118" t="s">
        <v>1181</v>
      </c>
      <c r="D118" t="s">
        <v>1479</v>
      </c>
      <c r="G118" s="48" t="s">
        <v>1122</v>
      </c>
      <c r="H118">
        <v>19</v>
      </c>
      <c r="I118">
        <v>7</v>
      </c>
      <c r="J118">
        <v>73</v>
      </c>
      <c r="K118">
        <v>0.68</v>
      </c>
      <c r="L118" t="s">
        <v>1118</v>
      </c>
      <c r="Q118">
        <v>7.7</v>
      </c>
      <c r="R118" t="s">
        <v>1277</v>
      </c>
      <c r="S118" t="s">
        <v>1292</v>
      </c>
    </row>
    <row r="119" spans="1:61">
      <c r="A119" t="s">
        <v>610</v>
      </c>
      <c r="B119" t="s">
        <v>1480</v>
      </c>
      <c r="C119" t="s">
        <v>1481</v>
      </c>
      <c r="F119" t="s">
        <v>1482</v>
      </c>
      <c r="G119" s="48" t="s">
        <v>1483</v>
      </c>
      <c r="H119">
        <v>1.7</v>
      </c>
      <c r="I119">
        <v>13</v>
      </c>
      <c r="J119">
        <v>85</v>
      </c>
      <c r="O119">
        <v>40</v>
      </c>
      <c r="P119" t="s">
        <v>1104</v>
      </c>
      <c r="Q119">
        <v>7.2</v>
      </c>
      <c r="T119">
        <v>152</v>
      </c>
      <c r="U119" t="s">
        <v>1222</v>
      </c>
      <c r="AK119">
        <v>97</v>
      </c>
      <c r="AL119" t="s">
        <v>1108</v>
      </c>
      <c r="AM119">
        <v>21</v>
      </c>
      <c r="AN119" t="s">
        <v>1108</v>
      </c>
      <c r="AQ119">
        <v>208</v>
      </c>
      <c r="AR119" t="s">
        <v>1108</v>
      </c>
    </row>
    <row r="120" spans="1:61">
      <c r="B120" t="s">
        <v>1484</v>
      </c>
      <c r="C120" t="s">
        <v>1485</v>
      </c>
      <c r="F120" t="s">
        <v>1486</v>
      </c>
      <c r="G120" s="48" t="s">
        <v>1170</v>
      </c>
      <c r="H120">
        <v>6</v>
      </c>
      <c r="I120">
        <v>52</v>
      </c>
      <c r="J120">
        <v>42</v>
      </c>
      <c r="O120">
        <v>27</v>
      </c>
      <c r="P120" t="s">
        <v>1104</v>
      </c>
      <c r="Q120">
        <v>5.8</v>
      </c>
      <c r="T120">
        <v>651</v>
      </c>
      <c r="U120" t="s">
        <v>1222</v>
      </c>
      <c r="AK120">
        <v>53</v>
      </c>
      <c r="AL120" t="s">
        <v>1108</v>
      </c>
      <c r="AM120">
        <v>20</v>
      </c>
      <c r="AN120" t="s">
        <v>1108</v>
      </c>
      <c r="AQ120">
        <v>68</v>
      </c>
      <c r="AR120" t="s">
        <v>1108</v>
      </c>
    </row>
    <row r="121" spans="1:61" ht="37.200000000000003">
      <c r="A121" t="s">
        <v>586</v>
      </c>
      <c r="B121" t="s">
        <v>1487</v>
      </c>
      <c r="D121" s="5" t="s">
        <v>1488</v>
      </c>
      <c r="E121" s="44" t="s">
        <v>1489</v>
      </c>
      <c r="G121" s="48" t="s">
        <v>1132</v>
      </c>
      <c r="H121" s="48">
        <v>28.27</v>
      </c>
      <c r="I121" s="48">
        <v>44.02</v>
      </c>
      <c r="J121" s="48">
        <v>27.69</v>
      </c>
      <c r="O121">
        <v>11.58</v>
      </c>
      <c r="P121" t="s">
        <v>1104</v>
      </c>
      <c r="Q121">
        <v>7.1</v>
      </c>
      <c r="T121">
        <v>211.85</v>
      </c>
      <c r="U121" t="s">
        <v>1222</v>
      </c>
      <c r="AF121">
        <v>1.17</v>
      </c>
      <c r="AG121" t="s">
        <v>1104</v>
      </c>
      <c r="AQ121">
        <v>61.06</v>
      </c>
      <c r="AR121" t="s">
        <v>1108</v>
      </c>
      <c r="AV121">
        <v>212</v>
      </c>
      <c r="AW121" t="s">
        <v>1108</v>
      </c>
    </row>
    <row r="122" spans="1:61">
      <c r="A122" t="s">
        <v>556</v>
      </c>
      <c r="B122" t="s">
        <v>1490</v>
      </c>
      <c r="D122" s="34" t="s">
        <v>1491</v>
      </c>
      <c r="F122" t="s">
        <v>1492</v>
      </c>
      <c r="G122" t="s">
        <v>1103</v>
      </c>
      <c r="H122">
        <v>33.9</v>
      </c>
      <c r="I122">
        <v>43.2</v>
      </c>
      <c r="J122">
        <v>22.9</v>
      </c>
      <c r="K122">
        <v>1.87</v>
      </c>
      <c r="L122" t="s">
        <v>1118</v>
      </c>
      <c r="Q122">
        <v>7.7</v>
      </c>
      <c r="AF122">
        <v>0.13</v>
      </c>
      <c r="AG122" t="s">
        <v>1118</v>
      </c>
    </row>
    <row r="123" spans="1:61">
      <c r="A123" t="s">
        <v>614</v>
      </c>
      <c r="B123" t="s">
        <v>1493</v>
      </c>
      <c r="C123" t="s">
        <v>1494</v>
      </c>
      <c r="D123" t="s">
        <v>1495</v>
      </c>
      <c r="G123" t="s">
        <v>1122</v>
      </c>
      <c r="H123">
        <v>9.3000000000000007</v>
      </c>
      <c r="I123">
        <v>30.4</v>
      </c>
      <c r="J123">
        <v>60.2</v>
      </c>
      <c r="K123">
        <v>2.2999999999999998</v>
      </c>
      <c r="L123" t="s">
        <v>1118</v>
      </c>
      <c r="Q123">
        <v>5.78</v>
      </c>
      <c r="R123" t="s">
        <v>1277</v>
      </c>
      <c r="S123" t="s">
        <v>1149</v>
      </c>
      <c r="T123">
        <v>6.5000000000000002E-2</v>
      </c>
      <c r="U123" t="s">
        <v>1128</v>
      </c>
      <c r="V123">
        <v>4.7</v>
      </c>
      <c r="W123" t="s">
        <v>1119</v>
      </c>
      <c r="AF123">
        <v>3.5000000000000003E-2</v>
      </c>
      <c r="AG123" t="s">
        <v>1118</v>
      </c>
      <c r="AH123">
        <f>0.62/0.035</f>
        <v>17.714285714285712</v>
      </c>
    </row>
    <row r="124" spans="1:61">
      <c r="B124" t="s">
        <v>1496</v>
      </c>
      <c r="C124" t="s">
        <v>1497</v>
      </c>
      <c r="D124" t="s">
        <v>1495</v>
      </c>
      <c r="G124" t="s">
        <v>1132</v>
      </c>
      <c r="H124">
        <v>38.5</v>
      </c>
      <c r="I124">
        <v>40.5</v>
      </c>
      <c r="J124">
        <v>21</v>
      </c>
      <c r="K124">
        <v>4.0999999999999996</v>
      </c>
      <c r="L124" t="s">
        <v>1118</v>
      </c>
      <c r="Q124">
        <v>5.9</v>
      </c>
      <c r="R124" t="s">
        <v>1277</v>
      </c>
      <c r="S124" t="s">
        <v>1149</v>
      </c>
      <c r="T124">
        <v>0.28299999999999997</v>
      </c>
      <c r="U124" t="s">
        <v>1128</v>
      </c>
      <c r="V124">
        <v>14.2</v>
      </c>
      <c r="W124" t="s">
        <v>1119</v>
      </c>
      <c r="AF124">
        <v>0.22900000000000001</v>
      </c>
      <c r="AG124" t="s">
        <v>1118</v>
      </c>
      <c r="AH124">
        <f>2.41/0.229</f>
        <v>10.524017467248909</v>
      </c>
    </row>
    <row r="125" spans="1:61">
      <c r="A125" t="s">
        <v>346</v>
      </c>
      <c r="B125" t="s">
        <v>1498</v>
      </c>
      <c r="D125" t="s">
        <v>1499</v>
      </c>
      <c r="G125" t="s">
        <v>1170</v>
      </c>
      <c r="Q125">
        <v>6.4</v>
      </c>
      <c r="Z125">
        <v>38.299999999999997</v>
      </c>
      <c r="AA125" t="s">
        <v>1118</v>
      </c>
      <c r="AF125">
        <v>0.12</v>
      </c>
      <c r="AG125" t="s">
        <v>1118</v>
      </c>
      <c r="AH125">
        <v>9.8000000000000007</v>
      </c>
      <c r="BH125">
        <v>157</v>
      </c>
      <c r="BI125" t="s">
        <v>1500</v>
      </c>
    </row>
    <row r="126" spans="1:61">
      <c r="A126" t="s">
        <v>578</v>
      </c>
      <c r="B126" t="s">
        <v>1501</v>
      </c>
      <c r="C126" t="s">
        <v>1502</v>
      </c>
      <c r="D126" t="s">
        <v>1503</v>
      </c>
      <c r="E126" t="s">
        <v>1504</v>
      </c>
      <c r="F126" t="s">
        <v>1482</v>
      </c>
      <c r="G126" t="s">
        <v>1170</v>
      </c>
      <c r="O126">
        <v>19.579999999999998</v>
      </c>
      <c r="P126" t="s">
        <v>1104</v>
      </c>
      <c r="Q126">
        <v>8.1199999999999992</v>
      </c>
      <c r="V126">
        <v>17.47</v>
      </c>
      <c r="W126" t="s">
        <v>1119</v>
      </c>
      <c r="X126">
        <v>51.3</v>
      </c>
      <c r="Y126" t="s">
        <v>1118</v>
      </c>
    </row>
    <row r="127" spans="1:61">
      <c r="B127" t="s">
        <v>1505</v>
      </c>
      <c r="C127" t="s">
        <v>1429</v>
      </c>
      <c r="D127" t="s">
        <v>1506</v>
      </c>
      <c r="E127" t="s">
        <v>1507</v>
      </c>
      <c r="F127" t="s">
        <v>1155</v>
      </c>
      <c r="G127" t="s">
        <v>1140</v>
      </c>
      <c r="O127">
        <v>3.73</v>
      </c>
      <c r="P127" t="s">
        <v>1104</v>
      </c>
      <c r="Q127">
        <v>4.53</v>
      </c>
      <c r="V127">
        <v>13.69</v>
      </c>
      <c r="W127" t="s">
        <v>1119</v>
      </c>
      <c r="X127">
        <v>50.9</v>
      </c>
      <c r="Y127" t="s">
        <v>1118</v>
      </c>
    </row>
    <row r="128" spans="1:61">
      <c r="B128" t="s">
        <v>1508</v>
      </c>
      <c r="C128" t="s">
        <v>1432</v>
      </c>
      <c r="D128" t="s">
        <v>1509</v>
      </c>
      <c r="E128" t="s">
        <v>1510</v>
      </c>
      <c r="F128" t="s">
        <v>1100</v>
      </c>
      <c r="G128" t="s">
        <v>1122</v>
      </c>
      <c r="O128">
        <v>31.49</v>
      </c>
      <c r="P128" t="s">
        <v>1104</v>
      </c>
      <c r="Q128">
        <v>6.29</v>
      </c>
      <c r="V128">
        <v>16.510000000000002</v>
      </c>
      <c r="W128" t="s">
        <v>1119</v>
      </c>
      <c r="X128">
        <v>54.4</v>
      </c>
      <c r="Y128" t="s">
        <v>1118</v>
      </c>
    </row>
    <row r="129" spans="1:66">
      <c r="A129" t="s">
        <v>662</v>
      </c>
      <c r="B129" t="s">
        <v>1511</v>
      </c>
      <c r="C129" t="s">
        <v>1181</v>
      </c>
      <c r="D129" t="s">
        <v>1512</v>
      </c>
      <c r="F129" t="s">
        <v>1513</v>
      </c>
      <c r="G129" t="s">
        <v>1122</v>
      </c>
      <c r="H129">
        <v>7</v>
      </c>
      <c r="I129">
        <v>19.8</v>
      </c>
      <c r="J129">
        <v>73.099999999999994</v>
      </c>
      <c r="K129">
        <v>0.93</v>
      </c>
      <c r="L129" t="s">
        <v>1118</v>
      </c>
      <c r="Q129">
        <v>6.2</v>
      </c>
      <c r="R129" t="s">
        <v>1277</v>
      </c>
      <c r="Z129">
        <v>293</v>
      </c>
      <c r="AA129" t="s">
        <v>1104</v>
      </c>
      <c r="AF129">
        <v>7.0000000000000007E-2</v>
      </c>
      <c r="AG129" t="s">
        <v>1118</v>
      </c>
      <c r="AH129">
        <v>14</v>
      </c>
    </row>
    <row r="130" spans="1:66">
      <c r="A130" t="s">
        <v>350</v>
      </c>
      <c r="B130" t="s">
        <v>1514</v>
      </c>
      <c r="C130" t="s">
        <v>1515</v>
      </c>
      <c r="D130" t="s">
        <v>1516</v>
      </c>
      <c r="F130" t="s">
        <v>1246</v>
      </c>
      <c r="G130" t="s">
        <v>1122</v>
      </c>
      <c r="H130">
        <v>17.100000000000001</v>
      </c>
      <c r="I130">
        <v>18</v>
      </c>
      <c r="J130">
        <v>64.900000000000006</v>
      </c>
      <c r="K130">
        <v>0.36</v>
      </c>
      <c r="L130" t="s">
        <v>1118</v>
      </c>
      <c r="Q130">
        <v>8.15</v>
      </c>
    </row>
    <row r="131" spans="1:66">
      <c r="B131" t="s">
        <v>1517</v>
      </c>
      <c r="C131" t="s">
        <v>1518</v>
      </c>
      <c r="D131" t="s">
        <v>1519</v>
      </c>
      <c r="F131" t="s">
        <v>1520</v>
      </c>
      <c r="G131" t="s">
        <v>1122</v>
      </c>
      <c r="H131">
        <v>10.4</v>
      </c>
      <c r="I131">
        <v>31.2</v>
      </c>
      <c r="J131">
        <v>58.4</v>
      </c>
      <c r="K131">
        <v>0.18</v>
      </c>
      <c r="L131" t="s">
        <v>1118</v>
      </c>
      <c r="Q131">
        <v>5.66</v>
      </c>
    </row>
    <row r="132" spans="1:66">
      <c r="A132" t="s">
        <v>535</v>
      </c>
      <c r="B132" t="s">
        <v>1521</v>
      </c>
      <c r="D132" t="s">
        <v>1522</v>
      </c>
      <c r="G132" s="48" t="s">
        <v>1122</v>
      </c>
      <c r="H132">
        <v>13</v>
      </c>
      <c r="I132">
        <v>30.6</v>
      </c>
      <c r="J132">
        <v>55.6</v>
      </c>
      <c r="K132">
        <v>0.77</v>
      </c>
      <c r="L132" t="s">
        <v>1118</v>
      </c>
      <c r="O132">
        <v>12.3</v>
      </c>
      <c r="P132" t="s">
        <v>1104</v>
      </c>
      <c r="Q132">
        <v>8.5500000000000007</v>
      </c>
      <c r="V132">
        <v>15.81</v>
      </c>
      <c r="W132" t="s">
        <v>1119</v>
      </c>
      <c r="AF132">
        <v>0.19</v>
      </c>
      <c r="AG132" t="s">
        <v>1118</v>
      </c>
      <c r="AI132">
        <v>0.71</v>
      </c>
      <c r="AJ132" t="s">
        <v>1118</v>
      </c>
    </row>
    <row r="133" spans="1:66">
      <c r="A133" t="s">
        <v>526</v>
      </c>
      <c r="B133" t="s">
        <v>1523</v>
      </c>
      <c r="C133" t="s">
        <v>1181</v>
      </c>
      <c r="F133" t="s">
        <v>1524</v>
      </c>
      <c r="G133" s="48" t="s">
        <v>1303</v>
      </c>
      <c r="H133">
        <v>16.34</v>
      </c>
      <c r="I133">
        <v>45.23</v>
      </c>
      <c r="J133">
        <v>38.43</v>
      </c>
      <c r="K133">
        <v>15.75</v>
      </c>
      <c r="L133" t="s">
        <v>1104</v>
      </c>
      <c r="Q133">
        <v>6.76</v>
      </c>
      <c r="V133">
        <v>7.34</v>
      </c>
      <c r="W133" t="s">
        <v>1119</v>
      </c>
      <c r="Z133">
        <v>23.46</v>
      </c>
      <c r="AA133" t="s">
        <v>1118</v>
      </c>
      <c r="AO133">
        <v>120.14</v>
      </c>
      <c r="AP133" t="s">
        <v>1108</v>
      </c>
      <c r="AQ133">
        <v>130.69</v>
      </c>
      <c r="AR133" t="s">
        <v>1108</v>
      </c>
    </row>
    <row r="134" spans="1:66">
      <c r="A134" t="s">
        <v>370</v>
      </c>
      <c r="B134" t="s">
        <v>1525</v>
      </c>
      <c r="D134" t="s">
        <v>1526</v>
      </c>
      <c r="G134" t="s">
        <v>1170</v>
      </c>
      <c r="H134">
        <v>18.600000000000001</v>
      </c>
      <c r="I134">
        <v>61.1</v>
      </c>
      <c r="J134">
        <v>20.6</v>
      </c>
      <c r="K134">
        <v>18.7</v>
      </c>
      <c r="L134" t="s">
        <v>1104</v>
      </c>
      <c r="M134">
        <v>3.68</v>
      </c>
      <c r="N134" t="s">
        <v>1104</v>
      </c>
      <c r="Q134">
        <v>6.56</v>
      </c>
      <c r="R134" t="s">
        <v>1277</v>
      </c>
      <c r="V134">
        <v>22.4</v>
      </c>
      <c r="W134" t="s">
        <v>1119</v>
      </c>
    </row>
    <row r="135" spans="1:66">
      <c r="A135" t="s">
        <v>518</v>
      </c>
      <c r="B135" t="s">
        <v>1527</v>
      </c>
      <c r="C135" t="s">
        <v>1174</v>
      </c>
      <c r="F135" t="s">
        <v>1528</v>
      </c>
      <c r="G135" t="s">
        <v>1176</v>
      </c>
      <c r="H135">
        <v>13.1</v>
      </c>
      <c r="I135">
        <v>17.010000000000002</v>
      </c>
      <c r="J135">
        <v>69.900000000000006</v>
      </c>
      <c r="K135">
        <v>0.36</v>
      </c>
      <c r="L135" t="s">
        <v>1118</v>
      </c>
      <c r="Q135">
        <v>6</v>
      </c>
      <c r="V135">
        <v>12.86</v>
      </c>
      <c r="W135" t="s">
        <v>1119</v>
      </c>
    </row>
    <row r="136" spans="1:66">
      <c r="B136" t="s">
        <v>1529</v>
      </c>
      <c r="C136" t="s">
        <v>1179</v>
      </c>
      <c r="F136" t="s">
        <v>1530</v>
      </c>
      <c r="G136" t="s">
        <v>1303</v>
      </c>
      <c r="H136">
        <v>35.450000000000003</v>
      </c>
      <c r="I136">
        <v>50.56</v>
      </c>
      <c r="J136">
        <v>13.99</v>
      </c>
      <c r="K136">
        <v>0.93</v>
      </c>
      <c r="L136" t="s">
        <v>1118</v>
      </c>
      <c r="Q136">
        <v>8.1999999999999993</v>
      </c>
      <c r="V136">
        <v>28.77</v>
      </c>
      <c r="W136" t="s">
        <v>1119</v>
      </c>
    </row>
    <row r="137" spans="1:66" ht="37.200000000000003">
      <c r="A137" t="s">
        <v>508</v>
      </c>
      <c r="B137" t="s">
        <v>1531</v>
      </c>
      <c r="C137" t="s">
        <v>1181</v>
      </c>
      <c r="D137" t="s">
        <v>1532</v>
      </c>
      <c r="E137" s="44" t="s">
        <v>1533</v>
      </c>
      <c r="G137" s="31" t="s">
        <v>1103</v>
      </c>
      <c r="H137" s="31">
        <v>28.68</v>
      </c>
      <c r="I137" s="31">
        <v>45.3</v>
      </c>
      <c r="J137" s="31">
        <v>26.62</v>
      </c>
      <c r="O137">
        <v>13.64</v>
      </c>
      <c r="P137" t="s">
        <v>1534</v>
      </c>
      <c r="Q137">
        <v>6.88</v>
      </c>
      <c r="R137" t="s">
        <v>1277</v>
      </c>
      <c r="S137" t="s">
        <v>1127</v>
      </c>
      <c r="AF137">
        <v>1.39</v>
      </c>
      <c r="AG137" t="s">
        <v>1104</v>
      </c>
      <c r="AI137">
        <v>0.89</v>
      </c>
      <c r="AJ137" t="s">
        <v>1104</v>
      </c>
      <c r="AV137">
        <v>0.94</v>
      </c>
      <c r="AW137" t="s">
        <v>1104</v>
      </c>
    </row>
    <row r="138" spans="1:66">
      <c r="A138" t="s">
        <v>504</v>
      </c>
      <c r="B138" t="s">
        <v>1535</v>
      </c>
      <c r="C138" t="s">
        <v>1181</v>
      </c>
      <c r="D138" t="s">
        <v>1536</v>
      </c>
      <c r="F138" t="s">
        <v>1537</v>
      </c>
      <c r="G138" t="s">
        <v>1122</v>
      </c>
      <c r="O138">
        <v>0.92</v>
      </c>
      <c r="P138" t="s">
        <v>1118</v>
      </c>
      <c r="Q138">
        <v>7.2</v>
      </c>
    </row>
    <row r="139" spans="1:66">
      <c r="A139" t="s">
        <v>378</v>
      </c>
      <c r="B139" t="s">
        <v>1538</v>
      </c>
      <c r="D139" t="s">
        <v>1539</v>
      </c>
      <c r="E139" t="s">
        <v>1540</v>
      </c>
      <c r="G139" t="s">
        <v>1126</v>
      </c>
      <c r="H139" s="48">
        <v>8.2200000000000006</v>
      </c>
      <c r="I139" s="48">
        <v>36.299999999999997</v>
      </c>
      <c r="J139" s="48">
        <v>55.48</v>
      </c>
      <c r="K139">
        <v>0.82499999999999996</v>
      </c>
      <c r="L139" t="s">
        <v>1118</v>
      </c>
      <c r="M139">
        <v>3.42</v>
      </c>
      <c r="N139" t="s">
        <v>1412</v>
      </c>
      <c r="Q139">
        <v>6.12</v>
      </c>
      <c r="R139" t="s">
        <v>1541</v>
      </c>
      <c r="S139" t="s">
        <v>1292</v>
      </c>
      <c r="AF139">
        <v>8.2000000000000003E-2</v>
      </c>
      <c r="AG139" t="s">
        <v>1118</v>
      </c>
    </row>
    <row r="140" spans="1:66">
      <c r="A140" t="s">
        <v>382</v>
      </c>
      <c r="B140" t="s">
        <v>1542</v>
      </c>
      <c r="D140" t="s">
        <v>1543</v>
      </c>
      <c r="G140" t="s">
        <v>1205</v>
      </c>
      <c r="H140">
        <v>21.4</v>
      </c>
      <c r="I140">
        <v>14.2</v>
      </c>
      <c r="J140">
        <v>64.400000000000006</v>
      </c>
      <c r="K140">
        <v>0.59</v>
      </c>
      <c r="L140" t="s">
        <v>1118</v>
      </c>
      <c r="M140">
        <v>5.0000000000000001E-3</v>
      </c>
      <c r="N140" t="s">
        <v>1118</v>
      </c>
      <c r="Q140">
        <v>7.87</v>
      </c>
      <c r="R140" t="s">
        <v>1277</v>
      </c>
      <c r="S140" t="s">
        <v>1292</v>
      </c>
    </row>
    <row r="141" spans="1:66">
      <c r="A141" t="s">
        <v>405</v>
      </c>
      <c r="B141" t="s">
        <v>1544</v>
      </c>
      <c r="C141" t="s">
        <v>1545</v>
      </c>
      <c r="D141" t="s">
        <v>1546</v>
      </c>
      <c r="E141" t="s">
        <v>1547</v>
      </c>
      <c r="G141" s="48" t="s">
        <v>1483</v>
      </c>
      <c r="H141" s="48">
        <v>2.83</v>
      </c>
      <c r="I141" s="48">
        <v>10.8</v>
      </c>
      <c r="J141" s="48">
        <v>86.4</v>
      </c>
      <c r="Q141">
        <v>5.57</v>
      </c>
      <c r="AF141">
        <v>0.37</v>
      </c>
      <c r="AG141" t="s">
        <v>1118</v>
      </c>
      <c r="AH141" s="30">
        <f>15.57/AF141</f>
        <v>42.081081081081081</v>
      </c>
      <c r="BN141" t="s">
        <v>1548</v>
      </c>
    </row>
    <row r="142" spans="1:66">
      <c r="B142" t="s">
        <v>1549</v>
      </c>
      <c r="C142" t="s">
        <v>1497</v>
      </c>
      <c r="D142" t="s">
        <v>1546</v>
      </c>
      <c r="E142" t="s">
        <v>1547</v>
      </c>
      <c r="G142" t="s">
        <v>1140</v>
      </c>
      <c r="H142">
        <v>66.5</v>
      </c>
      <c r="I142">
        <v>23.9</v>
      </c>
      <c r="J142">
        <v>9.6</v>
      </c>
      <c r="Q142">
        <v>5.27</v>
      </c>
      <c r="AF142">
        <v>0.34</v>
      </c>
      <c r="AG142" t="s">
        <v>1118</v>
      </c>
      <c r="AH142" s="30">
        <f>4.86/AF142</f>
        <v>14.294117647058824</v>
      </c>
    </row>
    <row r="143" spans="1:66">
      <c r="B143" t="s">
        <v>1550</v>
      </c>
      <c r="C143" t="s">
        <v>1551</v>
      </c>
      <c r="D143" t="s">
        <v>1552</v>
      </c>
      <c r="E143" t="s">
        <v>1553</v>
      </c>
      <c r="G143" s="48" t="s">
        <v>1205</v>
      </c>
      <c r="H143" s="48">
        <v>23.7</v>
      </c>
      <c r="I143" s="48">
        <v>27.2</v>
      </c>
      <c r="J143" s="48">
        <v>49.1</v>
      </c>
      <c r="Q143">
        <v>6.51</v>
      </c>
      <c r="AF143">
        <v>0.1</v>
      </c>
      <c r="AG143" t="s">
        <v>1118</v>
      </c>
      <c r="AH143">
        <f>1.36/AF143</f>
        <v>13.6</v>
      </c>
    </row>
    <row r="144" spans="1:66">
      <c r="A144" t="s">
        <v>414</v>
      </c>
      <c r="B144" t="s">
        <v>1554</v>
      </c>
      <c r="D144" t="s">
        <v>1370</v>
      </c>
      <c r="G144" t="s">
        <v>1122</v>
      </c>
      <c r="H144">
        <v>12.4</v>
      </c>
      <c r="I144">
        <v>10</v>
      </c>
      <c r="J144">
        <v>78</v>
      </c>
      <c r="K144">
        <v>0.51</v>
      </c>
      <c r="L144" t="s">
        <v>1118</v>
      </c>
      <c r="Q144">
        <v>7.8</v>
      </c>
      <c r="R144" t="s">
        <v>1277</v>
      </c>
      <c r="S144" t="s">
        <v>1555</v>
      </c>
      <c r="V144">
        <v>11.2</v>
      </c>
      <c r="W144" t="s">
        <v>1119</v>
      </c>
    </row>
    <row r="145" spans="1:66">
      <c r="A145" t="s">
        <v>422</v>
      </c>
      <c r="B145" t="s">
        <v>1556</v>
      </c>
      <c r="D145" s="5" t="s">
        <v>1557</v>
      </c>
      <c r="E145" t="s">
        <v>1558</v>
      </c>
      <c r="F145" t="s">
        <v>1559</v>
      </c>
      <c r="G145" s="42" t="s">
        <v>1132</v>
      </c>
      <c r="H145" s="42">
        <v>24.45</v>
      </c>
      <c r="I145" s="42">
        <v>35.380000000000003</v>
      </c>
      <c r="J145" s="42">
        <v>40.229999999999997</v>
      </c>
      <c r="M145">
        <v>23</v>
      </c>
      <c r="N145" t="s">
        <v>1108</v>
      </c>
      <c r="O145">
        <v>186</v>
      </c>
      <c r="P145" t="s">
        <v>1104</v>
      </c>
      <c r="Q145">
        <v>4.7</v>
      </c>
      <c r="R145" t="s">
        <v>1185</v>
      </c>
      <c r="T145">
        <v>0.03</v>
      </c>
      <c r="U145" t="s">
        <v>1164</v>
      </c>
      <c r="AH145">
        <v>13</v>
      </c>
      <c r="AI145">
        <v>5</v>
      </c>
      <c r="AJ145" t="s">
        <v>1108</v>
      </c>
      <c r="AO145">
        <v>33</v>
      </c>
      <c r="AP145" t="s">
        <v>1108</v>
      </c>
      <c r="AV145">
        <v>117.3</v>
      </c>
      <c r="AW145" t="s">
        <v>1108</v>
      </c>
      <c r="AX145">
        <v>122</v>
      </c>
      <c r="AY145" t="s">
        <v>1108</v>
      </c>
      <c r="AZ145">
        <v>115</v>
      </c>
      <c r="BA145" t="s">
        <v>1108</v>
      </c>
      <c r="BB145">
        <v>1</v>
      </c>
      <c r="BC145" t="s">
        <v>1108</v>
      </c>
      <c r="BD145">
        <v>41.7</v>
      </c>
      <c r="BE145" t="s">
        <v>1108</v>
      </c>
      <c r="BF145">
        <v>0.8</v>
      </c>
      <c r="BG145" t="s">
        <v>1108</v>
      </c>
    </row>
    <row r="146" spans="1:66">
      <c r="A146" t="s">
        <v>426</v>
      </c>
      <c r="B146" t="s">
        <v>1560</v>
      </c>
      <c r="D146" t="s">
        <v>1561</v>
      </c>
      <c r="F146" t="s">
        <v>1559</v>
      </c>
      <c r="G146" t="s">
        <v>1122</v>
      </c>
      <c r="H146">
        <v>2</v>
      </c>
      <c r="I146">
        <v>48</v>
      </c>
      <c r="J146">
        <v>50</v>
      </c>
      <c r="K146">
        <v>10.4</v>
      </c>
      <c r="L146" t="s">
        <v>1118</v>
      </c>
      <c r="M146">
        <v>23</v>
      </c>
      <c r="N146" t="s">
        <v>1108</v>
      </c>
      <c r="O146">
        <v>18.600000000000001</v>
      </c>
      <c r="P146" t="s">
        <v>1118</v>
      </c>
      <c r="Q146">
        <v>5.3</v>
      </c>
      <c r="T146">
        <v>0.03</v>
      </c>
      <c r="U146" t="s">
        <v>1164</v>
      </c>
      <c r="AB146">
        <v>0.75</v>
      </c>
      <c r="AC146" t="s">
        <v>1412</v>
      </c>
      <c r="AF146">
        <v>0.89</v>
      </c>
      <c r="AG146" t="s">
        <v>1118</v>
      </c>
      <c r="AH146">
        <v>11.7</v>
      </c>
    </row>
    <row r="147" spans="1:66">
      <c r="A147" t="s">
        <v>430</v>
      </c>
      <c r="B147" t="s">
        <v>1562</v>
      </c>
      <c r="C147" t="s">
        <v>1456</v>
      </c>
      <c r="D147" t="s">
        <v>1563</v>
      </c>
      <c r="E147" t="s">
        <v>1564</v>
      </c>
      <c r="F147" t="s">
        <v>1565</v>
      </c>
      <c r="G147" t="s">
        <v>1122</v>
      </c>
      <c r="H147">
        <v>14.9</v>
      </c>
      <c r="I147">
        <v>8.1999999999999993</v>
      </c>
      <c r="J147">
        <v>76.900000000000006</v>
      </c>
      <c r="K147">
        <v>0.47</v>
      </c>
      <c r="L147" t="s">
        <v>1118</v>
      </c>
      <c r="M147">
        <v>0.04</v>
      </c>
      <c r="N147" t="s">
        <v>1177</v>
      </c>
      <c r="Q147">
        <v>7.9</v>
      </c>
      <c r="R147" t="s">
        <v>1277</v>
      </c>
      <c r="S147" t="s">
        <v>1127</v>
      </c>
    </row>
    <row r="148" spans="1:66">
      <c r="A148" t="s">
        <v>456</v>
      </c>
      <c r="B148" t="s">
        <v>1566</v>
      </c>
      <c r="C148" t="s">
        <v>1567</v>
      </c>
      <c r="D148" t="s">
        <v>1568</v>
      </c>
      <c r="E148" t="s">
        <v>1569</v>
      </c>
      <c r="F148" t="s">
        <v>1570</v>
      </c>
      <c r="G148" s="42" t="s">
        <v>1205</v>
      </c>
      <c r="H148" s="42">
        <v>32.200000000000003</v>
      </c>
      <c r="I148" s="42">
        <v>30.7</v>
      </c>
      <c r="J148" s="42">
        <v>37.1</v>
      </c>
      <c r="K148">
        <v>3.91</v>
      </c>
      <c r="L148" t="s">
        <v>1118</v>
      </c>
      <c r="Q148">
        <v>7.7</v>
      </c>
      <c r="AF148">
        <v>0.41</v>
      </c>
      <c r="AG148" t="s">
        <v>1118</v>
      </c>
      <c r="AI148" t="s">
        <v>1571</v>
      </c>
      <c r="AJ148" t="s">
        <v>1572</v>
      </c>
      <c r="AK148">
        <v>51</v>
      </c>
      <c r="BN148" t="s">
        <v>1573</v>
      </c>
    </row>
    <row r="149" spans="1:66">
      <c r="B149" t="s">
        <v>1574</v>
      </c>
      <c r="C149" t="s">
        <v>1575</v>
      </c>
      <c r="D149" t="s">
        <v>1568</v>
      </c>
      <c r="E149" t="s">
        <v>1576</v>
      </c>
      <c r="F149" t="s">
        <v>1570</v>
      </c>
      <c r="G149" t="s">
        <v>1205</v>
      </c>
      <c r="K149">
        <v>4.3099999999999996</v>
      </c>
      <c r="L149" t="s">
        <v>1118</v>
      </c>
      <c r="Q149">
        <v>7.8</v>
      </c>
      <c r="AF149">
        <v>0.42</v>
      </c>
      <c r="AG149" t="s">
        <v>1118</v>
      </c>
      <c r="AI149" t="s">
        <v>1571</v>
      </c>
      <c r="AJ149" t="s">
        <v>1572</v>
      </c>
      <c r="AK149">
        <v>7</v>
      </c>
      <c r="BN149" t="s">
        <v>1577</v>
      </c>
    </row>
    <row r="150" spans="1:66">
      <c r="B150" t="s">
        <v>1578</v>
      </c>
      <c r="C150" t="s">
        <v>1579</v>
      </c>
      <c r="D150" t="s">
        <v>1568</v>
      </c>
      <c r="E150" t="s">
        <v>1580</v>
      </c>
      <c r="F150" t="s">
        <v>1570</v>
      </c>
      <c r="G150" t="s">
        <v>1103</v>
      </c>
      <c r="K150">
        <v>3.11</v>
      </c>
      <c r="L150" t="s">
        <v>1118</v>
      </c>
      <c r="Q150">
        <v>7.5</v>
      </c>
      <c r="AF150">
        <v>0.33</v>
      </c>
      <c r="AG150" t="s">
        <v>1118</v>
      </c>
      <c r="AI150" t="s">
        <v>1571</v>
      </c>
      <c r="AJ150" t="s">
        <v>1572</v>
      </c>
      <c r="AK150">
        <v>68</v>
      </c>
      <c r="BN150" t="s">
        <v>1581</v>
      </c>
    </row>
    <row r="151" spans="1:66">
      <c r="B151" t="s">
        <v>1582</v>
      </c>
      <c r="C151" t="s">
        <v>1583</v>
      </c>
      <c r="D151" t="s">
        <v>1568</v>
      </c>
      <c r="E151" t="s">
        <v>1569</v>
      </c>
      <c r="F151" t="s">
        <v>1570</v>
      </c>
      <c r="G151" t="s">
        <v>1205</v>
      </c>
      <c r="K151">
        <v>3.32</v>
      </c>
      <c r="L151" t="s">
        <v>1118</v>
      </c>
      <c r="Q151">
        <v>6.9</v>
      </c>
      <c r="AF151">
        <v>0.36</v>
      </c>
      <c r="AG151" t="s">
        <v>1118</v>
      </c>
      <c r="AI151">
        <v>56</v>
      </c>
      <c r="AJ151" t="s">
        <v>1572</v>
      </c>
      <c r="AK151">
        <v>55</v>
      </c>
    </row>
    <row r="152" spans="1:66">
      <c r="B152" t="s">
        <v>1584</v>
      </c>
      <c r="C152" t="s">
        <v>1585</v>
      </c>
      <c r="D152" t="s">
        <v>1568</v>
      </c>
      <c r="E152" t="s">
        <v>1576</v>
      </c>
      <c r="F152" t="s">
        <v>1570</v>
      </c>
      <c r="G152" t="s">
        <v>1205</v>
      </c>
      <c r="K152">
        <v>3.74</v>
      </c>
      <c r="L152" t="s">
        <v>1118</v>
      </c>
      <c r="Q152">
        <v>7.4</v>
      </c>
      <c r="AF152">
        <v>0.37</v>
      </c>
      <c r="AG152" t="s">
        <v>1118</v>
      </c>
      <c r="AI152">
        <v>40</v>
      </c>
      <c r="AJ152" t="s">
        <v>1572</v>
      </c>
      <c r="AK152">
        <v>66</v>
      </c>
    </row>
    <row r="153" spans="1:66">
      <c r="B153" t="s">
        <v>1586</v>
      </c>
      <c r="C153" t="s">
        <v>1587</v>
      </c>
      <c r="D153" t="s">
        <v>1568</v>
      </c>
      <c r="E153" t="s">
        <v>1580</v>
      </c>
      <c r="F153" t="s">
        <v>1570</v>
      </c>
      <c r="G153" t="s">
        <v>1103</v>
      </c>
      <c r="K153">
        <v>2.99</v>
      </c>
      <c r="L153" t="s">
        <v>1118</v>
      </c>
      <c r="Q153">
        <v>7.9</v>
      </c>
      <c r="AF153">
        <v>0.33</v>
      </c>
      <c r="AG153" t="s">
        <v>1118</v>
      </c>
      <c r="AI153">
        <v>24</v>
      </c>
      <c r="AJ153" t="s">
        <v>1572</v>
      </c>
      <c r="AK153">
        <v>19</v>
      </c>
    </row>
    <row r="154" spans="1:66">
      <c r="A154" t="s">
        <v>460</v>
      </c>
      <c r="B154" t="s">
        <v>1588</v>
      </c>
      <c r="C154" t="s">
        <v>1589</v>
      </c>
      <c r="D154" t="s">
        <v>1590</v>
      </c>
      <c r="F154" t="s">
        <v>1591</v>
      </c>
      <c r="G154" t="s">
        <v>1592</v>
      </c>
      <c r="H154">
        <v>16.7</v>
      </c>
      <c r="I154">
        <v>54</v>
      </c>
      <c r="J154">
        <v>29.3</v>
      </c>
      <c r="K154">
        <v>0.56000000000000005</v>
      </c>
      <c r="L154" t="s">
        <v>1118</v>
      </c>
      <c r="Q154">
        <v>4.7</v>
      </c>
      <c r="R154" t="s">
        <v>1105</v>
      </c>
      <c r="S154" t="s">
        <v>1555</v>
      </c>
    </row>
    <row r="155" spans="1:66">
      <c r="B155" t="s">
        <v>1593</v>
      </c>
      <c r="C155" t="s">
        <v>1321</v>
      </c>
      <c r="D155" t="s">
        <v>1594</v>
      </c>
      <c r="F155" t="s">
        <v>1595</v>
      </c>
      <c r="G155" t="s">
        <v>1122</v>
      </c>
      <c r="H155">
        <v>14.7</v>
      </c>
      <c r="I155">
        <v>24</v>
      </c>
      <c r="J155">
        <v>61.3</v>
      </c>
      <c r="K155">
        <v>0.6</v>
      </c>
      <c r="L155" t="s">
        <v>1118</v>
      </c>
      <c r="Q155">
        <v>7.9</v>
      </c>
      <c r="R155" t="s">
        <v>1105</v>
      </c>
      <c r="S155" t="s">
        <v>1555</v>
      </c>
    </row>
    <row r="156" spans="1:66">
      <c r="A156" t="s">
        <v>465</v>
      </c>
      <c r="B156" t="s">
        <v>1596</v>
      </c>
      <c r="D156" t="s">
        <v>1597</v>
      </c>
      <c r="G156" t="s">
        <v>1122</v>
      </c>
      <c r="H156">
        <v>19</v>
      </c>
      <c r="I156">
        <v>8</v>
      </c>
      <c r="J156">
        <v>73</v>
      </c>
      <c r="K156">
        <v>0.52</v>
      </c>
      <c r="L156" t="s">
        <v>1118</v>
      </c>
      <c r="Q156">
        <v>7.2</v>
      </c>
      <c r="R156" t="s">
        <v>1105</v>
      </c>
      <c r="S156" t="s">
        <v>1292</v>
      </c>
    </row>
    <row r="157" spans="1:66">
      <c r="A157" t="s">
        <v>474</v>
      </c>
      <c r="B157" t="s">
        <v>1598</v>
      </c>
      <c r="G157" t="s">
        <v>1122</v>
      </c>
      <c r="H157">
        <v>17.100000000000001</v>
      </c>
      <c r="I157">
        <v>18</v>
      </c>
      <c r="J157">
        <v>64.900000000000006</v>
      </c>
      <c r="K157">
        <v>0.39</v>
      </c>
      <c r="L157" t="s">
        <v>1118</v>
      </c>
      <c r="Q157">
        <v>7.41</v>
      </c>
      <c r="R157" t="s">
        <v>1105</v>
      </c>
      <c r="S157" t="s">
        <v>1127</v>
      </c>
      <c r="T157">
        <v>0.35</v>
      </c>
      <c r="U157" t="s">
        <v>1164</v>
      </c>
      <c r="V157">
        <v>7.35</v>
      </c>
      <c r="W157" t="s">
        <v>1119</v>
      </c>
      <c r="Z157">
        <v>17.61</v>
      </c>
      <c r="AA157" t="s">
        <v>1118</v>
      </c>
      <c r="AB157">
        <v>1.45</v>
      </c>
      <c r="AC157" t="s">
        <v>1599</v>
      </c>
    </row>
    <row r="158" spans="1:66">
      <c r="A158" t="s">
        <v>478</v>
      </c>
      <c r="B158" t="s">
        <v>1600</v>
      </c>
      <c r="C158" t="s">
        <v>1456</v>
      </c>
      <c r="D158" t="s">
        <v>1601</v>
      </c>
      <c r="G158" t="s">
        <v>1122</v>
      </c>
      <c r="H158">
        <v>12</v>
      </c>
      <c r="I158">
        <v>30</v>
      </c>
      <c r="J158">
        <v>58</v>
      </c>
      <c r="K158">
        <v>0.5</v>
      </c>
      <c r="L158" t="s">
        <v>1118</v>
      </c>
      <c r="Q158">
        <v>8.5</v>
      </c>
      <c r="T158">
        <v>0.13</v>
      </c>
      <c r="U158" t="s">
        <v>1164</v>
      </c>
      <c r="AQ158">
        <v>17.7</v>
      </c>
      <c r="AR158" t="s">
        <v>1602</v>
      </c>
      <c r="BB158">
        <v>4.12</v>
      </c>
      <c r="BC158" t="s">
        <v>1603</v>
      </c>
      <c r="BD158">
        <v>15.9</v>
      </c>
      <c r="BE158" t="s">
        <v>1603</v>
      </c>
      <c r="BF158">
        <v>5.56</v>
      </c>
      <c r="BG158" t="s">
        <v>1603</v>
      </c>
    </row>
    <row r="159" spans="1:66">
      <c r="A159" t="s">
        <v>487</v>
      </c>
      <c r="B159" t="s">
        <v>1604</v>
      </c>
      <c r="D159" t="s">
        <v>1370</v>
      </c>
      <c r="G159" t="s">
        <v>1205</v>
      </c>
      <c r="H159">
        <v>22.3</v>
      </c>
      <c r="I159">
        <v>23.3</v>
      </c>
      <c r="J159">
        <v>54.4</v>
      </c>
      <c r="K159">
        <v>0.39</v>
      </c>
      <c r="L159" t="s">
        <v>1118</v>
      </c>
      <c r="Q159">
        <v>7.9</v>
      </c>
      <c r="R159" t="s">
        <v>1277</v>
      </c>
      <c r="S159" t="s">
        <v>1555</v>
      </c>
    </row>
    <row r="160" spans="1:66">
      <c r="A160" t="s">
        <v>78</v>
      </c>
      <c r="B160" t="s">
        <v>1605</v>
      </c>
      <c r="C160" t="s">
        <v>1606</v>
      </c>
      <c r="D160" t="s">
        <v>1607</v>
      </c>
      <c r="E160" t="s">
        <v>1608</v>
      </c>
      <c r="G160" t="s">
        <v>1157</v>
      </c>
      <c r="H160">
        <v>21.93</v>
      </c>
      <c r="I160">
        <v>38.130000000000003</v>
      </c>
      <c r="J160">
        <v>32.6</v>
      </c>
      <c r="K160">
        <v>15.3</v>
      </c>
      <c r="L160" t="s">
        <v>1609</v>
      </c>
      <c r="Q160">
        <v>4</v>
      </c>
      <c r="T160">
        <v>1010</v>
      </c>
      <c r="U160" t="s">
        <v>1222</v>
      </c>
      <c r="V160">
        <v>5.01</v>
      </c>
      <c r="W160" t="s">
        <v>1380</v>
      </c>
      <c r="Z160">
        <v>18</v>
      </c>
      <c r="AA160" t="s">
        <v>1118</v>
      </c>
      <c r="AB160">
        <v>1.33</v>
      </c>
      <c r="AC160" t="s">
        <v>1599</v>
      </c>
      <c r="AV160">
        <v>234</v>
      </c>
      <c r="AW160" t="s">
        <v>1108</v>
      </c>
      <c r="AX160">
        <v>3979</v>
      </c>
      <c r="AY160" t="s">
        <v>1108</v>
      </c>
      <c r="BB160">
        <v>21.3</v>
      </c>
      <c r="BC160" t="s">
        <v>1108</v>
      </c>
      <c r="BD160">
        <v>8100</v>
      </c>
      <c r="BE160" t="s">
        <v>1108</v>
      </c>
    </row>
    <row r="161" spans="1:65">
      <c r="B161" t="s">
        <v>1610</v>
      </c>
      <c r="C161" t="s">
        <v>1611</v>
      </c>
      <c r="D161" t="s">
        <v>1612</v>
      </c>
      <c r="E161" t="s">
        <v>1613</v>
      </c>
      <c r="G161" t="s">
        <v>1122</v>
      </c>
      <c r="H161">
        <v>12.5</v>
      </c>
      <c r="I161">
        <v>19</v>
      </c>
      <c r="J161">
        <v>66.5</v>
      </c>
      <c r="K161">
        <v>31.7</v>
      </c>
      <c r="L161" t="s">
        <v>1609</v>
      </c>
      <c r="Q161">
        <v>8.1999999999999993</v>
      </c>
      <c r="T161">
        <v>61</v>
      </c>
      <c r="U161" t="s">
        <v>1222</v>
      </c>
      <c r="V161">
        <v>14.3</v>
      </c>
      <c r="W161" t="s">
        <v>1380</v>
      </c>
      <c r="Z161">
        <v>30</v>
      </c>
      <c r="AA161" t="s">
        <v>1118</v>
      </c>
      <c r="AB161">
        <v>1.2</v>
      </c>
      <c r="AC161" t="s">
        <v>1599</v>
      </c>
      <c r="AV161">
        <v>1300</v>
      </c>
      <c r="AW161" t="s">
        <v>1108</v>
      </c>
      <c r="AX161">
        <v>3659</v>
      </c>
      <c r="AY161" t="s">
        <v>1108</v>
      </c>
      <c r="BB161">
        <v>4</v>
      </c>
      <c r="BC161" t="s">
        <v>1108</v>
      </c>
      <c r="BD161">
        <v>12800</v>
      </c>
      <c r="BE161" t="s">
        <v>1108</v>
      </c>
    </row>
    <row r="162" spans="1:65">
      <c r="B162" t="s">
        <v>1614</v>
      </c>
      <c r="C162" t="s">
        <v>1460</v>
      </c>
      <c r="D162" t="s">
        <v>1612</v>
      </c>
      <c r="E162" t="s">
        <v>1615</v>
      </c>
      <c r="G162" t="s">
        <v>1616</v>
      </c>
      <c r="H162">
        <v>32.6</v>
      </c>
      <c r="I162">
        <v>25.8</v>
      </c>
      <c r="J162">
        <v>41.6</v>
      </c>
      <c r="K162">
        <v>12</v>
      </c>
      <c r="L162" t="s">
        <v>1609</v>
      </c>
      <c r="Q162">
        <v>9.8000000000000007</v>
      </c>
      <c r="T162">
        <v>185</v>
      </c>
      <c r="U162" t="s">
        <v>1222</v>
      </c>
      <c r="V162">
        <v>9.5</v>
      </c>
      <c r="W162" t="s">
        <v>1380</v>
      </c>
      <c r="Z162">
        <v>22</v>
      </c>
      <c r="AA162" t="s">
        <v>1118</v>
      </c>
      <c r="AB162">
        <v>1.01</v>
      </c>
      <c r="AC162" t="s">
        <v>1599</v>
      </c>
      <c r="AV162">
        <v>3660</v>
      </c>
      <c r="AW162" t="s">
        <v>1108</v>
      </c>
      <c r="AX162">
        <v>4975</v>
      </c>
      <c r="AY162" t="s">
        <v>1108</v>
      </c>
      <c r="BB162">
        <v>16</v>
      </c>
      <c r="BC162" t="s">
        <v>1108</v>
      </c>
      <c r="BD162">
        <v>42800</v>
      </c>
      <c r="BE162" t="s">
        <v>1108</v>
      </c>
    </row>
    <row r="163" spans="1:65">
      <c r="A163" t="s">
        <v>181</v>
      </c>
      <c r="B163" t="s">
        <v>1617</v>
      </c>
      <c r="D163" t="s">
        <v>1618</v>
      </c>
      <c r="E163" t="s">
        <v>1619</v>
      </c>
      <c r="G163" s="48" t="s">
        <v>1103</v>
      </c>
      <c r="H163" s="48">
        <v>28.79</v>
      </c>
      <c r="I163" s="48">
        <v>42.1</v>
      </c>
      <c r="J163" s="48">
        <v>22.09</v>
      </c>
      <c r="O163">
        <v>29.45</v>
      </c>
      <c r="P163" t="s">
        <v>1104</v>
      </c>
      <c r="Q163">
        <v>6.54</v>
      </c>
      <c r="R163" t="s">
        <v>1277</v>
      </c>
      <c r="S163" t="s">
        <v>1127</v>
      </c>
      <c r="BL163">
        <v>9.7200000000000006</v>
      </c>
      <c r="BM163" t="s">
        <v>1104</v>
      </c>
    </row>
    <row r="164" spans="1:65">
      <c r="A164" t="s">
        <v>101</v>
      </c>
      <c r="B164" t="s">
        <v>1620</v>
      </c>
      <c r="D164" t="s">
        <v>1621</v>
      </c>
      <c r="E164" s="45" t="s">
        <v>1622</v>
      </c>
      <c r="G164" t="s">
        <v>1122</v>
      </c>
      <c r="H164" s="31">
        <v>28.48</v>
      </c>
      <c r="I164" s="31">
        <v>51.08</v>
      </c>
      <c r="J164" s="31">
        <v>20.45</v>
      </c>
      <c r="Q164">
        <v>7.96</v>
      </c>
      <c r="X164">
        <v>26.42</v>
      </c>
      <c r="Y164" t="s">
        <v>1118</v>
      </c>
    </row>
    <row r="165" spans="1:65">
      <c r="A165" t="s">
        <v>395</v>
      </c>
      <c r="B165" t="s">
        <v>1623</v>
      </c>
      <c r="D165" t="s">
        <v>1624</v>
      </c>
      <c r="O165">
        <v>3.1</v>
      </c>
      <c r="P165" t="s">
        <v>1118</v>
      </c>
      <c r="X165">
        <v>22.6</v>
      </c>
      <c r="Y165" t="s">
        <v>1118</v>
      </c>
    </row>
    <row r="166" spans="1:65">
      <c r="A166" t="s">
        <v>443</v>
      </c>
      <c r="B166" t="s">
        <v>1625</v>
      </c>
      <c r="D166" t="s">
        <v>1626</v>
      </c>
      <c r="E166" t="s">
        <v>1627</v>
      </c>
      <c r="G166" t="s">
        <v>1122</v>
      </c>
      <c r="H166">
        <v>19.5</v>
      </c>
      <c r="I166">
        <v>15.1</v>
      </c>
      <c r="J166">
        <v>69.400000000000006</v>
      </c>
      <c r="K166">
        <v>1.1499999999999999</v>
      </c>
      <c r="L166" t="s">
        <v>1118</v>
      </c>
      <c r="O166">
        <v>41</v>
      </c>
      <c r="P166" t="s">
        <v>1104</v>
      </c>
      <c r="Q166">
        <v>7.83</v>
      </c>
      <c r="V166">
        <v>17.2</v>
      </c>
      <c r="W166" t="s">
        <v>1119</v>
      </c>
    </row>
    <row r="167" spans="1:65">
      <c r="A167" s="7" t="s">
        <v>418</v>
      </c>
      <c r="B167" t="s">
        <v>1628</v>
      </c>
      <c r="F167" t="s">
        <v>1305</v>
      </c>
      <c r="G167" t="s">
        <v>1629</v>
      </c>
      <c r="H167">
        <v>27.2</v>
      </c>
      <c r="I167">
        <v>51.4</v>
      </c>
      <c r="J167">
        <v>21.4</v>
      </c>
      <c r="O167">
        <v>28.4</v>
      </c>
      <c r="P167" t="s">
        <v>1104</v>
      </c>
      <c r="Q167">
        <v>7.11</v>
      </c>
      <c r="V167">
        <v>17.5</v>
      </c>
      <c r="W167" t="s">
        <v>1119</v>
      </c>
      <c r="AU167" s="46"/>
    </row>
    <row r="168" spans="1:65">
      <c r="A168" s="7"/>
      <c r="B168" t="s">
        <v>1630</v>
      </c>
      <c r="F168" t="s">
        <v>1631</v>
      </c>
      <c r="G168" t="s">
        <v>1103</v>
      </c>
      <c r="H168">
        <v>38.5</v>
      </c>
      <c r="I168">
        <v>33.6</v>
      </c>
      <c r="J168">
        <v>27.9</v>
      </c>
      <c r="O168">
        <v>15.4</v>
      </c>
      <c r="P168" t="s">
        <v>1104</v>
      </c>
      <c r="Q168">
        <v>6.3</v>
      </c>
      <c r="V168">
        <v>14.4</v>
      </c>
      <c r="W168" t="s">
        <v>1119</v>
      </c>
      <c r="AU168" s="46"/>
    </row>
    <row r="169" spans="1:65">
      <c r="A169" s="7"/>
      <c r="B169" t="s">
        <v>1632</v>
      </c>
      <c r="F169" t="s">
        <v>1633</v>
      </c>
      <c r="G169" t="s">
        <v>1132</v>
      </c>
      <c r="H169">
        <v>15.6</v>
      </c>
      <c r="I169">
        <v>39.5</v>
      </c>
      <c r="J169">
        <v>44.9</v>
      </c>
      <c r="O169">
        <v>12.8</v>
      </c>
      <c r="P169" t="s">
        <v>1104</v>
      </c>
      <c r="Q169">
        <v>8.42</v>
      </c>
      <c r="V169">
        <v>26.7</v>
      </c>
      <c r="W169" t="s">
        <v>1119</v>
      </c>
      <c r="AU169" s="46"/>
    </row>
  </sheetData>
  <autoFilter ref="A4:BN169" xr:uid="{00000000-0001-0000-0200-000000000000}"/>
  <mergeCells count="3">
    <mergeCell ref="BN15:BN16"/>
    <mergeCell ref="A1:J1"/>
    <mergeCell ref="A2:J2"/>
  </mergeCells>
  <phoneticPr fontId="6" type="noConversion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B431"/>
  <sheetViews>
    <sheetView tabSelected="1" zoomScale="55" zoomScaleNormal="55" workbookViewId="0">
      <pane xSplit="5" ySplit="4" topLeftCell="H143" activePane="bottomRight" state="frozen"/>
      <selection pane="topRight" activeCell="E1" sqref="E1"/>
      <selection pane="bottomLeft" activeCell="A5" sqref="A5"/>
      <selection pane="bottomRight" activeCell="M149" sqref="M149"/>
    </sheetView>
  </sheetViews>
  <sheetFormatPr defaultColWidth="8.88671875" defaultRowHeight="18"/>
  <cols>
    <col min="1" max="2" width="13.88671875" customWidth="1"/>
    <col min="3" max="3" width="29.6640625" bestFit="1" customWidth="1"/>
    <col min="4" max="4" width="29.6640625" customWidth="1"/>
    <col min="5" max="5" width="17" customWidth="1"/>
    <col min="6" max="6" width="13.88671875" customWidth="1"/>
    <col min="7" max="7" width="53.109375" customWidth="1"/>
    <col min="8" max="8" width="27.109375" bestFit="1" customWidth="1"/>
    <col min="9" max="9" width="19.44140625" customWidth="1"/>
    <col min="10" max="10" width="31.109375" customWidth="1"/>
    <col min="11" max="11" width="13.88671875" customWidth="1"/>
    <col min="12" max="12" width="22.6640625" customWidth="1"/>
    <col min="13" max="13" width="50" customWidth="1"/>
    <col min="14" max="14" width="13.88671875" customWidth="1"/>
    <col min="15" max="15" width="9.6640625" customWidth="1"/>
    <col min="16" max="16" width="8.33203125" customWidth="1"/>
    <col min="17" max="17" width="14.33203125" bestFit="1" customWidth="1"/>
    <col min="18" max="18" width="8.33203125" customWidth="1"/>
    <col min="19" max="69" width="13.88671875" customWidth="1"/>
    <col min="70" max="70" width="29.88671875" customWidth="1"/>
  </cols>
  <sheetData>
    <row r="1" spans="1:80" ht="21.9" customHeight="1">
      <c r="A1" s="55" t="s">
        <v>1634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80" ht="36" customHeight="1">
      <c r="A2" s="53" t="s">
        <v>1635</v>
      </c>
      <c r="B2" s="54"/>
      <c r="C2" s="54"/>
      <c r="D2" s="54"/>
      <c r="E2" s="54"/>
      <c r="F2" s="54"/>
      <c r="G2" s="54"/>
      <c r="H2" s="54"/>
      <c r="I2" s="54"/>
      <c r="J2" s="54"/>
      <c r="K2" s="54"/>
    </row>
    <row r="4" spans="1:80" ht="45.6">
      <c r="A4" s="2" t="s">
        <v>19</v>
      </c>
      <c r="B4" s="2" t="s">
        <v>1636</v>
      </c>
      <c r="C4" s="2" t="s">
        <v>1637</v>
      </c>
      <c r="D4" s="2" t="s">
        <v>1638</v>
      </c>
      <c r="E4" s="49" t="s">
        <v>1639</v>
      </c>
      <c r="F4" s="2" t="s">
        <v>1640</v>
      </c>
      <c r="G4" s="2" t="s">
        <v>1641</v>
      </c>
      <c r="H4" s="2" t="s">
        <v>1642</v>
      </c>
      <c r="I4" s="2" t="s">
        <v>1643</v>
      </c>
      <c r="J4" s="2" t="s">
        <v>1644</v>
      </c>
      <c r="K4" s="2" t="s">
        <v>1645</v>
      </c>
      <c r="L4" s="2" t="s">
        <v>1646</v>
      </c>
      <c r="M4" s="2" t="s">
        <v>1647</v>
      </c>
      <c r="N4" s="2" t="s">
        <v>1648</v>
      </c>
      <c r="O4" s="2" t="s">
        <v>1649</v>
      </c>
      <c r="P4" s="2" t="s">
        <v>1045</v>
      </c>
      <c r="Q4" s="4" t="s">
        <v>1650</v>
      </c>
      <c r="R4" s="2" t="s">
        <v>1047</v>
      </c>
      <c r="S4" s="2" t="s">
        <v>1651</v>
      </c>
      <c r="T4" s="2" t="s">
        <v>1049</v>
      </c>
      <c r="U4" s="2" t="s">
        <v>1652</v>
      </c>
      <c r="V4" s="2" t="s">
        <v>1653</v>
      </c>
      <c r="W4" s="2" t="s">
        <v>1654</v>
      </c>
      <c r="X4" s="2" t="s">
        <v>1655</v>
      </c>
      <c r="Y4" s="2" t="s">
        <v>1656</v>
      </c>
      <c r="Z4" s="2" t="s">
        <v>1657</v>
      </c>
      <c r="AA4" s="2" t="s">
        <v>1658</v>
      </c>
      <c r="AB4" s="2" t="s">
        <v>1659</v>
      </c>
      <c r="AC4" s="2" t="s">
        <v>1660</v>
      </c>
      <c r="AD4" s="2" t="s">
        <v>1661</v>
      </c>
      <c r="AE4" s="2" t="s">
        <v>1662</v>
      </c>
      <c r="AF4" s="2" t="s">
        <v>1663</v>
      </c>
      <c r="AG4" s="2" t="s">
        <v>1050</v>
      </c>
      <c r="AH4" s="2" t="s">
        <v>1051</v>
      </c>
      <c r="AI4" s="2" t="s">
        <v>1052</v>
      </c>
      <c r="AJ4" s="2" t="s">
        <v>1664</v>
      </c>
      <c r="AK4" s="2" t="s">
        <v>1665</v>
      </c>
      <c r="AL4" s="2" t="s">
        <v>1666</v>
      </c>
      <c r="AM4" s="2" t="s">
        <v>1667</v>
      </c>
      <c r="AN4" s="2" t="s">
        <v>1668</v>
      </c>
      <c r="AO4" s="2" t="s">
        <v>1669</v>
      </c>
      <c r="AP4" s="2" t="s">
        <v>1670</v>
      </c>
      <c r="AQ4" s="2" t="s">
        <v>1671</v>
      </c>
      <c r="AR4" s="2" t="s">
        <v>1672</v>
      </c>
      <c r="AS4" s="2" t="s">
        <v>1673</v>
      </c>
      <c r="AT4" s="2" t="s">
        <v>1674</v>
      </c>
      <c r="AU4" s="2" t="s">
        <v>1675</v>
      </c>
      <c r="AV4" s="2" t="s">
        <v>1055</v>
      </c>
      <c r="AW4" s="2" t="s">
        <v>1056</v>
      </c>
      <c r="AX4" s="2" t="s">
        <v>1053</v>
      </c>
      <c r="AY4" s="2" t="s">
        <v>1054</v>
      </c>
      <c r="AZ4" s="2" t="s">
        <v>1070</v>
      </c>
      <c r="BA4" s="2" t="s">
        <v>1071</v>
      </c>
      <c r="BB4" s="2" t="s">
        <v>1072</v>
      </c>
      <c r="BC4" s="2" t="s">
        <v>1073</v>
      </c>
      <c r="BD4" s="2" t="s">
        <v>1676</v>
      </c>
      <c r="BE4" s="2" t="s">
        <v>1069</v>
      </c>
      <c r="BF4" s="2" t="s">
        <v>1677</v>
      </c>
      <c r="BG4" s="2" t="s">
        <v>1678</v>
      </c>
      <c r="BH4" s="2" t="s">
        <v>1078</v>
      </c>
      <c r="BI4" s="2" t="s">
        <v>1079</v>
      </c>
      <c r="BJ4" s="2" t="s">
        <v>1081</v>
      </c>
      <c r="BK4" s="2" t="s">
        <v>1082</v>
      </c>
      <c r="BL4" s="2" t="s">
        <v>1083</v>
      </c>
      <c r="BM4" s="2" t="s">
        <v>1084</v>
      </c>
      <c r="BN4" s="2" t="s">
        <v>1085</v>
      </c>
      <c r="BO4" s="2" t="s">
        <v>1086</v>
      </c>
      <c r="BP4" s="2" t="s">
        <v>1087</v>
      </c>
      <c r="BQ4" s="2" t="s">
        <v>1088</v>
      </c>
      <c r="BR4" s="2" t="s">
        <v>1089</v>
      </c>
      <c r="BS4" s="2" t="s">
        <v>1090</v>
      </c>
      <c r="BT4" s="2" t="s">
        <v>1091</v>
      </c>
      <c r="BU4" s="2" t="s">
        <v>1092</v>
      </c>
      <c r="BV4" s="2" t="s">
        <v>1679</v>
      </c>
      <c r="BW4" s="2" t="s">
        <v>1680</v>
      </c>
      <c r="BX4" s="2" t="s">
        <v>1681</v>
      </c>
      <c r="BY4" s="2" t="s">
        <v>1682</v>
      </c>
      <c r="BZ4" s="2" t="s">
        <v>1683</v>
      </c>
      <c r="CA4" s="2" t="s">
        <v>1684</v>
      </c>
      <c r="CB4" s="2" t="s">
        <v>28</v>
      </c>
    </row>
    <row r="5" spans="1:80">
      <c r="A5" s="11" t="s">
        <v>1026</v>
      </c>
      <c r="B5" s="11" t="s">
        <v>1685</v>
      </c>
      <c r="C5" s="11"/>
      <c r="D5" s="11"/>
      <c r="E5" s="11"/>
      <c r="F5" s="11" t="s">
        <v>7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</row>
    <row r="6" spans="1:80">
      <c r="B6" t="s">
        <v>1686</v>
      </c>
      <c r="C6" t="s">
        <v>1687</v>
      </c>
      <c r="D6" t="s">
        <v>1688</v>
      </c>
      <c r="E6" t="s">
        <v>1688</v>
      </c>
      <c r="F6" t="s">
        <v>11</v>
      </c>
      <c r="G6" t="s">
        <v>1689</v>
      </c>
      <c r="O6">
        <v>400.68</v>
      </c>
      <c r="P6" t="s">
        <v>1104</v>
      </c>
      <c r="Y6">
        <v>23.2</v>
      </c>
      <c r="Z6" t="s">
        <v>1104</v>
      </c>
      <c r="AA6">
        <f>O6/Y6</f>
        <v>17.270689655172415</v>
      </c>
      <c r="AG6">
        <v>8.07</v>
      </c>
      <c r="BD6">
        <v>14.08</v>
      </c>
      <c r="BE6" t="s">
        <v>1104</v>
      </c>
    </row>
    <row r="7" spans="1:80">
      <c r="A7" t="s">
        <v>1022</v>
      </c>
      <c r="B7" t="s">
        <v>1690</v>
      </c>
      <c r="F7" t="s">
        <v>7</v>
      </c>
      <c r="J7">
        <v>10</v>
      </c>
      <c r="K7" t="s">
        <v>1691</v>
      </c>
      <c r="L7" t="s">
        <v>1692</v>
      </c>
      <c r="M7" t="s">
        <v>1693</v>
      </c>
      <c r="O7">
        <v>24.1</v>
      </c>
      <c r="P7" t="s">
        <v>1118</v>
      </c>
      <c r="Q7">
        <v>6.92</v>
      </c>
      <c r="R7" t="s">
        <v>1177</v>
      </c>
      <c r="Y7">
        <v>1.1000000000000001</v>
      </c>
      <c r="Z7" t="s">
        <v>1118</v>
      </c>
      <c r="AA7">
        <v>21.9</v>
      </c>
      <c r="AG7">
        <v>7.58</v>
      </c>
      <c r="AH7" t="s">
        <v>1277</v>
      </c>
      <c r="AI7" t="s">
        <v>1694</v>
      </c>
    </row>
    <row r="8" spans="1:80">
      <c r="B8" t="s">
        <v>1695</v>
      </c>
      <c r="C8" t="s">
        <v>1696</v>
      </c>
      <c r="D8" t="s">
        <v>1688</v>
      </c>
      <c r="E8" t="s">
        <v>1688</v>
      </c>
      <c r="F8" t="s">
        <v>11</v>
      </c>
      <c r="G8" t="s">
        <v>1697</v>
      </c>
      <c r="J8">
        <v>10</v>
      </c>
      <c r="K8" t="s">
        <v>1691</v>
      </c>
      <c r="L8" s="5" t="s">
        <v>1692</v>
      </c>
      <c r="M8" t="s">
        <v>1693</v>
      </c>
      <c r="O8">
        <v>22.2</v>
      </c>
      <c r="P8" t="s">
        <v>1118</v>
      </c>
      <c r="Q8">
        <v>13.2</v>
      </c>
      <c r="R8" t="s">
        <v>1177</v>
      </c>
      <c r="Y8">
        <v>1.75</v>
      </c>
      <c r="Z8" t="s">
        <v>1118</v>
      </c>
      <c r="AA8">
        <v>12.7</v>
      </c>
      <c r="AG8">
        <v>7.83</v>
      </c>
      <c r="AH8" t="s">
        <v>1277</v>
      </c>
      <c r="AI8" t="s">
        <v>1694</v>
      </c>
    </row>
    <row r="9" spans="1:80">
      <c r="B9" t="s">
        <v>1698</v>
      </c>
      <c r="C9" t="s">
        <v>1699</v>
      </c>
      <c r="D9" t="s">
        <v>1700</v>
      </c>
      <c r="E9" t="s">
        <v>1700</v>
      </c>
      <c r="F9" t="s">
        <v>11</v>
      </c>
      <c r="G9" t="s">
        <v>1701</v>
      </c>
    </row>
    <row r="10" spans="1:80">
      <c r="A10" t="s">
        <v>1018</v>
      </c>
      <c r="B10" t="s">
        <v>1702</v>
      </c>
      <c r="F10" t="s">
        <v>7</v>
      </c>
    </row>
    <row r="11" spans="1:80">
      <c r="B11" t="s">
        <v>1703</v>
      </c>
      <c r="C11" t="s">
        <v>1704</v>
      </c>
      <c r="D11" t="s">
        <v>1705</v>
      </c>
      <c r="E11" t="s">
        <v>1706</v>
      </c>
      <c r="F11" t="s">
        <v>11</v>
      </c>
      <c r="G11" t="s">
        <v>1707</v>
      </c>
      <c r="H11" t="s">
        <v>1708</v>
      </c>
      <c r="I11">
        <v>500</v>
      </c>
      <c r="J11">
        <v>5</v>
      </c>
      <c r="K11" t="s">
        <v>1691</v>
      </c>
      <c r="L11" t="s">
        <v>1709</v>
      </c>
      <c r="S11">
        <v>77.099999999999994</v>
      </c>
      <c r="T11" t="s">
        <v>1118</v>
      </c>
      <c r="W11">
        <v>59.5</v>
      </c>
      <c r="X11" t="s">
        <v>1118</v>
      </c>
      <c r="Y11">
        <v>0.73</v>
      </c>
      <c r="Z11" t="s">
        <v>1118</v>
      </c>
      <c r="AA11">
        <f>W11/Y11</f>
        <v>81.506849315068493</v>
      </c>
      <c r="AB11">
        <v>2.11</v>
      </c>
      <c r="AC11" t="s">
        <v>1118</v>
      </c>
      <c r="AD11">
        <v>0.43</v>
      </c>
      <c r="AG11">
        <v>7.63</v>
      </c>
      <c r="AH11" t="s">
        <v>1277</v>
      </c>
      <c r="AI11" t="s">
        <v>1694</v>
      </c>
      <c r="AX11">
        <v>0.88</v>
      </c>
      <c r="AY11" t="s">
        <v>1128</v>
      </c>
    </row>
    <row r="12" spans="1:80" ht="36">
      <c r="B12" t="s">
        <v>1710</v>
      </c>
      <c r="C12" t="s">
        <v>1696</v>
      </c>
      <c r="D12" t="s">
        <v>1688</v>
      </c>
      <c r="E12" t="s">
        <v>1688</v>
      </c>
      <c r="F12" t="s">
        <v>11</v>
      </c>
      <c r="G12" s="5" t="s">
        <v>1711</v>
      </c>
      <c r="H12" s="5"/>
      <c r="I12" s="5"/>
      <c r="J12">
        <v>5</v>
      </c>
      <c r="K12" t="s">
        <v>1691</v>
      </c>
      <c r="L12" s="5" t="s">
        <v>1692</v>
      </c>
      <c r="S12">
        <v>68</v>
      </c>
      <c r="T12" t="s">
        <v>1118</v>
      </c>
      <c r="W12">
        <v>38.200000000000003</v>
      </c>
      <c r="X12" t="s">
        <v>1118</v>
      </c>
      <c r="Y12">
        <v>2.21</v>
      </c>
      <c r="Z12" t="s">
        <v>1118</v>
      </c>
      <c r="AA12">
        <f>W12/Y12</f>
        <v>17.28506787330317</v>
      </c>
      <c r="AB12">
        <v>4.9000000000000004</v>
      </c>
      <c r="AC12" t="s">
        <v>1118</v>
      </c>
      <c r="AD12">
        <v>1.54</v>
      </c>
      <c r="AG12">
        <v>6.8</v>
      </c>
      <c r="AH12" t="s">
        <v>1277</v>
      </c>
      <c r="AI12" t="s">
        <v>1694</v>
      </c>
      <c r="AX12">
        <v>1.1299999999999999</v>
      </c>
      <c r="AY12" t="s">
        <v>1128</v>
      </c>
    </row>
    <row r="13" spans="1:80">
      <c r="A13" t="s">
        <v>1014</v>
      </c>
      <c r="B13" t="s">
        <v>1712</v>
      </c>
      <c r="F13" t="s">
        <v>7</v>
      </c>
    </row>
    <row r="14" spans="1:80">
      <c r="B14" t="s">
        <v>1713</v>
      </c>
      <c r="C14" t="s">
        <v>1714</v>
      </c>
      <c r="D14" t="s">
        <v>1688</v>
      </c>
      <c r="E14" t="s">
        <v>1715</v>
      </c>
      <c r="F14" t="s">
        <v>11</v>
      </c>
      <c r="G14" t="s">
        <v>1716</v>
      </c>
      <c r="J14" s="5">
        <v>5</v>
      </c>
      <c r="K14" t="s">
        <v>1691</v>
      </c>
      <c r="L14" s="5" t="s">
        <v>1692</v>
      </c>
      <c r="M14" t="s">
        <v>1693</v>
      </c>
      <c r="O14">
        <v>18.87</v>
      </c>
      <c r="P14" t="s">
        <v>1118</v>
      </c>
      <c r="Y14">
        <v>9.8800000000000008</v>
      </c>
      <c r="Z14" t="s">
        <v>1104</v>
      </c>
      <c r="AG14">
        <v>6.61</v>
      </c>
      <c r="AH14" t="s">
        <v>1277</v>
      </c>
      <c r="AI14" t="s">
        <v>1717</v>
      </c>
    </row>
    <row r="15" spans="1:80">
      <c r="A15" t="s">
        <v>1005</v>
      </c>
      <c r="B15" t="s">
        <v>1718</v>
      </c>
      <c r="F15" t="s">
        <v>7</v>
      </c>
    </row>
    <row r="16" spans="1:80">
      <c r="B16" t="s">
        <v>1719</v>
      </c>
      <c r="C16" t="s">
        <v>1720</v>
      </c>
      <c r="D16" t="s">
        <v>1721</v>
      </c>
      <c r="E16" t="s">
        <v>1721</v>
      </c>
      <c r="F16" t="s">
        <v>11</v>
      </c>
      <c r="G16" t="s">
        <v>1722</v>
      </c>
      <c r="J16">
        <v>5</v>
      </c>
      <c r="K16" t="s">
        <v>1723</v>
      </c>
      <c r="L16" s="5" t="s">
        <v>1709</v>
      </c>
      <c r="O16">
        <v>24.84</v>
      </c>
      <c r="P16" t="s">
        <v>1118</v>
      </c>
      <c r="Y16">
        <v>2.94</v>
      </c>
      <c r="Z16" t="s">
        <v>1118</v>
      </c>
    </row>
    <row r="17" spans="1:61">
      <c r="B17" t="s">
        <v>1724</v>
      </c>
      <c r="C17" t="s">
        <v>1725</v>
      </c>
      <c r="D17" t="s">
        <v>1688</v>
      </c>
      <c r="E17" t="s">
        <v>1688</v>
      </c>
      <c r="F17" t="s">
        <v>11</v>
      </c>
      <c r="G17" t="s">
        <v>1726</v>
      </c>
      <c r="J17">
        <v>30</v>
      </c>
      <c r="K17" t="s">
        <v>1723</v>
      </c>
      <c r="O17">
        <v>12.9</v>
      </c>
      <c r="P17" t="s">
        <v>1118</v>
      </c>
      <c r="Y17">
        <v>3</v>
      </c>
      <c r="Z17" t="s">
        <v>1118</v>
      </c>
      <c r="AG17">
        <v>6.3</v>
      </c>
    </row>
    <row r="18" spans="1:61">
      <c r="A18" t="s">
        <v>996</v>
      </c>
      <c r="B18" t="s">
        <v>1727</v>
      </c>
      <c r="F18" t="s">
        <v>7</v>
      </c>
    </row>
    <row r="19" spans="1:61">
      <c r="B19" t="s">
        <v>1728</v>
      </c>
      <c r="C19" t="s">
        <v>1729</v>
      </c>
      <c r="D19" t="s">
        <v>1705</v>
      </c>
      <c r="E19" t="s">
        <v>1706</v>
      </c>
      <c r="F19" t="s">
        <v>11</v>
      </c>
      <c r="G19" t="s">
        <v>1730</v>
      </c>
      <c r="H19" t="s">
        <v>1731</v>
      </c>
      <c r="I19">
        <v>350</v>
      </c>
      <c r="J19">
        <v>2</v>
      </c>
      <c r="K19" t="s">
        <v>1691</v>
      </c>
      <c r="W19">
        <v>66.465000000000003</v>
      </c>
      <c r="X19" t="s">
        <v>1118</v>
      </c>
      <c r="Y19">
        <v>4.4050000000000002</v>
      </c>
      <c r="Z19" t="s">
        <v>1118</v>
      </c>
      <c r="AA19">
        <f>W19/Y19</f>
        <v>15.088535754824063</v>
      </c>
      <c r="AB19">
        <v>4.4539999999999997</v>
      </c>
      <c r="AC19" t="s">
        <v>1118</v>
      </c>
      <c r="AD19">
        <v>0.81</v>
      </c>
      <c r="AE19">
        <v>5.6369999999999996</v>
      </c>
      <c r="AF19" t="s">
        <v>1118</v>
      </c>
      <c r="AG19">
        <v>8.02</v>
      </c>
      <c r="AN19">
        <v>3.2000000000000001E-2</v>
      </c>
      <c r="AO19" t="s">
        <v>1732</v>
      </c>
      <c r="AR19">
        <v>19.760000000000002</v>
      </c>
      <c r="AS19" t="s">
        <v>1733</v>
      </c>
      <c r="AV19">
        <v>246.4</v>
      </c>
      <c r="AW19" t="s">
        <v>1119</v>
      </c>
    </row>
    <row r="20" spans="1:61">
      <c r="B20" t="s">
        <v>1734</v>
      </c>
      <c r="C20" t="s">
        <v>1735</v>
      </c>
      <c r="D20" t="s">
        <v>1705</v>
      </c>
      <c r="E20" t="s">
        <v>1706</v>
      </c>
      <c r="F20" t="s">
        <v>11</v>
      </c>
      <c r="G20" t="s">
        <v>1730</v>
      </c>
      <c r="H20" t="s">
        <v>1731</v>
      </c>
      <c r="I20">
        <v>700</v>
      </c>
      <c r="J20">
        <v>2</v>
      </c>
      <c r="K20" t="s">
        <v>1691</v>
      </c>
      <c r="W20">
        <v>81.007000000000005</v>
      </c>
      <c r="X20" t="s">
        <v>1118</v>
      </c>
      <c r="Y20">
        <v>1.0669999999999999</v>
      </c>
      <c r="Z20" t="s">
        <v>1118</v>
      </c>
      <c r="AA20">
        <f t="shared" ref="AA20" si="0">W20/Y20</f>
        <v>75.9203373945642</v>
      </c>
      <c r="AB20">
        <v>1.1870000000000001</v>
      </c>
      <c r="AC20" t="s">
        <v>1118</v>
      </c>
      <c r="AD20">
        <v>0.18</v>
      </c>
      <c r="AE20">
        <v>3.036</v>
      </c>
      <c r="AF20" t="s">
        <v>1118</v>
      </c>
      <c r="AG20">
        <v>11.25</v>
      </c>
      <c r="AN20">
        <v>6.3E-2</v>
      </c>
      <c r="AO20" t="s">
        <v>1732</v>
      </c>
      <c r="AR20">
        <v>69.38</v>
      </c>
      <c r="AS20" t="s">
        <v>1733</v>
      </c>
      <c r="AV20">
        <v>17.77</v>
      </c>
      <c r="AW20" t="s">
        <v>1119</v>
      </c>
    </row>
    <row r="21" spans="1:61">
      <c r="A21" t="s">
        <v>992</v>
      </c>
      <c r="B21" t="s">
        <v>1736</v>
      </c>
      <c r="F21" t="s">
        <v>7</v>
      </c>
    </row>
    <row r="22" spans="1:61">
      <c r="A22" s="8"/>
      <c r="B22" t="s">
        <v>1737</v>
      </c>
      <c r="C22" t="s">
        <v>1738</v>
      </c>
      <c r="D22" t="s">
        <v>1705</v>
      </c>
      <c r="E22" t="s">
        <v>1706</v>
      </c>
      <c r="F22" t="s">
        <v>11</v>
      </c>
      <c r="G22" t="s">
        <v>1739</v>
      </c>
      <c r="H22" t="s">
        <v>1739</v>
      </c>
      <c r="J22">
        <v>53</v>
      </c>
      <c r="K22" t="s">
        <v>1723</v>
      </c>
      <c r="L22" t="s">
        <v>1692</v>
      </c>
      <c r="M22" t="s">
        <v>1693</v>
      </c>
      <c r="W22">
        <v>85.76</v>
      </c>
      <c r="X22" t="s">
        <v>1118</v>
      </c>
      <c r="Y22">
        <v>0.28000000000000003</v>
      </c>
      <c r="Z22" t="s">
        <v>1118</v>
      </c>
      <c r="AB22">
        <v>2.456</v>
      </c>
      <c r="AC22" t="s">
        <v>1118</v>
      </c>
      <c r="AE22">
        <v>2.4750000000000001</v>
      </c>
      <c r="AF22" t="s">
        <v>1118</v>
      </c>
      <c r="AJ22">
        <v>3.3</v>
      </c>
      <c r="AK22" t="s">
        <v>1118</v>
      </c>
      <c r="AN22">
        <v>2.83</v>
      </c>
      <c r="AO22" t="s">
        <v>1740</v>
      </c>
      <c r="AP22">
        <v>25.4</v>
      </c>
      <c r="AQ22" t="s">
        <v>1741</v>
      </c>
      <c r="AR22">
        <v>3.72</v>
      </c>
      <c r="AS22" t="s">
        <v>1733</v>
      </c>
    </row>
    <row r="23" spans="1:61">
      <c r="A23" s="8"/>
      <c r="B23" t="s">
        <v>1742</v>
      </c>
      <c r="C23" t="s">
        <v>1743</v>
      </c>
      <c r="D23" t="s">
        <v>1705</v>
      </c>
      <c r="E23" t="s">
        <v>1706</v>
      </c>
      <c r="F23" t="s">
        <v>11</v>
      </c>
      <c r="G23" t="s">
        <v>1744</v>
      </c>
      <c r="H23" t="s">
        <v>1745</v>
      </c>
      <c r="J23">
        <v>53</v>
      </c>
      <c r="K23" t="s">
        <v>1723</v>
      </c>
      <c r="L23" t="s">
        <v>1692</v>
      </c>
      <c r="M23" t="s">
        <v>1693</v>
      </c>
      <c r="W23">
        <v>84.47</v>
      </c>
      <c r="X23" t="s">
        <v>1118</v>
      </c>
      <c r="Y23">
        <v>0.5</v>
      </c>
      <c r="Z23" t="s">
        <v>1118</v>
      </c>
      <c r="AB23">
        <v>2.198</v>
      </c>
      <c r="AC23" t="s">
        <v>1118</v>
      </c>
      <c r="AE23">
        <v>2.8759999999999999</v>
      </c>
      <c r="AF23" t="s">
        <v>1118</v>
      </c>
      <c r="AJ23">
        <v>9.5</v>
      </c>
      <c r="AK23" t="s">
        <v>1118</v>
      </c>
      <c r="AN23">
        <v>0.95</v>
      </c>
      <c r="AO23" t="s">
        <v>1740</v>
      </c>
      <c r="AP23">
        <v>18.7</v>
      </c>
      <c r="AQ23" t="s">
        <v>1741</v>
      </c>
      <c r="AR23">
        <v>2.9</v>
      </c>
      <c r="AS23" t="s">
        <v>1733</v>
      </c>
    </row>
    <row r="24" spans="1:61">
      <c r="A24" t="s">
        <v>988</v>
      </c>
      <c r="B24" t="s">
        <v>1746</v>
      </c>
      <c r="F24" t="s">
        <v>7</v>
      </c>
    </row>
    <row r="25" spans="1:61">
      <c r="B25" t="s">
        <v>1747</v>
      </c>
      <c r="C25" t="s">
        <v>1731</v>
      </c>
      <c r="D25" t="s">
        <v>1748</v>
      </c>
      <c r="E25" t="s">
        <v>1748</v>
      </c>
      <c r="F25" t="s">
        <v>11</v>
      </c>
      <c r="G25" t="s">
        <v>1731</v>
      </c>
      <c r="M25" t="s">
        <v>1693</v>
      </c>
      <c r="Q25">
        <v>20.100000000000001</v>
      </c>
      <c r="R25" t="s">
        <v>1104</v>
      </c>
      <c r="W25">
        <v>460</v>
      </c>
      <c r="X25" t="s">
        <v>1104</v>
      </c>
      <c r="Y25">
        <v>6.2</v>
      </c>
      <c r="Z25" t="s">
        <v>1104</v>
      </c>
      <c r="AZ25">
        <v>149</v>
      </c>
      <c r="BA25" t="s">
        <v>1108</v>
      </c>
      <c r="BB25">
        <v>58</v>
      </c>
      <c r="BC25" t="s">
        <v>1108</v>
      </c>
      <c r="BH25">
        <v>0.5</v>
      </c>
      <c r="BI25" t="s">
        <v>1104</v>
      </c>
    </row>
    <row r="26" spans="1:61">
      <c r="B26" t="s">
        <v>1749</v>
      </c>
      <c r="C26" t="s">
        <v>1750</v>
      </c>
      <c r="D26" t="s">
        <v>1748</v>
      </c>
      <c r="E26" t="s">
        <v>1748</v>
      </c>
      <c r="F26" t="s">
        <v>11</v>
      </c>
      <c r="G26" t="s">
        <v>1750</v>
      </c>
      <c r="M26" t="s">
        <v>1693</v>
      </c>
      <c r="Q26">
        <v>24.6</v>
      </c>
      <c r="R26" t="s">
        <v>1104</v>
      </c>
      <c r="W26">
        <v>377</v>
      </c>
      <c r="X26" t="s">
        <v>1104</v>
      </c>
      <c r="Y26">
        <v>9</v>
      </c>
      <c r="Z26" t="s">
        <v>1104</v>
      </c>
      <c r="AZ26">
        <v>109</v>
      </c>
      <c r="BA26" t="s">
        <v>1108</v>
      </c>
      <c r="BB26">
        <v>80</v>
      </c>
      <c r="BC26" t="s">
        <v>1108</v>
      </c>
      <c r="BH26">
        <v>0.5</v>
      </c>
      <c r="BI26" t="s">
        <v>1104</v>
      </c>
    </row>
    <row r="27" spans="1:61">
      <c r="A27" s="8"/>
      <c r="B27" t="s">
        <v>1751</v>
      </c>
      <c r="C27" t="s">
        <v>1752</v>
      </c>
      <c r="D27" t="s">
        <v>1748</v>
      </c>
      <c r="E27" t="s">
        <v>1748</v>
      </c>
      <c r="F27" t="s">
        <v>11</v>
      </c>
      <c r="G27" t="s">
        <v>1752</v>
      </c>
      <c r="M27" t="s">
        <v>1693</v>
      </c>
      <c r="Q27">
        <v>28.4</v>
      </c>
      <c r="R27" t="s">
        <v>1104</v>
      </c>
      <c r="W27">
        <v>426</v>
      </c>
      <c r="X27" t="s">
        <v>1104</v>
      </c>
      <c r="Y27">
        <v>11.7</v>
      </c>
      <c r="Z27" t="s">
        <v>1104</v>
      </c>
      <c r="AZ27">
        <v>979</v>
      </c>
      <c r="BA27" t="s">
        <v>1108</v>
      </c>
      <c r="BB27">
        <v>126</v>
      </c>
      <c r="BC27" t="s">
        <v>1108</v>
      </c>
      <c r="BH27">
        <v>0.5</v>
      </c>
      <c r="BI27" t="s">
        <v>1104</v>
      </c>
    </row>
    <row r="28" spans="1:61">
      <c r="B28" t="s">
        <v>1753</v>
      </c>
      <c r="C28" t="s">
        <v>1754</v>
      </c>
      <c r="D28" t="s">
        <v>1748</v>
      </c>
      <c r="E28" t="s">
        <v>1748</v>
      </c>
      <c r="F28" t="s">
        <v>11</v>
      </c>
      <c r="G28" t="s">
        <v>1754</v>
      </c>
      <c r="M28" t="s">
        <v>1693</v>
      </c>
      <c r="Q28">
        <v>146</v>
      </c>
      <c r="R28" t="s">
        <v>1104</v>
      </c>
      <c r="W28">
        <v>453</v>
      </c>
      <c r="X28" t="s">
        <v>1104</v>
      </c>
      <c r="Y28">
        <v>31.4</v>
      </c>
      <c r="Z28" t="s">
        <v>1104</v>
      </c>
      <c r="AZ28">
        <v>40</v>
      </c>
      <c r="BA28" t="s">
        <v>1108</v>
      </c>
      <c r="BB28">
        <v>156</v>
      </c>
      <c r="BC28" t="s">
        <v>1108</v>
      </c>
      <c r="BH28">
        <v>1.2</v>
      </c>
      <c r="BI28" t="s">
        <v>1104</v>
      </c>
    </row>
    <row r="29" spans="1:61">
      <c r="A29" t="s">
        <v>983</v>
      </c>
      <c r="B29" t="s">
        <v>1755</v>
      </c>
      <c r="F29" t="s">
        <v>7</v>
      </c>
    </row>
    <row r="30" spans="1:61">
      <c r="B30" t="s">
        <v>1756</v>
      </c>
      <c r="C30" t="s">
        <v>1757</v>
      </c>
      <c r="D30" t="s">
        <v>1700</v>
      </c>
      <c r="E30" t="s">
        <v>1700</v>
      </c>
      <c r="F30" t="s">
        <v>11</v>
      </c>
      <c r="G30" t="s">
        <v>1757</v>
      </c>
      <c r="J30">
        <v>30</v>
      </c>
      <c r="K30" t="s">
        <v>1723</v>
      </c>
      <c r="L30" t="s">
        <v>1692</v>
      </c>
      <c r="M30" t="s">
        <v>1693</v>
      </c>
      <c r="O30">
        <v>22.33</v>
      </c>
      <c r="P30" t="s">
        <v>1118</v>
      </c>
      <c r="Y30">
        <v>1.73</v>
      </c>
      <c r="Z30" t="s">
        <v>1118</v>
      </c>
      <c r="AA30">
        <v>12.91</v>
      </c>
    </row>
    <row r="31" spans="1:61">
      <c r="B31" t="s">
        <v>1758</v>
      </c>
      <c r="C31" t="s">
        <v>1688</v>
      </c>
      <c r="D31" t="s">
        <v>1688</v>
      </c>
      <c r="E31" t="s">
        <v>1688</v>
      </c>
      <c r="F31" t="s">
        <v>11</v>
      </c>
      <c r="G31" t="s">
        <v>1759</v>
      </c>
      <c r="J31">
        <v>30</v>
      </c>
      <c r="K31" t="s">
        <v>1723</v>
      </c>
      <c r="L31" t="s">
        <v>1692</v>
      </c>
      <c r="M31" t="s">
        <v>1693</v>
      </c>
      <c r="O31">
        <v>26.43</v>
      </c>
      <c r="P31" t="s">
        <v>1118</v>
      </c>
      <c r="Y31">
        <v>1.24</v>
      </c>
      <c r="Z31" t="s">
        <v>1118</v>
      </c>
      <c r="AA31">
        <v>21.31</v>
      </c>
    </row>
    <row r="32" spans="1:61">
      <c r="B32" t="s">
        <v>1760</v>
      </c>
      <c r="C32" t="s">
        <v>1715</v>
      </c>
      <c r="D32" t="s">
        <v>1688</v>
      </c>
      <c r="E32" t="s">
        <v>1715</v>
      </c>
      <c r="F32" t="s">
        <v>11</v>
      </c>
      <c r="G32" t="s">
        <v>1715</v>
      </c>
      <c r="J32">
        <v>30</v>
      </c>
      <c r="K32" t="s">
        <v>1723</v>
      </c>
      <c r="L32" t="s">
        <v>1692</v>
      </c>
      <c r="M32" t="s">
        <v>1693</v>
      </c>
      <c r="O32">
        <v>27.17</v>
      </c>
      <c r="P32" t="s">
        <v>1118</v>
      </c>
      <c r="Y32">
        <v>1.35</v>
      </c>
      <c r="Z32" t="s">
        <v>1118</v>
      </c>
      <c r="AA32">
        <v>20.12</v>
      </c>
    </row>
    <row r="33" spans="1:80">
      <c r="B33" t="s">
        <v>1761</v>
      </c>
      <c r="C33" t="s">
        <v>1762</v>
      </c>
      <c r="D33" t="s">
        <v>1763</v>
      </c>
      <c r="E33" t="s">
        <v>1721</v>
      </c>
      <c r="F33" t="s">
        <v>11</v>
      </c>
      <c r="G33" t="s">
        <v>1762</v>
      </c>
      <c r="J33">
        <v>30</v>
      </c>
      <c r="K33" t="s">
        <v>1723</v>
      </c>
      <c r="L33" t="s">
        <v>1692</v>
      </c>
      <c r="M33" t="s">
        <v>1693</v>
      </c>
      <c r="O33">
        <v>17.55</v>
      </c>
      <c r="P33" t="s">
        <v>1118</v>
      </c>
      <c r="Y33">
        <v>1.56</v>
      </c>
      <c r="Z33" t="s">
        <v>1118</v>
      </c>
      <c r="AA33">
        <v>11.25</v>
      </c>
    </row>
    <row r="34" spans="1:80">
      <c r="A34" t="s">
        <v>962</v>
      </c>
      <c r="B34" t="s">
        <v>1764</v>
      </c>
      <c r="F34" t="s">
        <v>7</v>
      </c>
    </row>
    <row r="35" spans="1:80">
      <c r="B35" t="s">
        <v>1765</v>
      </c>
      <c r="C35" t="s">
        <v>1748</v>
      </c>
      <c r="D35" t="s">
        <v>1748</v>
      </c>
      <c r="E35" t="s">
        <v>1748</v>
      </c>
      <c r="F35" t="s">
        <v>11</v>
      </c>
      <c r="G35" t="s">
        <v>1766</v>
      </c>
      <c r="J35">
        <v>10</v>
      </c>
      <c r="K35" t="s">
        <v>1108</v>
      </c>
      <c r="L35" t="s">
        <v>1692</v>
      </c>
      <c r="M35" t="s">
        <v>1693</v>
      </c>
      <c r="W35">
        <v>56.19</v>
      </c>
      <c r="X35" t="s">
        <v>1118</v>
      </c>
      <c r="Y35" t="s">
        <v>1323</v>
      </c>
      <c r="AE35">
        <v>43.81</v>
      </c>
      <c r="AF35" t="s">
        <v>1118</v>
      </c>
    </row>
    <row r="36" spans="1:80">
      <c r="A36" t="s">
        <v>958</v>
      </c>
      <c r="B36" t="s">
        <v>1767</v>
      </c>
      <c r="F36" t="s">
        <v>7</v>
      </c>
    </row>
    <row r="37" spans="1:80">
      <c r="B37" t="s">
        <v>1768</v>
      </c>
      <c r="C37" t="s">
        <v>1706</v>
      </c>
      <c r="D37" t="s">
        <v>1705</v>
      </c>
      <c r="E37" t="s">
        <v>1706</v>
      </c>
      <c r="F37" t="s">
        <v>11</v>
      </c>
      <c r="G37" t="s">
        <v>1766</v>
      </c>
      <c r="H37" t="s">
        <v>1766</v>
      </c>
      <c r="J37">
        <v>2</v>
      </c>
      <c r="K37" t="s">
        <v>1691</v>
      </c>
      <c r="L37" t="s">
        <v>1692</v>
      </c>
      <c r="M37" t="s">
        <v>1693</v>
      </c>
      <c r="O37">
        <v>558.70000000000005</v>
      </c>
      <c r="P37" t="s">
        <v>1104</v>
      </c>
      <c r="S37">
        <v>94.4</v>
      </c>
      <c r="T37" t="s">
        <v>1118</v>
      </c>
      <c r="W37">
        <v>62.2</v>
      </c>
      <c r="X37" t="s">
        <v>1118</v>
      </c>
      <c r="Y37">
        <v>0.8</v>
      </c>
      <c r="Z37" t="s">
        <v>1118</v>
      </c>
      <c r="AB37">
        <v>2.1</v>
      </c>
      <c r="AC37" t="s">
        <v>1118</v>
      </c>
      <c r="AE37">
        <v>29.3</v>
      </c>
      <c r="AF37" t="s">
        <v>1118</v>
      </c>
      <c r="AN37">
        <v>3.3</v>
      </c>
      <c r="AO37" t="s">
        <v>1769</v>
      </c>
      <c r="AP37">
        <v>8.32</v>
      </c>
      <c r="AQ37" t="s">
        <v>1770</v>
      </c>
      <c r="AR37">
        <v>0.8</v>
      </c>
      <c r="AS37" t="s">
        <v>1733</v>
      </c>
      <c r="CB37" t="s">
        <v>1771</v>
      </c>
    </row>
    <row r="38" spans="1:80">
      <c r="A38" t="s">
        <v>949</v>
      </c>
      <c r="B38" t="s">
        <v>1772</v>
      </c>
      <c r="F38" t="s">
        <v>7</v>
      </c>
    </row>
    <row r="39" spans="1:80">
      <c r="B39" t="s">
        <v>1773</v>
      </c>
      <c r="C39" t="s">
        <v>1748</v>
      </c>
      <c r="D39" t="s">
        <v>1748</v>
      </c>
      <c r="E39" t="s">
        <v>1748</v>
      </c>
      <c r="F39" t="s">
        <v>11</v>
      </c>
      <c r="G39" t="s">
        <v>1731</v>
      </c>
      <c r="J39">
        <v>10</v>
      </c>
      <c r="K39" t="s">
        <v>1691</v>
      </c>
      <c r="L39" t="s">
        <v>1692</v>
      </c>
      <c r="M39" t="s">
        <v>1693</v>
      </c>
      <c r="O39">
        <v>44.6</v>
      </c>
      <c r="P39" t="s">
        <v>1118</v>
      </c>
      <c r="Q39">
        <v>125</v>
      </c>
      <c r="R39" t="s">
        <v>1177</v>
      </c>
      <c r="Y39">
        <v>1.21</v>
      </c>
      <c r="Z39" t="s">
        <v>1118</v>
      </c>
      <c r="AA39">
        <v>36.799999999999997</v>
      </c>
      <c r="AG39">
        <v>5.38</v>
      </c>
    </row>
    <row r="40" spans="1:80">
      <c r="A40" t="s">
        <v>935</v>
      </c>
      <c r="B40" t="s">
        <v>1774</v>
      </c>
      <c r="F40" t="s">
        <v>7</v>
      </c>
    </row>
    <row r="41" spans="1:80">
      <c r="B41" t="s">
        <v>1775</v>
      </c>
      <c r="C41" t="s">
        <v>1706</v>
      </c>
      <c r="D41" t="s">
        <v>1705</v>
      </c>
      <c r="E41" t="s">
        <v>1706</v>
      </c>
      <c r="F41" t="s">
        <v>11</v>
      </c>
      <c r="G41" t="s">
        <v>1776</v>
      </c>
      <c r="H41" t="s">
        <v>1777</v>
      </c>
      <c r="I41" t="s">
        <v>1778</v>
      </c>
      <c r="J41">
        <v>40</v>
      </c>
      <c r="K41" t="s">
        <v>1723</v>
      </c>
      <c r="L41" t="s">
        <v>1692</v>
      </c>
    </row>
    <row r="42" spans="1:80">
      <c r="B42" t="s">
        <v>1779</v>
      </c>
      <c r="C42" t="s">
        <v>1706</v>
      </c>
      <c r="D42" t="s">
        <v>1705</v>
      </c>
      <c r="E42" t="s">
        <v>1706</v>
      </c>
      <c r="F42" t="s">
        <v>11</v>
      </c>
      <c r="G42" t="s">
        <v>1776</v>
      </c>
      <c r="H42" t="s">
        <v>1777</v>
      </c>
      <c r="I42" t="s">
        <v>1778</v>
      </c>
      <c r="J42">
        <v>80</v>
      </c>
      <c r="K42" t="s">
        <v>1723</v>
      </c>
      <c r="L42" t="s">
        <v>1692</v>
      </c>
    </row>
    <row r="43" spans="1:80">
      <c r="A43" t="s">
        <v>931</v>
      </c>
      <c r="B43" t="s">
        <v>1780</v>
      </c>
      <c r="F43" t="s">
        <v>7</v>
      </c>
    </row>
    <row r="44" spans="1:80">
      <c r="B44" t="s">
        <v>1781</v>
      </c>
      <c r="C44" t="s">
        <v>1782</v>
      </c>
      <c r="D44" t="s">
        <v>1763</v>
      </c>
      <c r="E44" t="s">
        <v>1721</v>
      </c>
      <c r="F44" t="s">
        <v>11</v>
      </c>
      <c r="G44" t="s">
        <v>1783</v>
      </c>
      <c r="J44">
        <v>2.5</v>
      </c>
      <c r="K44" t="s">
        <v>1691</v>
      </c>
      <c r="L44" t="s">
        <v>1692</v>
      </c>
      <c r="M44" t="s">
        <v>1693</v>
      </c>
      <c r="O44">
        <v>535</v>
      </c>
      <c r="P44" t="s">
        <v>1104</v>
      </c>
      <c r="Q44">
        <v>42.6</v>
      </c>
      <c r="R44" t="s">
        <v>1104</v>
      </c>
      <c r="U44">
        <v>48.2</v>
      </c>
      <c r="V44" t="s">
        <v>1118</v>
      </c>
      <c r="AG44">
        <v>5.7</v>
      </c>
      <c r="AH44" t="s">
        <v>1277</v>
      </c>
      <c r="AI44" t="s">
        <v>1784</v>
      </c>
      <c r="AX44">
        <v>5.0199999999999996</v>
      </c>
      <c r="AY44" t="s">
        <v>1164</v>
      </c>
    </row>
    <row r="45" spans="1:80">
      <c r="B45" t="s">
        <v>1785</v>
      </c>
      <c r="C45" t="s">
        <v>1786</v>
      </c>
      <c r="D45" t="s">
        <v>1688</v>
      </c>
      <c r="E45" t="s">
        <v>1688</v>
      </c>
      <c r="F45" t="s">
        <v>11</v>
      </c>
      <c r="G45" t="s">
        <v>1787</v>
      </c>
      <c r="J45">
        <v>2.5</v>
      </c>
      <c r="K45" t="s">
        <v>1691</v>
      </c>
      <c r="L45" t="s">
        <v>1692</v>
      </c>
      <c r="M45" t="s">
        <v>1693</v>
      </c>
      <c r="O45">
        <v>383</v>
      </c>
      <c r="P45" t="s">
        <v>1104</v>
      </c>
      <c r="Q45">
        <v>16.5</v>
      </c>
      <c r="R45" t="s">
        <v>1104</v>
      </c>
      <c r="U45">
        <v>35</v>
      </c>
      <c r="V45" t="s">
        <v>1118</v>
      </c>
      <c r="AG45">
        <v>8.7200000000000006</v>
      </c>
      <c r="AH45" t="s">
        <v>1277</v>
      </c>
      <c r="AI45" t="s">
        <v>1784</v>
      </c>
      <c r="AX45">
        <v>3.1</v>
      </c>
      <c r="AY45" t="s">
        <v>1164</v>
      </c>
    </row>
    <row r="46" spans="1:80">
      <c r="B46" t="s">
        <v>1788</v>
      </c>
      <c r="C46" t="s">
        <v>1782</v>
      </c>
      <c r="D46" t="s">
        <v>1763</v>
      </c>
      <c r="E46" t="s">
        <v>1721</v>
      </c>
      <c r="F46" t="s">
        <v>11</v>
      </c>
      <c r="G46" t="s">
        <v>1783</v>
      </c>
      <c r="J46">
        <v>5</v>
      </c>
      <c r="K46" t="s">
        <v>1691</v>
      </c>
      <c r="L46" t="s">
        <v>1692</v>
      </c>
      <c r="M46" t="s">
        <v>1693</v>
      </c>
      <c r="O46">
        <v>535</v>
      </c>
      <c r="P46" t="s">
        <v>1104</v>
      </c>
      <c r="Q46">
        <v>42.6</v>
      </c>
      <c r="R46" t="s">
        <v>1104</v>
      </c>
      <c r="U46">
        <v>48.2</v>
      </c>
      <c r="V46" t="s">
        <v>1118</v>
      </c>
      <c r="AG46">
        <v>5.7</v>
      </c>
      <c r="AH46" t="s">
        <v>1277</v>
      </c>
      <c r="AI46" t="s">
        <v>1784</v>
      </c>
      <c r="AX46">
        <v>5.0199999999999996</v>
      </c>
      <c r="AY46" t="s">
        <v>1164</v>
      </c>
    </row>
    <row r="47" spans="1:80">
      <c r="B47" t="s">
        <v>1789</v>
      </c>
      <c r="C47" t="s">
        <v>1786</v>
      </c>
      <c r="D47" t="s">
        <v>1688</v>
      </c>
      <c r="E47" t="s">
        <v>1688</v>
      </c>
      <c r="F47" t="s">
        <v>11</v>
      </c>
      <c r="G47" t="s">
        <v>1787</v>
      </c>
      <c r="J47">
        <v>5</v>
      </c>
      <c r="K47" t="s">
        <v>1691</v>
      </c>
      <c r="L47" t="s">
        <v>1692</v>
      </c>
      <c r="M47" t="s">
        <v>1693</v>
      </c>
      <c r="O47">
        <v>383</v>
      </c>
      <c r="P47" t="s">
        <v>1104</v>
      </c>
      <c r="Q47">
        <v>16.5</v>
      </c>
      <c r="R47" t="s">
        <v>1104</v>
      </c>
      <c r="U47">
        <v>35</v>
      </c>
      <c r="V47" t="s">
        <v>1118</v>
      </c>
      <c r="AG47">
        <v>8.7200000000000006</v>
      </c>
      <c r="AH47" t="s">
        <v>1277</v>
      </c>
      <c r="AI47" t="s">
        <v>1784</v>
      </c>
      <c r="AX47">
        <v>3.1</v>
      </c>
      <c r="AY47" t="s">
        <v>1164</v>
      </c>
    </row>
    <row r="48" spans="1:80">
      <c r="A48" t="s">
        <v>927</v>
      </c>
      <c r="B48" t="s">
        <v>1790</v>
      </c>
      <c r="F48" t="s">
        <v>7</v>
      </c>
    </row>
    <row r="49" spans="1:63">
      <c r="B49" t="s">
        <v>1791</v>
      </c>
      <c r="C49" t="s">
        <v>1792</v>
      </c>
      <c r="D49" t="s">
        <v>1705</v>
      </c>
      <c r="E49" t="s">
        <v>1706</v>
      </c>
      <c r="F49" t="s">
        <v>11</v>
      </c>
      <c r="G49" t="s">
        <v>1793</v>
      </c>
      <c r="H49" t="s">
        <v>1793</v>
      </c>
      <c r="J49">
        <v>0.5</v>
      </c>
      <c r="K49" t="s">
        <v>1691</v>
      </c>
      <c r="L49" t="s">
        <v>1692</v>
      </c>
      <c r="M49" t="s">
        <v>1693</v>
      </c>
      <c r="W49">
        <v>33.6</v>
      </c>
      <c r="X49" t="s">
        <v>1118</v>
      </c>
      <c r="Y49">
        <v>0.31</v>
      </c>
      <c r="Z49" t="s">
        <v>1118</v>
      </c>
      <c r="AB49">
        <v>2.2200000000000002</v>
      </c>
      <c r="AC49" t="s">
        <v>1118</v>
      </c>
      <c r="AD49">
        <v>0.79</v>
      </c>
      <c r="AE49">
        <v>13.53</v>
      </c>
      <c r="AF49" t="s">
        <v>1118</v>
      </c>
      <c r="AG49">
        <v>6.96</v>
      </c>
      <c r="AJ49">
        <v>50.34</v>
      </c>
      <c r="AK49" t="s">
        <v>1118</v>
      </c>
      <c r="AN49">
        <v>0.04</v>
      </c>
      <c r="AO49" t="s">
        <v>1732</v>
      </c>
      <c r="AP49">
        <v>5.88</v>
      </c>
      <c r="AQ49" t="s">
        <v>1741</v>
      </c>
      <c r="AR49">
        <v>95.67</v>
      </c>
      <c r="AS49" t="s">
        <v>1733</v>
      </c>
    </row>
    <row r="50" spans="1:63">
      <c r="B50" t="s">
        <v>1794</v>
      </c>
      <c r="C50" t="s">
        <v>1795</v>
      </c>
      <c r="D50" t="s">
        <v>1705</v>
      </c>
      <c r="E50" t="s">
        <v>1706</v>
      </c>
      <c r="F50" t="s">
        <v>11</v>
      </c>
      <c r="G50" t="s">
        <v>1793</v>
      </c>
      <c r="H50" t="s">
        <v>1793</v>
      </c>
      <c r="J50">
        <v>1</v>
      </c>
      <c r="K50" t="s">
        <v>1691</v>
      </c>
      <c r="L50" t="s">
        <v>1692</v>
      </c>
      <c r="M50" t="s">
        <v>1693</v>
      </c>
      <c r="W50">
        <v>33.6</v>
      </c>
      <c r="X50" t="s">
        <v>1118</v>
      </c>
      <c r="Y50">
        <v>0.31</v>
      </c>
      <c r="Z50" t="s">
        <v>1118</v>
      </c>
      <c r="AB50">
        <v>2.2200000000000002</v>
      </c>
      <c r="AC50" t="s">
        <v>1118</v>
      </c>
      <c r="AD50">
        <v>0.79</v>
      </c>
      <c r="AE50">
        <v>13.53</v>
      </c>
      <c r="AF50" t="s">
        <v>1118</v>
      </c>
      <c r="AG50">
        <v>6.96</v>
      </c>
      <c r="AJ50">
        <v>50.34</v>
      </c>
      <c r="AK50" t="s">
        <v>1118</v>
      </c>
      <c r="AN50">
        <v>0.04</v>
      </c>
      <c r="AO50" t="s">
        <v>1732</v>
      </c>
      <c r="AP50">
        <v>5.88</v>
      </c>
      <c r="AQ50" t="s">
        <v>1741</v>
      </c>
      <c r="AR50">
        <v>95.67</v>
      </c>
      <c r="AS50" t="s">
        <v>1733</v>
      </c>
    </row>
    <row r="51" spans="1:63">
      <c r="B51" t="s">
        <v>1796</v>
      </c>
      <c r="C51" t="s">
        <v>1797</v>
      </c>
      <c r="D51" t="s">
        <v>1705</v>
      </c>
      <c r="E51" t="s">
        <v>1706</v>
      </c>
      <c r="F51" t="s">
        <v>11</v>
      </c>
      <c r="G51" t="s">
        <v>1793</v>
      </c>
      <c r="H51" t="s">
        <v>1793</v>
      </c>
      <c r="J51">
        <v>2</v>
      </c>
      <c r="K51" t="s">
        <v>1691</v>
      </c>
      <c r="L51" t="s">
        <v>1692</v>
      </c>
      <c r="M51" t="s">
        <v>1693</v>
      </c>
      <c r="W51">
        <v>33.6</v>
      </c>
      <c r="X51" t="s">
        <v>1118</v>
      </c>
      <c r="Y51">
        <v>0.31</v>
      </c>
      <c r="Z51" t="s">
        <v>1118</v>
      </c>
      <c r="AB51">
        <v>2.2200000000000002</v>
      </c>
      <c r="AC51" t="s">
        <v>1118</v>
      </c>
      <c r="AD51">
        <v>0.79</v>
      </c>
      <c r="AE51">
        <v>13.53</v>
      </c>
      <c r="AF51" t="s">
        <v>1118</v>
      </c>
      <c r="AG51">
        <v>6.96</v>
      </c>
      <c r="AJ51">
        <v>50.34</v>
      </c>
      <c r="AK51" t="s">
        <v>1118</v>
      </c>
      <c r="AN51">
        <v>0.04</v>
      </c>
      <c r="AO51" t="s">
        <v>1732</v>
      </c>
      <c r="AP51">
        <v>5.88</v>
      </c>
      <c r="AQ51" t="s">
        <v>1741</v>
      </c>
      <c r="AR51">
        <v>95.67</v>
      </c>
      <c r="AS51" t="s">
        <v>1733</v>
      </c>
    </row>
    <row r="52" spans="1:63">
      <c r="A52" t="s">
        <v>918</v>
      </c>
      <c r="B52" t="s">
        <v>1798</v>
      </c>
      <c r="F52" t="s">
        <v>7</v>
      </c>
    </row>
    <row r="53" spans="1:63">
      <c r="B53" t="s">
        <v>1799</v>
      </c>
      <c r="C53" t="s">
        <v>1800</v>
      </c>
      <c r="D53" t="s">
        <v>1763</v>
      </c>
      <c r="E53" t="s">
        <v>1721</v>
      </c>
      <c r="F53" t="s">
        <v>11</v>
      </c>
      <c r="G53" t="s">
        <v>1783</v>
      </c>
      <c r="J53">
        <v>40</v>
      </c>
      <c r="K53" t="s">
        <v>1104</v>
      </c>
      <c r="L53" t="s">
        <v>1692</v>
      </c>
      <c r="M53" t="s">
        <v>1693</v>
      </c>
      <c r="W53">
        <v>48.9</v>
      </c>
      <c r="X53" t="s">
        <v>1118</v>
      </c>
      <c r="Y53">
        <v>1.6</v>
      </c>
      <c r="Z53" t="s">
        <v>1118</v>
      </c>
      <c r="AG53">
        <v>5</v>
      </c>
      <c r="AH53" t="s">
        <v>1277</v>
      </c>
      <c r="AI53" t="s">
        <v>1694</v>
      </c>
      <c r="AJ53">
        <v>8.5</v>
      </c>
      <c r="AK53" t="s">
        <v>1118</v>
      </c>
    </row>
    <row r="54" spans="1:63">
      <c r="B54" t="s">
        <v>1801</v>
      </c>
      <c r="C54" t="s">
        <v>1800</v>
      </c>
      <c r="D54" t="s">
        <v>1763</v>
      </c>
      <c r="E54" t="s">
        <v>1721</v>
      </c>
      <c r="F54" t="s">
        <v>11</v>
      </c>
      <c r="G54" t="s">
        <v>1783</v>
      </c>
      <c r="J54">
        <v>80</v>
      </c>
      <c r="K54" t="s">
        <v>1104</v>
      </c>
      <c r="L54" t="s">
        <v>1692</v>
      </c>
      <c r="M54" t="s">
        <v>1693</v>
      </c>
    </row>
    <row r="55" spans="1:63">
      <c r="A55" t="s">
        <v>914</v>
      </c>
      <c r="B55" t="s">
        <v>1802</v>
      </c>
      <c r="F55" t="s">
        <v>7</v>
      </c>
    </row>
    <row r="56" spans="1:63">
      <c r="B56" t="s">
        <v>1803</v>
      </c>
      <c r="C56" t="s">
        <v>1804</v>
      </c>
      <c r="D56" t="s">
        <v>1688</v>
      </c>
      <c r="E56" t="s">
        <v>1688</v>
      </c>
      <c r="F56" t="s">
        <v>11</v>
      </c>
      <c r="G56" t="s">
        <v>1805</v>
      </c>
      <c r="J56">
        <v>20</v>
      </c>
      <c r="K56" t="s">
        <v>1177</v>
      </c>
      <c r="L56" t="s">
        <v>1692</v>
      </c>
      <c r="M56" t="s">
        <v>1693</v>
      </c>
      <c r="S56">
        <v>373.2</v>
      </c>
      <c r="T56" t="s">
        <v>1104</v>
      </c>
      <c r="Y56">
        <v>9.3000000000000007</v>
      </c>
      <c r="Z56" t="s">
        <v>1104</v>
      </c>
      <c r="AG56">
        <v>7.76</v>
      </c>
      <c r="AH56" t="s">
        <v>1277</v>
      </c>
      <c r="AI56" t="s">
        <v>1806</v>
      </c>
      <c r="AX56">
        <v>13.24</v>
      </c>
      <c r="AY56" t="s">
        <v>1164</v>
      </c>
      <c r="BD56">
        <v>10.8</v>
      </c>
      <c r="BE56" t="s">
        <v>1104</v>
      </c>
      <c r="BJ56">
        <v>29.7</v>
      </c>
      <c r="BK56" t="s">
        <v>1104</v>
      </c>
    </row>
    <row r="57" spans="1:63">
      <c r="B57" t="s">
        <v>1807</v>
      </c>
      <c r="C57" t="s">
        <v>1808</v>
      </c>
      <c r="D57" t="s">
        <v>1763</v>
      </c>
      <c r="E57" t="s">
        <v>1809</v>
      </c>
      <c r="F57" t="s">
        <v>11</v>
      </c>
      <c r="G57" t="s">
        <v>1810</v>
      </c>
      <c r="J57">
        <v>0.4</v>
      </c>
      <c r="K57" t="s">
        <v>1811</v>
      </c>
      <c r="L57" t="s">
        <v>1812</v>
      </c>
      <c r="M57" t="s">
        <v>1693</v>
      </c>
      <c r="S57">
        <v>592.29999999999995</v>
      </c>
      <c r="T57" t="s">
        <v>1104</v>
      </c>
      <c r="Y57">
        <v>33.299999999999997</v>
      </c>
      <c r="Z57" t="s">
        <v>1104</v>
      </c>
      <c r="AG57">
        <v>5.82</v>
      </c>
      <c r="AH57" t="s">
        <v>1277</v>
      </c>
      <c r="AI57" t="s">
        <v>1806</v>
      </c>
      <c r="AX57">
        <v>3.53</v>
      </c>
      <c r="AY57" t="s">
        <v>1164</v>
      </c>
      <c r="BD57">
        <v>0.42</v>
      </c>
      <c r="BE57" t="s">
        <v>1104</v>
      </c>
      <c r="BJ57">
        <v>35.1</v>
      </c>
      <c r="BK57" t="s">
        <v>1104</v>
      </c>
    </row>
    <row r="58" spans="1:63">
      <c r="A58" t="s">
        <v>29</v>
      </c>
      <c r="B58" t="s">
        <v>1813</v>
      </c>
      <c r="F58" t="s">
        <v>7</v>
      </c>
    </row>
    <row r="59" spans="1:63">
      <c r="B59" t="s">
        <v>1814</v>
      </c>
      <c r="C59" t="s">
        <v>1815</v>
      </c>
      <c r="D59" t="s">
        <v>1700</v>
      </c>
      <c r="E59" t="s">
        <v>1700</v>
      </c>
      <c r="F59" t="s">
        <v>11</v>
      </c>
      <c r="G59" t="s">
        <v>1816</v>
      </c>
      <c r="J59">
        <v>60</v>
      </c>
      <c r="K59" t="s">
        <v>1817</v>
      </c>
      <c r="M59" t="s">
        <v>1693</v>
      </c>
      <c r="O59">
        <v>0.27</v>
      </c>
      <c r="P59" t="s">
        <v>1177</v>
      </c>
      <c r="Y59">
        <v>3</v>
      </c>
      <c r="Z59" t="s">
        <v>1818</v>
      </c>
      <c r="AG59">
        <v>7.4</v>
      </c>
      <c r="AX59">
        <v>19.100000000000001</v>
      </c>
      <c r="AY59" t="s">
        <v>1164</v>
      </c>
      <c r="AZ59" t="s">
        <v>1819</v>
      </c>
      <c r="BA59" t="s">
        <v>1818</v>
      </c>
      <c r="BB59">
        <v>2.4</v>
      </c>
      <c r="BC59" t="s">
        <v>1818</v>
      </c>
      <c r="BD59">
        <v>0.15</v>
      </c>
      <c r="BE59" t="s">
        <v>1818</v>
      </c>
    </row>
    <row r="60" spans="1:63">
      <c r="B60" t="s">
        <v>1820</v>
      </c>
      <c r="C60" t="s">
        <v>1815</v>
      </c>
      <c r="D60" t="s">
        <v>1700</v>
      </c>
      <c r="E60" t="s">
        <v>1700</v>
      </c>
      <c r="F60" t="s">
        <v>11</v>
      </c>
      <c r="G60" t="s">
        <v>1816</v>
      </c>
      <c r="J60">
        <v>30</v>
      </c>
      <c r="K60" t="s">
        <v>1817</v>
      </c>
      <c r="M60" t="s">
        <v>1693</v>
      </c>
      <c r="O60">
        <v>0.27</v>
      </c>
      <c r="P60" t="s">
        <v>1177</v>
      </c>
      <c r="Y60">
        <v>3</v>
      </c>
      <c r="Z60" t="s">
        <v>1818</v>
      </c>
      <c r="AG60">
        <v>7.4</v>
      </c>
      <c r="AX60">
        <v>19.100000000000001</v>
      </c>
      <c r="AY60" t="s">
        <v>1164</v>
      </c>
      <c r="AZ60" t="s">
        <v>1819</v>
      </c>
      <c r="BA60" t="s">
        <v>1818</v>
      </c>
      <c r="BB60">
        <v>2.4</v>
      </c>
      <c r="BC60" t="s">
        <v>1818</v>
      </c>
      <c r="BD60">
        <v>0.15</v>
      </c>
      <c r="BE60" t="s">
        <v>1818</v>
      </c>
    </row>
    <row r="61" spans="1:63">
      <c r="B61" t="s">
        <v>1821</v>
      </c>
      <c r="C61" t="s">
        <v>1815</v>
      </c>
      <c r="D61" t="s">
        <v>1700</v>
      </c>
      <c r="E61" t="s">
        <v>1700</v>
      </c>
      <c r="F61" t="s">
        <v>11</v>
      </c>
      <c r="G61" t="s">
        <v>1816</v>
      </c>
      <c r="J61">
        <v>120.5</v>
      </c>
      <c r="K61" t="s">
        <v>1817</v>
      </c>
      <c r="M61" t="s">
        <v>1693</v>
      </c>
      <c r="O61">
        <v>0.27</v>
      </c>
      <c r="P61" t="s">
        <v>1177</v>
      </c>
      <c r="Y61">
        <v>3</v>
      </c>
      <c r="Z61" t="s">
        <v>1818</v>
      </c>
      <c r="AG61">
        <v>7.4</v>
      </c>
      <c r="AX61">
        <v>19.100000000000001</v>
      </c>
      <c r="AY61" t="s">
        <v>1164</v>
      </c>
      <c r="AZ61" t="s">
        <v>1819</v>
      </c>
      <c r="BA61" t="s">
        <v>1818</v>
      </c>
      <c r="BB61">
        <v>2.4</v>
      </c>
      <c r="BC61" t="s">
        <v>1818</v>
      </c>
      <c r="BD61">
        <v>0.15</v>
      </c>
      <c r="BE61" t="s">
        <v>1818</v>
      </c>
    </row>
    <row r="62" spans="1:63">
      <c r="B62" t="s">
        <v>1822</v>
      </c>
      <c r="C62" t="s">
        <v>1823</v>
      </c>
      <c r="D62" t="s">
        <v>1824</v>
      </c>
      <c r="E62" t="s">
        <v>1825</v>
      </c>
      <c r="F62" t="s">
        <v>11</v>
      </c>
      <c r="G62" t="s">
        <v>1826</v>
      </c>
      <c r="J62">
        <v>57</v>
      </c>
      <c r="K62" t="s">
        <v>1104</v>
      </c>
      <c r="L62" t="s">
        <v>1692</v>
      </c>
      <c r="M62" t="s">
        <v>1693</v>
      </c>
      <c r="O62">
        <v>5.1100000000000003</v>
      </c>
      <c r="P62" t="s">
        <v>1177</v>
      </c>
      <c r="Y62">
        <v>8.6</v>
      </c>
      <c r="Z62" t="s">
        <v>1818</v>
      </c>
      <c r="AG62">
        <v>7.8</v>
      </c>
      <c r="AX62">
        <v>1.03</v>
      </c>
      <c r="AY62" t="s">
        <v>1164</v>
      </c>
      <c r="AZ62" t="s">
        <v>1819</v>
      </c>
      <c r="BA62" t="s">
        <v>1818</v>
      </c>
      <c r="BB62">
        <v>2.5</v>
      </c>
      <c r="BC62" t="s">
        <v>1818</v>
      </c>
      <c r="BD62">
        <v>3.6</v>
      </c>
      <c r="BE62" t="s">
        <v>1818</v>
      </c>
    </row>
    <row r="63" spans="1:63">
      <c r="B63" t="s">
        <v>1827</v>
      </c>
      <c r="C63" t="s">
        <v>1823</v>
      </c>
      <c r="D63" t="s">
        <v>1824</v>
      </c>
      <c r="E63" t="s">
        <v>1825</v>
      </c>
      <c r="F63" t="s">
        <v>11</v>
      </c>
      <c r="G63" t="s">
        <v>1826</v>
      </c>
      <c r="J63">
        <v>28.5</v>
      </c>
      <c r="K63" t="s">
        <v>1104</v>
      </c>
      <c r="L63" t="s">
        <v>1692</v>
      </c>
      <c r="M63" t="s">
        <v>1693</v>
      </c>
      <c r="O63">
        <v>5.1100000000000003</v>
      </c>
      <c r="P63" t="s">
        <v>1177</v>
      </c>
      <c r="Y63">
        <v>8.6</v>
      </c>
      <c r="Z63" t="s">
        <v>1818</v>
      </c>
      <c r="AG63">
        <v>7.8</v>
      </c>
      <c r="AX63">
        <v>1.03</v>
      </c>
      <c r="AY63" t="s">
        <v>1164</v>
      </c>
      <c r="AZ63" t="s">
        <v>1819</v>
      </c>
      <c r="BA63" t="s">
        <v>1818</v>
      </c>
      <c r="BB63">
        <v>2.5</v>
      </c>
      <c r="BC63" t="s">
        <v>1818</v>
      </c>
      <c r="BD63">
        <v>3.6</v>
      </c>
      <c r="BE63" t="s">
        <v>1818</v>
      </c>
    </row>
    <row r="64" spans="1:63">
      <c r="B64" t="s">
        <v>1828</v>
      </c>
      <c r="C64" t="s">
        <v>1823</v>
      </c>
      <c r="D64" t="s">
        <v>1824</v>
      </c>
      <c r="E64" t="s">
        <v>1825</v>
      </c>
      <c r="F64" t="s">
        <v>11</v>
      </c>
      <c r="G64" t="s">
        <v>1826</v>
      </c>
      <c r="J64">
        <v>114.5</v>
      </c>
      <c r="K64" t="s">
        <v>1104</v>
      </c>
      <c r="L64" t="s">
        <v>1692</v>
      </c>
      <c r="M64" t="s">
        <v>1693</v>
      </c>
      <c r="O64">
        <v>5.1100000000000003</v>
      </c>
      <c r="P64" t="s">
        <v>1177</v>
      </c>
      <c r="Y64">
        <v>8.6</v>
      </c>
      <c r="Z64" t="s">
        <v>1818</v>
      </c>
      <c r="AG64">
        <v>7.8</v>
      </c>
      <c r="AX64">
        <v>1.03</v>
      </c>
      <c r="AY64" t="s">
        <v>1164</v>
      </c>
      <c r="AZ64" t="s">
        <v>1819</v>
      </c>
      <c r="BA64" t="s">
        <v>1818</v>
      </c>
      <c r="BB64">
        <v>2.5</v>
      </c>
      <c r="BC64" t="s">
        <v>1818</v>
      </c>
      <c r="BD64">
        <v>3.6</v>
      </c>
      <c r="BE64" t="s">
        <v>1818</v>
      </c>
    </row>
    <row r="65" spans="1:51">
      <c r="A65" t="s">
        <v>40</v>
      </c>
      <c r="B65" t="s">
        <v>1829</v>
      </c>
      <c r="F65" t="s">
        <v>7</v>
      </c>
    </row>
    <row r="66" spans="1:51">
      <c r="B66" t="s">
        <v>1830</v>
      </c>
      <c r="C66" t="s">
        <v>1048</v>
      </c>
      <c r="D66" t="s">
        <v>1700</v>
      </c>
      <c r="E66" t="s">
        <v>1700</v>
      </c>
      <c r="F66" t="s">
        <v>11</v>
      </c>
      <c r="G66" t="s">
        <v>1831</v>
      </c>
      <c r="J66">
        <v>50</v>
      </c>
      <c r="K66" t="s">
        <v>1108</v>
      </c>
      <c r="L66" t="s">
        <v>1692</v>
      </c>
      <c r="M66" t="s">
        <v>1693</v>
      </c>
      <c r="S66">
        <v>295.60000000000002</v>
      </c>
      <c r="T66" t="s">
        <v>1104</v>
      </c>
      <c r="Y66">
        <v>5.61</v>
      </c>
      <c r="Z66" t="s">
        <v>1104</v>
      </c>
      <c r="AG66">
        <v>7.7</v>
      </c>
    </row>
    <row r="67" spans="1:51">
      <c r="B67" t="s">
        <v>1832</v>
      </c>
      <c r="C67" t="s">
        <v>1833</v>
      </c>
      <c r="D67" t="s">
        <v>1700</v>
      </c>
      <c r="E67" t="s">
        <v>1700</v>
      </c>
      <c r="F67" t="s">
        <v>11</v>
      </c>
      <c r="G67" t="s">
        <v>1831</v>
      </c>
      <c r="J67">
        <v>50</v>
      </c>
      <c r="K67" t="s">
        <v>1108</v>
      </c>
      <c r="L67" t="s">
        <v>1692</v>
      </c>
      <c r="M67" t="s">
        <v>1693</v>
      </c>
      <c r="S67">
        <v>295.60000000000002</v>
      </c>
      <c r="T67" t="s">
        <v>1104</v>
      </c>
      <c r="Y67">
        <v>5.61</v>
      </c>
      <c r="Z67" t="s">
        <v>1104</v>
      </c>
      <c r="AG67">
        <v>7.7</v>
      </c>
    </row>
    <row r="68" spans="1:51">
      <c r="A68" t="s">
        <v>45</v>
      </c>
      <c r="B68" t="s">
        <v>1834</v>
      </c>
      <c r="C68" t="s">
        <v>1835</v>
      </c>
      <c r="F68" t="s">
        <v>7</v>
      </c>
      <c r="M68" t="s">
        <v>1693</v>
      </c>
    </row>
    <row r="69" spans="1:51">
      <c r="B69" t="s">
        <v>1836</v>
      </c>
      <c r="C69" t="s">
        <v>1837</v>
      </c>
      <c r="D69" t="s">
        <v>1688</v>
      </c>
      <c r="E69" t="s">
        <v>1688</v>
      </c>
      <c r="F69" t="s">
        <v>11</v>
      </c>
      <c r="G69" t="s">
        <v>1838</v>
      </c>
      <c r="J69">
        <v>10</v>
      </c>
      <c r="K69" t="s">
        <v>1723</v>
      </c>
      <c r="L69" t="s">
        <v>1692</v>
      </c>
      <c r="M69" t="s">
        <v>1693</v>
      </c>
      <c r="S69">
        <v>351.9</v>
      </c>
      <c r="T69" t="s">
        <v>1104</v>
      </c>
      <c r="U69">
        <v>63.53</v>
      </c>
      <c r="V69" t="s">
        <v>1118</v>
      </c>
      <c r="AA69">
        <v>36.299999999999997</v>
      </c>
      <c r="AG69">
        <v>6.94</v>
      </c>
      <c r="AH69" t="s">
        <v>1277</v>
      </c>
      <c r="AI69" t="s">
        <v>1784</v>
      </c>
      <c r="AQ69" t="s">
        <v>27</v>
      </c>
      <c r="AX69">
        <v>1.381</v>
      </c>
      <c r="AY69" t="s">
        <v>1244</v>
      </c>
    </row>
    <row r="70" spans="1:51">
      <c r="B70" t="s">
        <v>1839</v>
      </c>
      <c r="C70" t="s">
        <v>1837</v>
      </c>
      <c r="D70" t="s">
        <v>1688</v>
      </c>
      <c r="E70" t="s">
        <v>1688</v>
      </c>
      <c r="F70" t="s">
        <v>11</v>
      </c>
      <c r="G70" t="s">
        <v>1838</v>
      </c>
      <c r="J70">
        <v>30</v>
      </c>
      <c r="K70" t="s">
        <v>1723</v>
      </c>
      <c r="L70" t="s">
        <v>1692</v>
      </c>
      <c r="M70" t="s">
        <v>1693</v>
      </c>
      <c r="S70">
        <v>351.9</v>
      </c>
      <c r="T70" t="s">
        <v>1104</v>
      </c>
      <c r="U70">
        <v>63.53</v>
      </c>
      <c r="V70" t="s">
        <v>1118</v>
      </c>
      <c r="AA70">
        <v>36.299999999999997</v>
      </c>
      <c r="AG70">
        <v>6.94</v>
      </c>
      <c r="AH70" t="s">
        <v>1277</v>
      </c>
      <c r="AI70" t="s">
        <v>1784</v>
      </c>
      <c r="AX70">
        <v>1.381</v>
      </c>
      <c r="AY70" t="s">
        <v>1244</v>
      </c>
    </row>
    <row r="71" spans="1:51">
      <c r="A71" t="s">
        <v>68</v>
      </c>
      <c r="B71" t="s">
        <v>1840</v>
      </c>
      <c r="F71" t="s">
        <v>7</v>
      </c>
    </row>
    <row r="72" spans="1:51">
      <c r="B72" t="s">
        <v>1841</v>
      </c>
      <c r="C72" t="s">
        <v>1842</v>
      </c>
      <c r="D72" t="s">
        <v>1700</v>
      </c>
      <c r="E72" t="s">
        <v>1700</v>
      </c>
      <c r="F72" t="s">
        <v>11</v>
      </c>
      <c r="G72" t="s">
        <v>1843</v>
      </c>
      <c r="J72">
        <v>21</v>
      </c>
      <c r="K72" t="s">
        <v>1104</v>
      </c>
      <c r="L72" t="s">
        <v>1692</v>
      </c>
      <c r="M72" t="s">
        <v>1693</v>
      </c>
      <c r="S72">
        <v>21.5</v>
      </c>
      <c r="T72" t="s">
        <v>1118</v>
      </c>
      <c r="AG72">
        <v>7.1</v>
      </c>
    </row>
    <row r="73" spans="1:51">
      <c r="B73" t="s">
        <v>1844</v>
      </c>
      <c r="C73" t="s">
        <v>1842</v>
      </c>
      <c r="D73" t="s">
        <v>1700</v>
      </c>
      <c r="E73" t="s">
        <v>1700</v>
      </c>
      <c r="F73" t="s">
        <v>11</v>
      </c>
      <c r="G73" t="s">
        <v>1843</v>
      </c>
      <c r="J73">
        <v>90.7</v>
      </c>
      <c r="K73" t="s">
        <v>1104</v>
      </c>
      <c r="L73" t="s">
        <v>1692</v>
      </c>
      <c r="M73" t="s">
        <v>1693</v>
      </c>
      <c r="S73">
        <v>21.5</v>
      </c>
      <c r="T73" t="s">
        <v>1118</v>
      </c>
      <c r="AG73">
        <v>7.1</v>
      </c>
    </row>
    <row r="74" spans="1:51">
      <c r="B74" t="s">
        <v>1845</v>
      </c>
      <c r="C74" t="s">
        <v>1842</v>
      </c>
      <c r="D74" t="s">
        <v>1700</v>
      </c>
      <c r="E74" t="s">
        <v>1700</v>
      </c>
      <c r="F74" t="s">
        <v>11</v>
      </c>
      <c r="G74" t="s">
        <v>1843</v>
      </c>
      <c r="J74">
        <v>160.5</v>
      </c>
      <c r="K74" t="s">
        <v>1104</v>
      </c>
      <c r="L74" t="s">
        <v>1692</v>
      </c>
      <c r="M74" t="s">
        <v>1693</v>
      </c>
      <c r="S74">
        <v>21.5</v>
      </c>
      <c r="T74" t="s">
        <v>1118</v>
      </c>
      <c r="AG74">
        <v>7.1</v>
      </c>
    </row>
    <row r="75" spans="1:51">
      <c r="B75" t="s">
        <v>1846</v>
      </c>
      <c r="C75" t="s">
        <v>1847</v>
      </c>
      <c r="D75" t="s">
        <v>1848</v>
      </c>
      <c r="E75" t="s">
        <v>1849</v>
      </c>
      <c r="F75" t="s">
        <v>11</v>
      </c>
      <c r="G75" t="s">
        <v>1850</v>
      </c>
      <c r="J75">
        <v>0.9</v>
      </c>
      <c r="K75" t="s">
        <v>1118</v>
      </c>
      <c r="L75" t="s">
        <v>1692</v>
      </c>
      <c r="M75" t="s">
        <v>1693</v>
      </c>
      <c r="S75">
        <v>20.100000000000001</v>
      </c>
      <c r="T75" t="s">
        <v>1118</v>
      </c>
      <c r="AG75">
        <v>7</v>
      </c>
    </row>
    <row r="76" spans="1:51">
      <c r="B76" t="s">
        <v>1851</v>
      </c>
      <c r="C76" t="s">
        <v>1847</v>
      </c>
      <c r="D76" t="s">
        <v>1848</v>
      </c>
      <c r="E76" t="s">
        <v>1849</v>
      </c>
      <c r="F76" t="s">
        <v>11</v>
      </c>
      <c r="G76" t="s">
        <v>1850</v>
      </c>
      <c r="J76">
        <v>3.6</v>
      </c>
      <c r="K76" t="s">
        <v>1118</v>
      </c>
      <c r="L76" t="s">
        <v>1692</v>
      </c>
      <c r="M76" t="s">
        <v>1693</v>
      </c>
      <c r="S76">
        <v>20.100000000000001</v>
      </c>
      <c r="T76" t="s">
        <v>1118</v>
      </c>
      <c r="AG76">
        <v>7</v>
      </c>
    </row>
    <row r="77" spans="1:51">
      <c r="A77" t="s">
        <v>73</v>
      </c>
      <c r="B77" t="s">
        <v>1852</v>
      </c>
      <c r="F77" t="s">
        <v>7</v>
      </c>
    </row>
    <row r="78" spans="1:51">
      <c r="B78" t="s">
        <v>1853</v>
      </c>
      <c r="C78" t="s">
        <v>1854</v>
      </c>
      <c r="D78" t="s">
        <v>1688</v>
      </c>
      <c r="E78" t="s">
        <v>1688</v>
      </c>
      <c r="F78" t="s">
        <v>11</v>
      </c>
      <c r="G78" t="s">
        <v>1855</v>
      </c>
      <c r="J78">
        <v>8</v>
      </c>
      <c r="K78" t="s">
        <v>1118</v>
      </c>
      <c r="L78" t="s">
        <v>1692</v>
      </c>
      <c r="M78" t="s">
        <v>1693</v>
      </c>
      <c r="O78">
        <v>15.6</v>
      </c>
      <c r="P78" t="s">
        <v>1118</v>
      </c>
      <c r="Y78">
        <v>3.1</v>
      </c>
      <c r="Z78" t="s">
        <v>1118</v>
      </c>
      <c r="AG78">
        <v>6.57</v>
      </c>
    </row>
    <row r="79" spans="1:51">
      <c r="B79" t="s">
        <v>1856</v>
      </c>
      <c r="C79" t="s">
        <v>1857</v>
      </c>
      <c r="D79" t="s">
        <v>1688</v>
      </c>
      <c r="E79" t="s">
        <v>1688</v>
      </c>
      <c r="F79" t="s">
        <v>11</v>
      </c>
      <c r="G79" t="s">
        <v>1855</v>
      </c>
      <c r="J79">
        <v>2.5</v>
      </c>
      <c r="K79" t="s">
        <v>1118</v>
      </c>
      <c r="L79" t="s">
        <v>1692</v>
      </c>
      <c r="M79" t="s">
        <v>1693</v>
      </c>
      <c r="O79">
        <v>15.6</v>
      </c>
      <c r="P79" t="s">
        <v>1118</v>
      </c>
      <c r="Y79">
        <v>3.1</v>
      </c>
      <c r="Z79" t="s">
        <v>1118</v>
      </c>
      <c r="AG79">
        <v>6.57</v>
      </c>
    </row>
    <row r="80" spans="1:51">
      <c r="A80" t="s">
        <v>82</v>
      </c>
      <c r="B80" t="s">
        <v>1858</v>
      </c>
      <c r="F80" t="s">
        <v>7</v>
      </c>
    </row>
    <row r="81" spans="1:61">
      <c r="B81" t="s">
        <v>1859</v>
      </c>
      <c r="C81" t="s">
        <v>1860</v>
      </c>
      <c r="D81" t="s">
        <v>1705</v>
      </c>
      <c r="E81" t="s">
        <v>1861</v>
      </c>
      <c r="F81" t="s">
        <v>11</v>
      </c>
      <c r="G81" t="s">
        <v>1862</v>
      </c>
      <c r="H81" t="s">
        <v>1862</v>
      </c>
      <c r="I81">
        <v>300</v>
      </c>
      <c r="J81">
        <v>1</v>
      </c>
      <c r="K81" t="s">
        <v>1863</v>
      </c>
      <c r="L81" t="s">
        <v>1692</v>
      </c>
      <c r="M81" t="s">
        <v>1693</v>
      </c>
      <c r="O81">
        <v>49</v>
      </c>
      <c r="P81" t="s">
        <v>1118</v>
      </c>
      <c r="Y81">
        <v>1.4</v>
      </c>
      <c r="Z81" t="s">
        <v>1118</v>
      </c>
      <c r="AB81">
        <v>3.7</v>
      </c>
      <c r="AC81" t="s">
        <v>1118</v>
      </c>
      <c r="AE81">
        <v>36.5</v>
      </c>
      <c r="AF81" t="s">
        <v>1118</v>
      </c>
      <c r="AG81">
        <v>6.88</v>
      </c>
      <c r="AH81" t="s">
        <v>1277</v>
      </c>
      <c r="AJ81">
        <v>14.23</v>
      </c>
      <c r="AK81" t="s">
        <v>1118</v>
      </c>
      <c r="AR81">
        <v>1.22</v>
      </c>
      <c r="AS81" t="s">
        <v>1733</v>
      </c>
      <c r="AX81">
        <v>59.06</v>
      </c>
      <c r="AY81" t="s">
        <v>1150</v>
      </c>
      <c r="AZ81" t="s">
        <v>1323</v>
      </c>
      <c r="BA81" t="s">
        <v>1108</v>
      </c>
    </row>
    <row r="82" spans="1:61">
      <c r="B82" t="s">
        <v>1864</v>
      </c>
      <c r="C82" t="s">
        <v>1865</v>
      </c>
      <c r="D82" t="s">
        <v>1705</v>
      </c>
      <c r="E82" t="s">
        <v>1706</v>
      </c>
      <c r="F82" t="s">
        <v>11</v>
      </c>
      <c r="G82" t="s">
        <v>1862</v>
      </c>
      <c r="H82" t="s">
        <v>1862</v>
      </c>
      <c r="I82">
        <v>600</v>
      </c>
      <c r="J82">
        <v>1</v>
      </c>
      <c r="K82" t="s">
        <v>1863</v>
      </c>
      <c r="L82" t="s">
        <v>1692</v>
      </c>
      <c r="M82" t="s">
        <v>1693</v>
      </c>
      <c r="O82">
        <v>56.8</v>
      </c>
      <c r="P82" t="s">
        <v>1118</v>
      </c>
      <c r="Y82">
        <v>1.2</v>
      </c>
      <c r="Z82" t="s">
        <v>1118</v>
      </c>
      <c r="AB82">
        <v>1.6</v>
      </c>
      <c r="AC82" t="s">
        <v>1118</v>
      </c>
      <c r="AE82">
        <v>25.1</v>
      </c>
      <c r="AF82" t="s">
        <v>1118</v>
      </c>
      <c r="AG82">
        <v>9.44</v>
      </c>
      <c r="AH82" t="s">
        <v>1277</v>
      </c>
      <c r="AJ82">
        <v>29.63</v>
      </c>
      <c r="AK82" t="s">
        <v>1118</v>
      </c>
      <c r="AR82">
        <v>66</v>
      </c>
      <c r="AS82" t="s">
        <v>1733</v>
      </c>
      <c r="AX82">
        <v>64.3</v>
      </c>
      <c r="AY82" t="s">
        <v>1150</v>
      </c>
      <c r="AZ82">
        <v>24.7</v>
      </c>
      <c r="BA82" t="s">
        <v>1108</v>
      </c>
    </row>
    <row r="83" spans="1:61">
      <c r="B83" t="s">
        <v>1866</v>
      </c>
      <c r="C83" t="s">
        <v>1867</v>
      </c>
      <c r="D83" t="s">
        <v>1705</v>
      </c>
      <c r="E83" t="s">
        <v>1861</v>
      </c>
      <c r="F83" t="s">
        <v>11</v>
      </c>
      <c r="G83" t="s">
        <v>1868</v>
      </c>
      <c r="H83" t="s">
        <v>1868</v>
      </c>
      <c r="I83">
        <v>300</v>
      </c>
      <c r="J83">
        <v>1</v>
      </c>
      <c r="K83" t="s">
        <v>1863</v>
      </c>
      <c r="L83" t="s">
        <v>1692</v>
      </c>
      <c r="M83" t="s">
        <v>1693</v>
      </c>
      <c r="O83">
        <v>61.2</v>
      </c>
      <c r="P83" t="s">
        <v>1118</v>
      </c>
      <c r="Y83">
        <v>1.2</v>
      </c>
      <c r="Z83" t="s">
        <v>1118</v>
      </c>
      <c r="AB83">
        <v>4.2</v>
      </c>
      <c r="AC83" t="s">
        <v>1118</v>
      </c>
      <c r="AE83">
        <v>27.6</v>
      </c>
      <c r="AF83" t="s">
        <v>1118</v>
      </c>
      <c r="AG83">
        <v>7.07</v>
      </c>
      <c r="AH83" t="s">
        <v>1277</v>
      </c>
      <c r="AJ83">
        <v>11.49</v>
      </c>
      <c r="AK83" t="s">
        <v>1118</v>
      </c>
      <c r="AR83" t="s">
        <v>1323</v>
      </c>
      <c r="AS83" t="s">
        <v>1733</v>
      </c>
      <c r="AX83">
        <v>37.85</v>
      </c>
      <c r="AY83" t="s">
        <v>1150</v>
      </c>
      <c r="AZ83" t="s">
        <v>1323</v>
      </c>
      <c r="BA83" t="s">
        <v>1108</v>
      </c>
    </row>
    <row r="84" spans="1:61">
      <c r="B84" t="s">
        <v>1869</v>
      </c>
      <c r="C84" t="s">
        <v>1870</v>
      </c>
      <c r="D84" t="s">
        <v>1705</v>
      </c>
      <c r="E84" t="s">
        <v>1706</v>
      </c>
      <c r="F84" t="s">
        <v>11</v>
      </c>
      <c r="G84" t="s">
        <v>1868</v>
      </c>
      <c r="H84" t="s">
        <v>1868</v>
      </c>
      <c r="I84">
        <v>600</v>
      </c>
      <c r="J84">
        <v>1</v>
      </c>
      <c r="K84" t="s">
        <v>1863</v>
      </c>
      <c r="L84" t="s">
        <v>1692</v>
      </c>
      <c r="M84" t="s">
        <v>1693</v>
      </c>
      <c r="O84">
        <v>63.3</v>
      </c>
      <c r="P84" t="s">
        <v>1118</v>
      </c>
      <c r="Y84">
        <v>0.8</v>
      </c>
      <c r="Z84" t="s">
        <v>1118</v>
      </c>
      <c r="AB84">
        <v>1.5</v>
      </c>
      <c r="AC84" t="s">
        <v>1118</v>
      </c>
      <c r="AE84">
        <v>22.5</v>
      </c>
      <c r="AF84" t="s">
        <v>1118</v>
      </c>
      <c r="AG84">
        <v>9.5399999999999991</v>
      </c>
      <c r="AH84" t="s">
        <v>1277</v>
      </c>
      <c r="AJ84">
        <v>15.34</v>
      </c>
      <c r="AK84" t="s">
        <v>1118</v>
      </c>
      <c r="AR84">
        <v>29</v>
      </c>
      <c r="AS84" t="s">
        <v>1733</v>
      </c>
      <c r="AX84">
        <v>62.77</v>
      </c>
      <c r="AY84" t="s">
        <v>1150</v>
      </c>
      <c r="AZ84">
        <v>9.9</v>
      </c>
      <c r="BA84" t="s">
        <v>1108</v>
      </c>
    </row>
    <row r="85" spans="1:61">
      <c r="B85" t="s">
        <v>1871</v>
      </c>
      <c r="C85" t="s">
        <v>1872</v>
      </c>
      <c r="D85" t="s">
        <v>1705</v>
      </c>
      <c r="E85" t="s">
        <v>1861</v>
      </c>
      <c r="F85" t="s">
        <v>11</v>
      </c>
      <c r="G85" t="s">
        <v>1873</v>
      </c>
      <c r="H85" t="s">
        <v>1873</v>
      </c>
      <c r="I85">
        <v>300</v>
      </c>
      <c r="J85">
        <v>1</v>
      </c>
      <c r="K85" t="s">
        <v>1863</v>
      </c>
      <c r="L85" t="s">
        <v>1692</v>
      </c>
      <c r="M85" t="s">
        <v>1693</v>
      </c>
      <c r="O85">
        <v>59.3</v>
      </c>
      <c r="P85" t="s">
        <v>1118</v>
      </c>
      <c r="Y85">
        <v>0.6</v>
      </c>
      <c r="Z85" t="s">
        <v>1118</v>
      </c>
      <c r="AB85">
        <v>4</v>
      </c>
      <c r="AC85" t="s">
        <v>1118</v>
      </c>
      <c r="AE85">
        <v>33.200000000000003</v>
      </c>
      <c r="AF85" t="s">
        <v>1118</v>
      </c>
      <c r="AG85">
        <v>6.9</v>
      </c>
      <c r="AH85" t="s">
        <v>1277</v>
      </c>
      <c r="AJ85">
        <v>1.35</v>
      </c>
      <c r="AK85" t="s">
        <v>1118</v>
      </c>
      <c r="AR85" t="s">
        <v>1323</v>
      </c>
      <c r="AS85" t="s">
        <v>1733</v>
      </c>
      <c r="AX85">
        <v>5.98</v>
      </c>
      <c r="AY85" t="s">
        <v>1150</v>
      </c>
      <c r="AZ85" t="s">
        <v>1323</v>
      </c>
      <c r="BA85" t="s">
        <v>1108</v>
      </c>
    </row>
    <row r="86" spans="1:61">
      <c r="B86" t="s">
        <v>1874</v>
      </c>
      <c r="C86" t="s">
        <v>1875</v>
      </c>
      <c r="D86" t="s">
        <v>1705</v>
      </c>
      <c r="E86" t="s">
        <v>1706</v>
      </c>
      <c r="F86" t="s">
        <v>11</v>
      </c>
      <c r="G86" t="s">
        <v>1873</v>
      </c>
      <c r="H86" t="s">
        <v>1873</v>
      </c>
      <c r="I86">
        <v>600</v>
      </c>
      <c r="J86">
        <v>1</v>
      </c>
      <c r="K86" t="s">
        <v>1863</v>
      </c>
      <c r="L86" t="s">
        <v>1692</v>
      </c>
      <c r="M86" t="s">
        <v>1693</v>
      </c>
      <c r="O86">
        <v>66.2</v>
      </c>
      <c r="P86" t="s">
        <v>1118</v>
      </c>
      <c r="Y86">
        <v>0.6</v>
      </c>
      <c r="Z86" t="s">
        <v>1118</v>
      </c>
      <c r="AB86">
        <v>1.9</v>
      </c>
      <c r="AC86" t="s">
        <v>1118</v>
      </c>
      <c r="AE86">
        <v>23.3</v>
      </c>
      <c r="AF86" t="s">
        <v>1118</v>
      </c>
      <c r="AG86">
        <v>8.7100000000000009</v>
      </c>
      <c r="AH86" t="s">
        <v>1277</v>
      </c>
      <c r="AJ86">
        <v>3.05</v>
      </c>
      <c r="AK86" t="s">
        <v>1118</v>
      </c>
      <c r="AR86">
        <v>59</v>
      </c>
      <c r="AS86" t="s">
        <v>1733</v>
      </c>
      <c r="AX86">
        <v>10.050000000000001</v>
      </c>
      <c r="AY86" t="s">
        <v>1150</v>
      </c>
      <c r="AZ86">
        <v>7.4</v>
      </c>
      <c r="BA86" t="s">
        <v>1108</v>
      </c>
    </row>
    <row r="87" spans="1:61">
      <c r="B87" t="s">
        <v>1876</v>
      </c>
      <c r="C87" t="s">
        <v>1860</v>
      </c>
      <c r="D87" t="s">
        <v>1705</v>
      </c>
      <c r="E87" t="s">
        <v>1861</v>
      </c>
      <c r="F87" t="s">
        <v>11</v>
      </c>
      <c r="G87" t="s">
        <v>1862</v>
      </c>
      <c r="H87" t="s">
        <v>1862</v>
      </c>
      <c r="I87">
        <v>300</v>
      </c>
      <c r="J87">
        <v>2</v>
      </c>
      <c r="K87" t="s">
        <v>1863</v>
      </c>
      <c r="L87" t="s">
        <v>1692</v>
      </c>
      <c r="M87" t="s">
        <v>1693</v>
      </c>
      <c r="O87">
        <v>49</v>
      </c>
      <c r="P87" t="s">
        <v>1118</v>
      </c>
      <c r="Y87">
        <v>1.4</v>
      </c>
      <c r="Z87" t="s">
        <v>1118</v>
      </c>
      <c r="AB87">
        <v>3.7</v>
      </c>
      <c r="AC87" t="s">
        <v>1118</v>
      </c>
      <c r="AE87">
        <v>36.5</v>
      </c>
      <c r="AF87" t="s">
        <v>1118</v>
      </c>
      <c r="AG87">
        <v>6.88</v>
      </c>
      <c r="AH87" t="s">
        <v>1277</v>
      </c>
      <c r="AJ87">
        <v>14.23</v>
      </c>
      <c r="AK87" t="s">
        <v>1118</v>
      </c>
      <c r="AR87">
        <v>1.22</v>
      </c>
      <c r="AS87" t="s">
        <v>1733</v>
      </c>
      <c r="AX87">
        <v>59.06</v>
      </c>
      <c r="AY87" t="s">
        <v>1150</v>
      </c>
      <c r="AZ87" t="s">
        <v>1323</v>
      </c>
      <c r="BA87" t="s">
        <v>1108</v>
      </c>
    </row>
    <row r="88" spans="1:61">
      <c r="B88" t="s">
        <v>1877</v>
      </c>
      <c r="C88" t="s">
        <v>1865</v>
      </c>
      <c r="D88" t="s">
        <v>1705</v>
      </c>
      <c r="E88" t="s">
        <v>1706</v>
      </c>
      <c r="F88" t="s">
        <v>11</v>
      </c>
      <c r="G88" t="s">
        <v>1862</v>
      </c>
      <c r="H88" t="s">
        <v>1862</v>
      </c>
      <c r="I88">
        <v>600</v>
      </c>
      <c r="J88">
        <v>2</v>
      </c>
      <c r="K88" t="s">
        <v>1863</v>
      </c>
      <c r="L88" t="s">
        <v>1692</v>
      </c>
      <c r="M88" t="s">
        <v>1693</v>
      </c>
      <c r="O88">
        <v>56.8</v>
      </c>
      <c r="P88" t="s">
        <v>1118</v>
      </c>
      <c r="Y88">
        <v>1.2</v>
      </c>
      <c r="Z88" t="s">
        <v>1118</v>
      </c>
      <c r="AB88">
        <v>1.6</v>
      </c>
      <c r="AC88" t="s">
        <v>1118</v>
      </c>
      <c r="AE88">
        <v>25.1</v>
      </c>
      <c r="AF88" t="s">
        <v>1118</v>
      </c>
      <c r="AG88">
        <v>9.44</v>
      </c>
      <c r="AH88" t="s">
        <v>1277</v>
      </c>
      <c r="AJ88">
        <v>29.63</v>
      </c>
      <c r="AK88" t="s">
        <v>1118</v>
      </c>
      <c r="AR88">
        <v>66</v>
      </c>
      <c r="AS88" t="s">
        <v>1733</v>
      </c>
      <c r="AX88">
        <v>64.3</v>
      </c>
      <c r="AY88" t="s">
        <v>1150</v>
      </c>
      <c r="AZ88">
        <v>24.7</v>
      </c>
      <c r="BA88" t="s">
        <v>1108</v>
      </c>
    </row>
    <row r="89" spans="1:61">
      <c r="B89" t="s">
        <v>1878</v>
      </c>
      <c r="C89" t="s">
        <v>1867</v>
      </c>
      <c r="D89" t="s">
        <v>1705</v>
      </c>
      <c r="E89" t="s">
        <v>1861</v>
      </c>
      <c r="F89" t="s">
        <v>11</v>
      </c>
      <c r="G89" t="s">
        <v>1868</v>
      </c>
      <c r="H89" t="s">
        <v>1868</v>
      </c>
      <c r="I89">
        <v>300</v>
      </c>
      <c r="J89">
        <v>2</v>
      </c>
      <c r="K89" t="s">
        <v>1863</v>
      </c>
      <c r="L89" t="s">
        <v>1692</v>
      </c>
      <c r="M89" t="s">
        <v>1693</v>
      </c>
      <c r="O89">
        <v>61.2</v>
      </c>
      <c r="P89" t="s">
        <v>1118</v>
      </c>
      <c r="Y89">
        <v>1.2</v>
      </c>
      <c r="Z89" t="s">
        <v>1118</v>
      </c>
      <c r="AB89">
        <v>4.2</v>
      </c>
      <c r="AC89" t="s">
        <v>1118</v>
      </c>
      <c r="AE89">
        <v>27.6</v>
      </c>
      <c r="AF89" t="s">
        <v>1118</v>
      </c>
      <c r="AG89">
        <v>7.07</v>
      </c>
      <c r="AH89" t="s">
        <v>1277</v>
      </c>
      <c r="AJ89">
        <v>11.49</v>
      </c>
      <c r="AK89" t="s">
        <v>1118</v>
      </c>
      <c r="AR89" t="s">
        <v>1323</v>
      </c>
      <c r="AS89" t="s">
        <v>1733</v>
      </c>
      <c r="AX89">
        <v>37.85</v>
      </c>
      <c r="AY89" t="s">
        <v>1150</v>
      </c>
      <c r="AZ89" t="s">
        <v>1323</v>
      </c>
      <c r="BA89" t="s">
        <v>1108</v>
      </c>
    </row>
    <row r="90" spans="1:61">
      <c r="B90" t="s">
        <v>1879</v>
      </c>
      <c r="C90" t="s">
        <v>1870</v>
      </c>
      <c r="D90" t="s">
        <v>1705</v>
      </c>
      <c r="E90" t="s">
        <v>1706</v>
      </c>
      <c r="F90" t="s">
        <v>11</v>
      </c>
      <c r="G90" t="s">
        <v>1868</v>
      </c>
      <c r="H90" t="s">
        <v>1868</v>
      </c>
      <c r="I90">
        <v>600</v>
      </c>
      <c r="J90">
        <v>2</v>
      </c>
      <c r="K90" t="s">
        <v>1863</v>
      </c>
      <c r="L90" t="s">
        <v>1692</v>
      </c>
      <c r="M90" t="s">
        <v>1693</v>
      </c>
      <c r="O90">
        <v>63.3</v>
      </c>
      <c r="P90" t="s">
        <v>1118</v>
      </c>
      <c r="Y90">
        <v>0.8</v>
      </c>
      <c r="Z90" t="s">
        <v>1118</v>
      </c>
      <c r="AB90">
        <v>1.5</v>
      </c>
      <c r="AC90" t="s">
        <v>1118</v>
      </c>
      <c r="AE90">
        <v>22.5</v>
      </c>
      <c r="AF90" t="s">
        <v>1118</v>
      </c>
      <c r="AG90">
        <v>9.5399999999999991</v>
      </c>
      <c r="AH90" t="s">
        <v>1277</v>
      </c>
      <c r="AJ90">
        <v>15.34</v>
      </c>
      <c r="AK90" t="s">
        <v>1118</v>
      </c>
      <c r="AR90">
        <v>29</v>
      </c>
      <c r="AS90" t="s">
        <v>1733</v>
      </c>
      <c r="AX90">
        <v>62.77</v>
      </c>
      <c r="AY90" t="s">
        <v>1150</v>
      </c>
      <c r="AZ90">
        <v>9.9</v>
      </c>
      <c r="BA90" t="s">
        <v>1108</v>
      </c>
    </row>
    <row r="91" spans="1:61">
      <c r="B91" t="s">
        <v>1880</v>
      </c>
      <c r="C91" t="s">
        <v>1872</v>
      </c>
      <c r="D91" t="s">
        <v>1705</v>
      </c>
      <c r="E91" t="s">
        <v>1861</v>
      </c>
      <c r="F91" t="s">
        <v>11</v>
      </c>
      <c r="G91" t="s">
        <v>1873</v>
      </c>
      <c r="H91" t="s">
        <v>1873</v>
      </c>
      <c r="I91">
        <v>300</v>
      </c>
      <c r="J91">
        <v>2</v>
      </c>
      <c r="K91" t="s">
        <v>1863</v>
      </c>
      <c r="L91" t="s">
        <v>1692</v>
      </c>
      <c r="M91" t="s">
        <v>1693</v>
      </c>
      <c r="O91">
        <v>59.3</v>
      </c>
      <c r="P91" t="s">
        <v>1118</v>
      </c>
      <c r="Y91">
        <v>0.6</v>
      </c>
      <c r="Z91" t="s">
        <v>1118</v>
      </c>
      <c r="AB91">
        <v>4</v>
      </c>
      <c r="AC91" t="s">
        <v>1118</v>
      </c>
      <c r="AE91">
        <v>33.200000000000003</v>
      </c>
      <c r="AF91" t="s">
        <v>1118</v>
      </c>
      <c r="AG91">
        <v>6.9</v>
      </c>
      <c r="AH91" t="s">
        <v>1277</v>
      </c>
      <c r="AJ91">
        <v>1.35</v>
      </c>
      <c r="AK91" t="s">
        <v>1118</v>
      </c>
      <c r="AR91" t="s">
        <v>1323</v>
      </c>
      <c r="AS91" t="s">
        <v>1733</v>
      </c>
      <c r="AX91">
        <v>5.98</v>
      </c>
      <c r="AY91" t="s">
        <v>1150</v>
      </c>
      <c r="AZ91" t="s">
        <v>1323</v>
      </c>
      <c r="BA91" t="s">
        <v>1108</v>
      </c>
    </row>
    <row r="92" spans="1:61">
      <c r="B92" t="s">
        <v>1881</v>
      </c>
      <c r="C92" t="s">
        <v>1875</v>
      </c>
      <c r="D92" t="s">
        <v>1705</v>
      </c>
      <c r="E92" t="s">
        <v>1706</v>
      </c>
      <c r="F92" t="s">
        <v>11</v>
      </c>
      <c r="G92" t="s">
        <v>1873</v>
      </c>
      <c r="H92" t="s">
        <v>1873</v>
      </c>
      <c r="I92">
        <v>600</v>
      </c>
      <c r="J92">
        <v>2</v>
      </c>
      <c r="K92" t="s">
        <v>1863</v>
      </c>
      <c r="L92" t="s">
        <v>1692</v>
      </c>
      <c r="M92" t="s">
        <v>1693</v>
      </c>
      <c r="O92">
        <v>66.2</v>
      </c>
      <c r="P92" t="s">
        <v>1118</v>
      </c>
      <c r="W92">
        <v>88.33</v>
      </c>
      <c r="X92" t="s">
        <v>1118</v>
      </c>
      <c r="Y92">
        <v>0.6</v>
      </c>
      <c r="Z92" t="s">
        <v>1118</v>
      </c>
      <c r="AB92">
        <v>1.9</v>
      </c>
      <c r="AC92" t="s">
        <v>1118</v>
      </c>
      <c r="AE92">
        <v>23.3</v>
      </c>
      <c r="AF92" t="s">
        <v>1118</v>
      </c>
      <c r="AG92">
        <v>8.7100000000000009</v>
      </c>
      <c r="AH92" t="s">
        <v>1277</v>
      </c>
      <c r="AJ92">
        <v>3.05</v>
      </c>
      <c r="AK92" t="s">
        <v>1118</v>
      </c>
      <c r="AR92">
        <v>59</v>
      </c>
      <c r="AS92" t="s">
        <v>1733</v>
      </c>
      <c r="AX92">
        <v>10.050000000000001</v>
      </c>
      <c r="AY92" t="s">
        <v>1150</v>
      </c>
      <c r="AZ92">
        <v>7.4</v>
      </c>
      <c r="BA92" t="s">
        <v>1108</v>
      </c>
    </row>
    <row r="93" spans="1:61">
      <c r="A93" t="s">
        <v>92</v>
      </c>
      <c r="B93" t="s">
        <v>1882</v>
      </c>
      <c r="F93" t="s">
        <v>7</v>
      </c>
    </row>
    <row r="94" spans="1:61">
      <c r="B94" t="s">
        <v>1883</v>
      </c>
      <c r="C94" t="s">
        <v>1429</v>
      </c>
      <c r="D94" t="s">
        <v>1705</v>
      </c>
      <c r="E94" t="s">
        <v>1706</v>
      </c>
      <c r="F94" t="s">
        <v>11</v>
      </c>
      <c r="G94" t="s">
        <v>1750</v>
      </c>
      <c r="H94" t="s">
        <v>1750</v>
      </c>
      <c r="I94">
        <v>500</v>
      </c>
      <c r="J94">
        <v>3</v>
      </c>
      <c r="K94" t="s">
        <v>1691</v>
      </c>
      <c r="L94" t="s">
        <v>1692</v>
      </c>
      <c r="M94" t="s">
        <v>1693</v>
      </c>
      <c r="S94">
        <v>60.95</v>
      </c>
      <c r="T94" t="s">
        <v>1118</v>
      </c>
      <c r="W94">
        <v>36.58</v>
      </c>
      <c r="X94" t="s">
        <v>1118</v>
      </c>
      <c r="Y94">
        <v>0.41</v>
      </c>
      <c r="Z94" t="s">
        <v>1118</v>
      </c>
      <c r="AA94">
        <f>W94/Y94</f>
        <v>89.219512195121951</v>
      </c>
      <c r="AB94">
        <v>3.74</v>
      </c>
      <c r="AC94" t="s">
        <v>1118</v>
      </c>
      <c r="AD94">
        <v>0.10199999999999999</v>
      </c>
      <c r="AE94">
        <v>14.5</v>
      </c>
      <c r="AF94" t="s">
        <v>1118</v>
      </c>
      <c r="AG94">
        <v>9.94</v>
      </c>
      <c r="AP94">
        <v>2.98</v>
      </c>
      <c r="AQ94" t="s">
        <v>1741</v>
      </c>
      <c r="AR94">
        <v>32.18</v>
      </c>
      <c r="AS94" t="s">
        <v>1884</v>
      </c>
      <c r="AT94" t="s">
        <v>1885</v>
      </c>
      <c r="AU94" t="s">
        <v>1886</v>
      </c>
      <c r="BH94">
        <v>0</v>
      </c>
      <c r="BI94" t="s">
        <v>1118</v>
      </c>
    </row>
    <row r="95" spans="1:61">
      <c r="B95" t="s">
        <v>1887</v>
      </c>
      <c r="C95" t="s">
        <v>1888</v>
      </c>
      <c r="D95" t="s">
        <v>1705</v>
      </c>
      <c r="E95" t="s">
        <v>1706</v>
      </c>
      <c r="F95" t="s">
        <v>11</v>
      </c>
      <c r="G95" t="s">
        <v>1842</v>
      </c>
      <c r="H95" t="s">
        <v>1842</v>
      </c>
      <c r="I95">
        <v>500</v>
      </c>
      <c r="J95">
        <v>3</v>
      </c>
      <c r="K95" t="s">
        <v>1691</v>
      </c>
      <c r="L95" t="s">
        <v>1692</v>
      </c>
      <c r="M95" t="s">
        <v>1693</v>
      </c>
      <c r="S95">
        <v>41.75</v>
      </c>
      <c r="T95" t="s">
        <v>1118</v>
      </c>
      <c r="W95">
        <v>27.73</v>
      </c>
      <c r="X95" t="s">
        <v>1118</v>
      </c>
      <c r="Y95">
        <v>1.91</v>
      </c>
      <c r="Z95" t="s">
        <v>1118</v>
      </c>
      <c r="AA95">
        <f t="shared" ref="AA95:AA101" si="1">W95/Y95</f>
        <v>14.518324607329843</v>
      </c>
      <c r="AB95">
        <v>1.62</v>
      </c>
      <c r="AC95" t="s">
        <v>1118</v>
      </c>
      <c r="AD95">
        <v>5.6000000000000001E-2</v>
      </c>
      <c r="AE95">
        <v>7.53</v>
      </c>
      <c r="AF95" t="s">
        <v>1118</v>
      </c>
      <c r="AG95">
        <v>7.87</v>
      </c>
      <c r="AP95">
        <v>7.83</v>
      </c>
      <c r="AQ95" t="s">
        <v>1741</v>
      </c>
      <c r="AR95">
        <v>2.5</v>
      </c>
      <c r="AS95" t="s">
        <v>1884</v>
      </c>
      <c r="AT95" t="s">
        <v>1885</v>
      </c>
      <c r="AU95" t="s">
        <v>1886</v>
      </c>
      <c r="BH95">
        <v>0.11</v>
      </c>
      <c r="BI95" t="s">
        <v>1118</v>
      </c>
    </row>
    <row r="96" spans="1:61">
      <c r="B96" t="s">
        <v>1889</v>
      </c>
      <c r="C96" t="s">
        <v>1471</v>
      </c>
      <c r="D96" t="s">
        <v>1705</v>
      </c>
      <c r="E96" t="s">
        <v>1706</v>
      </c>
      <c r="F96" t="s">
        <v>11</v>
      </c>
      <c r="G96" t="s">
        <v>1890</v>
      </c>
      <c r="H96" t="s">
        <v>1890</v>
      </c>
      <c r="I96">
        <v>500</v>
      </c>
      <c r="J96">
        <v>3</v>
      </c>
      <c r="K96" t="s">
        <v>1691</v>
      </c>
      <c r="L96" t="s">
        <v>1692</v>
      </c>
      <c r="M96" t="s">
        <v>1693</v>
      </c>
      <c r="S96">
        <v>65.599999999999994</v>
      </c>
      <c r="T96" t="s">
        <v>1118</v>
      </c>
      <c r="W96">
        <v>57.33</v>
      </c>
      <c r="X96" t="s">
        <v>1118</v>
      </c>
      <c r="Y96">
        <v>0.71</v>
      </c>
      <c r="Z96" t="s">
        <v>1118</v>
      </c>
      <c r="AA96">
        <f t="shared" si="1"/>
        <v>80.74647887323944</v>
      </c>
      <c r="AB96">
        <v>1.46</v>
      </c>
      <c r="AC96" t="s">
        <v>1118</v>
      </c>
      <c r="AD96">
        <v>2.5000000000000001E-2</v>
      </c>
      <c r="AE96">
        <v>4.87</v>
      </c>
      <c r="AF96" t="s">
        <v>1118</v>
      </c>
      <c r="AG96">
        <v>9.9</v>
      </c>
      <c r="AP96">
        <v>2.39</v>
      </c>
      <c r="AQ96" t="s">
        <v>1741</v>
      </c>
      <c r="AR96">
        <v>99.44</v>
      </c>
      <c r="AS96" t="s">
        <v>1884</v>
      </c>
      <c r="AT96" t="s">
        <v>1885</v>
      </c>
      <c r="AU96" t="s">
        <v>1886</v>
      </c>
      <c r="BH96">
        <v>0</v>
      </c>
      <c r="BI96" t="s">
        <v>1118</v>
      </c>
    </row>
    <row r="97" spans="1:61">
      <c r="B97" t="s">
        <v>1891</v>
      </c>
      <c r="C97" t="s">
        <v>1892</v>
      </c>
      <c r="D97" t="s">
        <v>1705</v>
      </c>
      <c r="E97" t="s">
        <v>1706</v>
      </c>
      <c r="F97" t="s">
        <v>11</v>
      </c>
      <c r="G97" t="s">
        <v>1893</v>
      </c>
      <c r="H97" t="s">
        <v>1893</v>
      </c>
      <c r="I97">
        <v>400</v>
      </c>
      <c r="J97">
        <v>3</v>
      </c>
      <c r="K97" t="s">
        <v>1691</v>
      </c>
      <c r="L97" t="s">
        <v>1692</v>
      </c>
      <c r="M97" t="s">
        <v>1693</v>
      </c>
      <c r="S97">
        <v>78</v>
      </c>
      <c r="T97" t="s">
        <v>1118</v>
      </c>
      <c r="W97">
        <v>74.599999999999994</v>
      </c>
      <c r="X97" t="s">
        <v>1118</v>
      </c>
      <c r="Y97">
        <v>0.12</v>
      </c>
      <c r="Z97" t="s">
        <v>1118</v>
      </c>
      <c r="AA97">
        <f t="shared" si="1"/>
        <v>621.66666666666663</v>
      </c>
      <c r="AB97">
        <v>1.29</v>
      </c>
      <c r="AC97" t="s">
        <v>1118</v>
      </c>
      <c r="AD97">
        <v>1.7000000000000001E-2</v>
      </c>
      <c r="AE97">
        <v>2.66</v>
      </c>
      <c r="AF97" t="s">
        <v>1118</v>
      </c>
      <c r="AG97">
        <v>8.14</v>
      </c>
      <c r="AP97">
        <v>7.56</v>
      </c>
      <c r="AQ97" t="s">
        <v>1741</v>
      </c>
      <c r="AR97">
        <v>35.76</v>
      </c>
      <c r="AS97" t="s">
        <v>1884</v>
      </c>
      <c r="AT97" t="s">
        <v>1885</v>
      </c>
      <c r="AU97" t="s">
        <v>1886</v>
      </c>
      <c r="BH97">
        <v>1.25</v>
      </c>
      <c r="BI97" t="s">
        <v>1118</v>
      </c>
    </row>
    <row r="98" spans="1:61">
      <c r="B98" t="s">
        <v>1894</v>
      </c>
      <c r="C98" t="s">
        <v>1895</v>
      </c>
      <c r="D98" t="s">
        <v>1705</v>
      </c>
      <c r="E98" t="s">
        <v>1706</v>
      </c>
      <c r="F98" t="s">
        <v>11</v>
      </c>
      <c r="G98" t="s">
        <v>1896</v>
      </c>
      <c r="H98" t="s">
        <v>1750</v>
      </c>
      <c r="I98">
        <v>500</v>
      </c>
      <c r="J98">
        <v>3</v>
      </c>
      <c r="K98" t="s">
        <v>1691</v>
      </c>
      <c r="L98" t="s">
        <v>1692</v>
      </c>
      <c r="M98" t="s">
        <v>1693</v>
      </c>
      <c r="S98">
        <v>56.31</v>
      </c>
      <c r="T98" t="s">
        <v>1118</v>
      </c>
      <c r="W98">
        <v>37.76</v>
      </c>
      <c r="X98" t="s">
        <v>1118</v>
      </c>
      <c r="Y98">
        <v>0.43</v>
      </c>
      <c r="Z98" t="s">
        <v>1118</v>
      </c>
      <c r="AA98">
        <f t="shared" si="1"/>
        <v>87.813953488372093</v>
      </c>
      <c r="AB98">
        <v>2.91</v>
      </c>
      <c r="AC98" t="s">
        <v>1118</v>
      </c>
      <c r="AD98">
        <v>7.6999999999999999E-2</v>
      </c>
      <c r="AE98">
        <v>17.559999999999999</v>
      </c>
      <c r="AF98" t="s">
        <v>1118</v>
      </c>
      <c r="AG98">
        <v>9.8699999999999992</v>
      </c>
      <c r="AP98">
        <v>3.55</v>
      </c>
      <c r="AQ98" t="s">
        <v>1741</v>
      </c>
      <c r="AR98">
        <v>122.79</v>
      </c>
      <c r="AS98" t="s">
        <v>1884</v>
      </c>
      <c r="AT98" t="s">
        <v>1885</v>
      </c>
      <c r="AU98" t="s">
        <v>1886</v>
      </c>
      <c r="BH98">
        <v>0</v>
      </c>
      <c r="BI98" t="s">
        <v>1118</v>
      </c>
    </row>
    <row r="99" spans="1:61">
      <c r="B99" t="s">
        <v>1897</v>
      </c>
      <c r="C99" t="s">
        <v>1898</v>
      </c>
      <c r="D99" t="s">
        <v>1705</v>
      </c>
      <c r="E99" t="s">
        <v>1706</v>
      </c>
      <c r="F99" t="s">
        <v>11</v>
      </c>
      <c r="G99" t="s">
        <v>1899</v>
      </c>
      <c r="H99" t="s">
        <v>1842</v>
      </c>
      <c r="I99">
        <v>500</v>
      </c>
      <c r="J99">
        <v>3</v>
      </c>
      <c r="K99" t="s">
        <v>1691</v>
      </c>
      <c r="L99" t="s">
        <v>1692</v>
      </c>
      <c r="M99" t="s">
        <v>1693</v>
      </c>
      <c r="S99">
        <v>47.67</v>
      </c>
      <c r="T99" t="s">
        <v>1118</v>
      </c>
      <c r="W99">
        <v>26.68</v>
      </c>
      <c r="X99" t="s">
        <v>1118</v>
      </c>
      <c r="Y99">
        <v>1.76</v>
      </c>
      <c r="Z99" t="s">
        <v>1118</v>
      </c>
      <c r="AA99">
        <f t="shared" si="1"/>
        <v>15.159090909090908</v>
      </c>
      <c r="AB99">
        <v>1.43</v>
      </c>
      <c r="AC99" t="s">
        <v>1118</v>
      </c>
      <c r="AD99">
        <v>5.3999999999999999E-2</v>
      </c>
      <c r="AE99">
        <v>8.9</v>
      </c>
      <c r="AF99" t="s">
        <v>1118</v>
      </c>
      <c r="AG99">
        <v>7.78</v>
      </c>
      <c r="AP99">
        <v>9.43</v>
      </c>
      <c r="AQ99" t="s">
        <v>1741</v>
      </c>
      <c r="AR99">
        <v>5.72</v>
      </c>
      <c r="AS99" t="s">
        <v>1884</v>
      </c>
      <c r="AT99" t="s">
        <v>1885</v>
      </c>
      <c r="AU99" t="s">
        <v>1886</v>
      </c>
      <c r="BH99">
        <v>0</v>
      </c>
      <c r="BI99" t="s">
        <v>1118</v>
      </c>
    </row>
    <row r="100" spans="1:61">
      <c r="B100" t="s">
        <v>1900</v>
      </c>
      <c r="C100" t="s">
        <v>1901</v>
      </c>
      <c r="D100" t="s">
        <v>1705</v>
      </c>
      <c r="E100" t="s">
        <v>1706</v>
      </c>
      <c r="F100" t="s">
        <v>11</v>
      </c>
      <c r="G100" t="s">
        <v>1902</v>
      </c>
      <c r="H100" t="s">
        <v>1890</v>
      </c>
      <c r="I100">
        <v>500</v>
      </c>
      <c r="J100">
        <v>3</v>
      </c>
      <c r="K100" t="s">
        <v>1691</v>
      </c>
      <c r="L100" t="s">
        <v>1692</v>
      </c>
      <c r="M100" t="s">
        <v>1693</v>
      </c>
      <c r="S100">
        <v>63.21</v>
      </c>
      <c r="T100" t="s">
        <v>1118</v>
      </c>
      <c r="W100">
        <v>60.53</v>
      </c>
      <c r="X100" t="s">
        <v>1118</v>
      </c>
      <c r="Y100">
        <v>0.77</v>
      </c>
      <c r="Z100" t="s">
        <v>1118</v>
      </c>
      <c r="AA100">
        <f t="shared" si="1"/>
        <v>78.610389610389603</v>
      </c>
      <c r="AB100">
        <v>1.33</v>
      </c>
      <c r="AC100" t="s">
        <v>1118</v>
      </c>
      <c r="AD100">
        <v>2.1999999999999999E-2</v>
      </c>
      <c r="AE100">
        <v>6.13</v>
      </c>
      <c r="AF100" t="s">
        <v>1118</v>
      </c>
      <c r="AG100">
        <v>9.94</v>
      </c>
      <c r="AP100">
        <v>3.27</v>
      </c>
      <c r="AQ100" t="s">
        <v>1741</v>
      </c>
      <c r="AR100">
        <v>145.65</v>
      </c>
      <c r="AS100" t="s">
        <v>1884</v>
      </c>
      <c r="AT100" t="s">
        <v>1885</v>
      </c>
      <c r="AU100" t="s">
        <v>1886</v>
      </c>
      <c r="BH100">
        <v>0</v>
      </c>
      <c r="BI100" t="s">
        <v>1118</v>
      </c>
    </row>
    <row r="101" spans="1:61">
      <c r="B101" t="s">
        <v>1903</v>
      </c>
      <c r="C101" t="s">
        <v>1904</v>
      </c>
      <c r="D101" t="s">
        <v>1705</v>
      </c>
      <c r="E101" t="s">
        <v>1706</v>
      </c>
      <c r="F101" t="s">
        <v>11</v>
      </c>
      <c r="G101" t="s">
        <v>1905</v>
      </c>
      <c r="H101" t="s">
        <v>1893</v>
      </c>
      <c r="I101">
        <v>400</v>
      </c>
      <c r="J101">
        <v>3</v>
      </c>
      <c r="K101" t="s">
        <v>1691</v>
      </c>
      <c r="L101" t="s">
        <v>1692</v>
      </c>
      <c r="M101" t="s">
        <v>1693</v>
      </c>
      <c r="S101">
        <v>75.44</v>
      </c>
      <c r="T101" t="s">
        <v>1118</v>
      </c>
      <c r="W101">
        <v>75.5</v>
      </c>
      <c r="X101" t="s">
        <v>1118</v>
      </c>
      <c r="Y101">
        <v>0.16</v>
      </c>
      <c r="Z101" t="s">
        <v>1118</v>
      </c>
      <c r="AA101">
        <f t="shared" si="1"/>
        <v>471.875</v>
      </c>
      <c r="AB101">
        <v>1.19</v>
      </c>
      <c r="AC101" t="s">
        <v>1118</v>
      </c>
      <c r="AD101">
        <v>1.6E-2</v>
      </c>
      <c r="AE101">
        <v>3.32</v>
      </c>
      <c r="AF101" t="s">
        <v>1118</v>
      </c>
      <c r="AG101">
        <v>7.92</v>
      </c>
      <c r="AP101">
        <v>8.57</v>
      </c>
      <c r="AQ101" t="s">
        <v>1741</v>
      </c>
      <c r="AR101">
        <v>44.62</v>
      </c>
      <c r="AS101" t="s">
        <v>1884</v>
      </c>
      <c r="AT101" t="s">
        <v>1885</v>
      </c>
      <c r="AU101" t="s">
        <v>1886</v>
      </c>
      <c r="BH101">
        <v>1.19</v>
      </c>
      <c r="BI101" t="s">
        <v>1118</v>
      </c>
    </row>
    <row r="102" spans="1:61">
      <c r="A102" t="s">
        <v>910</v>
      </c>
      <c r="B102" t="s">
        <v>1906</v>
      </c>
      <c r="C102" t="s">
        <v>1907</v>
      </c>
      <c r="F102" t="s">
        <v>7</v>
      </c>
    </row>
    <row r="103" spans="1:61">
      <c r="B103" t="s">
        <v>1908</v>
      </c>
      <c r="C103" t="s">
        <v>1800</v>
      </c>
      <c r="D103" t="s">
        <v>1763</v>
      </c>
      <c r="E103" t="s">
        <v>1721</v>
      </c>
      <c r="F103" t="s">
        <v>11</v>
      </c>
      <c r="G103" t="s">
        <v>1783</v>
      </c>
      <c r="J103">
        <v>40</v>
      </c>
      <c r="K103" t="s">
        <v>1104</v>
      </c>
      <c r="L103" t="s">
        <v>1692</v>
      </c>
      <c r="M103" t="s">
        <v>1693</v>
      </c>
      <c r="W103">
        <v>48.4</v>
      </c>
      <c r="X103" t="s">
        <v>1118</v>
      </c>
      <c r="Y103">
        <v>1.52</v>
      </c>
      <c r="Z103" t="s">
        <v>1118</v>
      </c>
      <c r="AG103">
        <v>4.8</v>
      </c>
      <c r="AH103" t="s">
        <v>1277</v>
      </c>
      <c r="AI103" t="s">
        <v>1909</v>
      </c>
    </row>
    <row r="104" spans="1:61">
      <c r="B104" t="s">
        <v>1910</v>
      </c>
      <c r="C104" t="s">
        <v>1911</v>
      </c>
      <c r="D104" t="s">
        <v>1688</v>
      </c>
      <c r="E104" t="s">
        <v>1688</v>
      </c>
      <c r="F104" t="s">
        <v>11</v>
      </c>
      <c r="G104" t="s">
        <v>1912</v>
      </c>
      <c r="J104">
        <v>40</v>
      </c>
      <c r="K104" t="s">
        <v>1104</v>
      </c>
      <c r="L104" t="s">
        <v>1692</v>
      </c>
      <c r="M104" t="s">
        <v>1693</v>
      </c>
      <c r="W104">
        <v>28.6</v>
      </c>
      <c r="X104" t="s">
        <v>1118</v>
      </c>
      <c r="Y104">
        <v>2.38</v>
      </c>
      <c r="Z104" t="s">
        <v>1118</v>
      </c>
      <c r="AG104">
        <v>9.6999999999999993</v>
      </c>
      <c r="AH104" t="s">
        <v>1277</v>
      </c>
      <c r="AI104" t="s">
        <v>1909</v>
      </c>
    </row>
    <row r="105" spans="1:61">
      <c r="B105" t="s">
        <v>1913</v>
      </c>
      <c r="C105" t="s">
        <v>1704</v>
      </c>
      <c r="D105" t="s">
        <v>1705</v>
      </c>
      <c r="E105" t="s">
        <v>1706</v>
      </c>
      <c r="F105" t="s">
        <v>11</v>
      </c>
      <c r="G105" t="s">
        <v>1783</v>
      </c>
      <c r="H105" t="s">
        <v>1783</v>
      </c>
      <c r="J105">
        <v>40</v>
      </c>
      <c r="K105" t="s">
        <v>1104</v>
      </c>
      <c r="L105" t="s">
        <v>1692</v>
      </c>
      <c r="M105" t="s">
        <v>1693</v>
      </c>
      <c r="W105">
        <v>23</v>
      </c>
      <c r="X105" t="s">
        <v>1118</v>
      </c>
      <c r="Y105">
        <v>1.33</v>
      </c>
      <c r="Z105" t="s">
        <v>1118</v>
      </c>
      <c r="AG105">
        <v>9.5</v>
      </c>
      <c r="AH105" t="s">
        <v>1277</v>
      </c>
      <c r="AI105" t="s">
        <v>1909</v>
      </c>
    </row>
    <row r="106" spans="1:61">
      <c r="A106" t="s">
        <v>902</v>
      </c>
      <c r="B106" t="s">
        <v>1914</v>
      </c>
      <c r="F106" t="s">
        <v>7</v>
      </c>
    </row>
    <row r="107" spans="1:61">
      <c r="B107" t="s">
        <v>1915</v>
      </c>
      <c r="C107" t="s">
        <v>1704</v>
      </c>
      <c r="D107" t="s">
        <v>1705</v>
      </c>
      <c r="E107" t="s">
        <v>1706</v>
      </c>
      <c r="F107" t="s">
        <v>11</v>
      </c>
      <c r="G107" t="s">
        <v>1916</v>
      </c>
      <c r="H107" t="s">
        <v>1917</v>
      </c>
      <c r="I107">
        <v>550</v>
      </c>
      <c r="J107">
        <v>2.5</v>
      </c>
      <c r="K107" t="s">
        <v>1118</v>
      </c>
      <c r="L107" t="s">
        <v>1692</v>
      </c>
      <c r="M107" t="s">
        <v>1693</v>
      </c>
      <c r="U107">
        <v>4.5</v>
      </c>
      <c r="V107" t="s">
        <v>1118</v>
      </c>
      <c r="W107">
        <v>755</v>
      </c>
      <c r="X107" t="s">
        <v>1104</v>
      </c>
      <c r="AG107">
        <v>9.9</v>
      </c>
      <c r="AH107" t="s">
        <v>1277</v>
      </c>
      <c r="AI107" t="s">
        <v>1694</v>
      </c>
      <c r="AJ107">
        <v>9.9</v>
      </c>
      <c r="AK107" t="s">
        <v>1118</v>
      </c>
      <c r="AX107">
        <v>2.23</v>
      </c>
      <c r="AY107" t="s">
        <v>1164</v>
      </c>
    </row>
    <row r="108" spans="1:61">
      <c r="B108" t="s">
        <v>1918</v>
      </c>
      <c r="C108" t="s">
        <v>1919</v>
      </c>
      <c r="D108" t="s">
        <v>1848</v>
      </c>
      <c r="E108" t="s">
        <v>1920</v>
      </c>
      <c r="F108" t="s">
        <v>11</v>
      </c>
      <c r="G108" t="s">
        <v>1921</v>
      </c>
      <c r="J108">
        <v>2.5</v>
      </c>
      <c r="K108" t="s">
        <v>1118</v>
      </c>
      <c r="L108" t="s">
        <v>1692</v>
      </c>
      <c r="M108" t="s">
        <v>1693</v>
      </c>
      <c r="U108">
        <v>7</v>
      </c>
      <c r="V108" t="s">
        <v>1118</v>
      </c>
      <c r="W108">
        <v>615</v>
      </c>
      <c r="X108" t="s">
        <v>1104</v>
      </c>
      <c r="AG108">
        <v>6.6</v>
      </c>
      <c r="AH108" t="s">
        <v>1277</v>
      </c>
      <c r="AI108" t="s">
        <v>1694</v>
      </c>
      <c r="AJ108">
        <v>12.5</v>
      </c>
      <c r="AK108" t="s">
        <v>1118</v>
      </c>
      <c r="AX108">
        <v>1.03</v>
      </c>
      <c r="AY108" t="s">
        <v>1164</v>
      </c>
    </row>
    <row r="109" spans="1:61">
      <c r="B109" t="s">
        <v>1922</v>
      </c>
      <c r="C109" t="s">
        <v>1696</v>
      </c>
      <c r="D109" t="s">
        <v>1688</v>
      </c>
      <c r="E109" t="s">
        <v>1688</v>
      </c>
      <c r="F109" t="s">
        <v>11</v>
      </c>
      <c r="G109" t="s">
        <v>1923</v>
      </c>
      <c r="J109">
        <v>2.5</v>
      </c>
      <c r="K109" t="s">
        <v>1118</v>
      </c>
      <c r="L109" t="s">
        <v>1692</v>
      </c>
      <c r="M109" t="s">
        <v>1693</v>
      </c>
      <c r="U109">
        <v>24</v>
      </c>
      <c r="V109" t="s">
        <v>1118</v>
      </c>
      <c r="W109">
        <v>270</v>
      </c>
      <c r="X109" t="s">
        <v>1104</v>
      </c>
      <c r="AG109">
        <v>7.8</v>
      </c>
      <c r="AH109" t="s">
        <v>1277</v>
      </c>
      <c r="AI109" t="s">
        <v>1694</v>
      </c>
      <c r="AX109">
        <v>1.23</v>
      </c>
      <c r="AY109" t="s">
        <v>1164</v>
      </c>
    </row>
    <row r="110" spans="1:61">
      <c r="A110" t="s">
        <v>883</v>
      </c>
      <c r="B110" t="s">
        <v>1924</v>
      </c>
      <c r="F110" t="s">
        <v>7</v>
      </c>
    </row>
    <row r="111" spans="1:61">
      <c r="B111" t="s">
        <v>1925</v>
      </c>
      <c r="C111" t="s">
        <v>1729</v>
      </c>
      <c r="D111" t="s">
        <v>1705</v>
      </c>
      <c r="E111" t="s">
        <v>1706</v>
      </c>
      <c r="F111" t="s">
        <v>11</v>
      </c>
      <c r="G111" t="s">
        <v>1926</v>
      </c>
      <c r="H111" t="s">
        <v>1926</v>
      </c>
      <c r="I111">
        <v>350</v>
      </c>
      <c r="J111">
        <v>0.1</v>
      </c>
      <c r="K111" t="s">
        <v>1118</v>
      </c>
      <c r="L111" t="s">
        <v>1692</v>
      </c>
      <c r="M111" t="s">
        <v>1693</v>
      </c>
      <c r="N111">
        <v>10</v>
      </c>
      <c r="W111">
        <v>48.7</v>
      </c>
      <c r="X111" t="s">
        <v>1118</v>
      </c>
      <c r="Y111">
        <v>0.83199999999999996</v>
      </c>
      <c r="Z111" t="s">
        <v>1118</v>
      </c>
      <c r="AA111">
        <v>58.51</v>
      </c>
      <c r="AG111">
        <v>8.6</v>
      </c>
      <c r="AH111" t="s">
        <v>1277</v>
      </c>
      <c r="AI111" t="s">
        <v>1694</v>
      </c>
      <c r="AJ111">
        <v>5</v>
      </c>
      <c r="AK111" t="s">
        <v>1118</v>
      </c>
      <c r="AR111">
        <v>17</v>
      </c>
      <c r="AS111" t="s">
        <v>1733</v>
      </c>
    </row>
    <row r="112" spans="1:61">
      <c r="B112" t="s">
        <v>1927</v>
      </c>
      <c r="C112" t="s">
        <v>1729</v>
      </c>
      <c r="D112" t="s">
        <v>1705</v>
      </c>
      <c r="E112" t="s">
        <v>1706</v>
      </c>
      <c r="F112" t="s">
        <v>11</v>
      </c>
      <c r="G112" t="s">
        <v>1926</v>
      </c>
      <c r="H112" t="s">
        <v>1926</v>
      </c>
      <c r="I112">
        <v>350</v>
      </c>
      <c r="J112">
        <v>0.5</v>
      </c>
      <c r="K112" t="s">
        <v>1118</v>
      </c>
      <c r="L112" t="s">
        <v>1692</v>
      </c>
      <c r="M112" t="s">
        <v>1693</v>
      </c>
      <c r="N112">
        <v>10</v>
      </c>
      <c r="W112">
        <v>48.7</v>
      </c>
      <c r="X112" t="s">
        <v>1118</v>
      </c>
      <c r="Y112">
        <v>0.83199999999999996</v>
      </c>
      <c r="Z112" t="s">
        <v>1118</v>
      </c>
      <c r="AA112">
        <v>58.51</v>
      </c>
      <c r="AG112">
        <v>8.6</v>
      </c>
      <c r="AH112" t="s">
        <v>1277</v>
      </c>
      <c r="AI112" t="s">
        <v>1694</v>
      </c>
      <c r="AJ112">
        <v>5</v>
      </c>
      <c r="AK112" t="s">
        <v>1118</v>
      </c>
      <c r="AR112">
        <v>17</v>
      </c>
      <c r="AS112" t="s">
        <v>1733</v>
      </c>
    </row>
    <row r="113" spans="2:45">
      <c r="B113" t="s">
        <v>1928</v>
      </c>
      <c r="C113" t="s">
        <v>1729</v>
      </c>
      <c r="D113" t="s">
        <v>1705</v>
      </c>
      <c r="E113" t="s">
        <v>1706</v>
      </c>
      <c r="F113" t="s">
        <v>11</v>
      </c>
      <c r="G113" t="s">
        <v>1926</v>
      </c>
      <c r="H113" t="s">
        <v>1926</v>
      </c>
      <c r="I113">
        <v>350</v>
      </c>
      <c r="J113">
        <v>1</v>
      </c>
      <c r="K113" t="s">
        <v>1118</v>
      </c>
      <c r="L113" t="s">
        <v>1692</v>
      </c>
      <c r="M113" t="s">
        <v>1693</v>
      </c>
      <c r="N113">
        <v>10</v>
      </c>
      <c r="W113">
        <v>48.7</v>
      </c>
      <c r="X113" t="s">
        <v>1118</v>
      </c>
      <c r="Y113">
        <v>0.83199999999999996</v>
      </c>
      <c r="Z113" t="s">
        <v>1118</v>
      </c>
      <c r="AA113">
        <v>58.51</v>
      </c>
      <c r="AG113">
        <v>8.6</v>
      </c>
      <c r="AH113" t="s">
        <v>1277</v>
      </c>
      <c r="AI113" t="s">
        <v>1694</v>
      </c>
      <c r="AJ113">
        <v>5</v>
      </c>
      <c r="AK113" t="s">
        <v>1118</v>
      </c>
      <c r="AR113">
        <v>17</v>
      </c>
      <c r="AS113" t="s">
        <v>1733</v>
      </c>
    </row>
    <row r="114" spans="2:45">
      <c r="B114" t="s">
        <v>1929</v>
      </c>
      <c r="C114" t="s">
        <v>1729</v>
      </c>
      <c r="D114" t="s">
        <v>1705</v>
      </c>
      <c r="E114" t="s">
        <v>1706</v>
      </c>
      <c r="F114" t="s">
        <v>11</v>
      </c>
      <c r="G114" t="s">
        <v>1926</v>
      </c>
      <c r="H114" t="s">
        <v>1926</v>
      </c>
      <c r="I114">
        <v>350</v>
      </c>
      <c r="J114">
        <v>1.5</v>
      </c>
      <c r="K114" t="s">
        <v>1118</v>
      </c>
      <c r="L114" t="s">
        <v>1692</v>
      </c>
      <c r="M114" t="s">
        <v>1693</v>
      </c>
      <c r="N114">
        <v>10</v>
      </c>
      <c r="W114">
        <v>48.7</v>
      </c>
      <c r="X114" t="s">
        <v>1118</v>
      </c>
      <c r="Y114">
        <v>0.83199999999999996</v>
      </c>
      <c r="Z114" t="s">
        <v>1118</v>
      </c>
      <c r="AA114">
        <v>58.51</v>
      </c>
      <c r="AG114">
        <v>8.6</v>
      </c>
      <c r="AH114" t="s">
        <v>1277</v>
      </c>
      <c r="AI114" t="s">
        <v>1694</v>
      </c>
      <c r="AJ114">
        <v>5</v>
      </c>
      <c r="AK114" t="s">
        <v>1118</v>
      </c>
      <c r="AR114">
        <v>17</v>
      </c>
      <c r="AS114" t="s">
        <v>1733</v>
      </c>
    </row>
    <row r="115" spans="2:45">
      <c r="B115" t="s">
        <v>1930</v>
      </c>
      <c r="C115" t="s">
        <v>1729</v>
      </c>
      <c r="D115" t="s">
        <v>1705</v>
      </c>
      <c r="E115" t="s">
        <v>1706</v>
      </c>
      <c r="F115" t="s">
        <v>11</v>
      </c>
      <c r="G115" t="s">
        <v>1926</v>
      </c>
      <c r="H115" t="s">
        <v>1926</v>
      </c>
      <c r="I115">
        <v>350</v>
      </c>
      <c r="J115">
        <v>5</v>
      </c>
      <c r="K115" t="s">
        <v>1118</v>
      </c>
      <c r="L115" t="s">
        <v>1692</v>
      </c>
      <c r="M115" t="s">
        <v>1693</v>
      </c>
      <c r="N115">
        <v>10</v>
      </c>
      <c r="W115">
        <v>48.7</v>
      </c>
      <c r="X115" t="s">
        <v>1118</v>
      </c>
      <c r="Y115">
        <v>0.83199999999999996</v>
      </c>
      <c r="Z115" t="s">
        <v>1118</v>
      </c>
      <c r="AA115">
        <v>58.51</v>
      </c>
      <c r="AG115">
        <v>8.6</v>
      </c>
      <c r="AH115" t="s">
        <v>1277</v>
      </c>
      <c r="AI115" t="s">
        <v>1694</v>
      </c>
      <c r="AJ115">
        <v>5</v>
      </c>
      <c r="AK115" t="s">
        <v>1118</v>
      </c>
      <c r="AR115">
        <v>17</v>
      </c>
      <c r="AS115" t="s">
        <v>1733</v>
      </c>
    </row>
    <row r="116" spans="2:45">
      <c r="B116" t="s">
        <v>1931</v>
      </c>
      <c r="C116" t="s">
        <v>1729</v>
      </c>
      <c r="D116" t="s">
        <v>1705</v>
      </c>
      <c r="E116" t="s">
        <v>1706</v>
      </c>
      <c r="F116" t="s">
        <v>11</v>
      </c>
      <c r="G116" t="s">
        <v>1926</v>
      </c>
      <c r="H116" t="s">
        <v>1926</v>
      </c>
      <c r="I116">
        <v>350</v>
      </c>
      <c r="J116">
        <v>10</v>
      </c>
      <c r="K116" t="s">
        <v>1118</v>
      </c>
      <c r="L116" t="s">
        <v>1692</v>
      </c>
      <c r="M116" t="s">
        <v>1693</v>
      </c>
      <c r="N116">
        <v>10</v>
      </c>
      <c r="W116">
        <v>48.7</v>
      </c>
      <c r="X116" t="s">
        <v>1118</v>
      </c>
      <c r="Y116">
        <v>0.83199999999999996</v>
      </c>
      <c r="Z116" t="s">
        <v>1118</v>
      </c>
      <c r="AA116">
        <v>58.51</v>
      </c>
      <c r="AG116">
        <v>8.6</v>
      </c>
      <c r="AH116" t="s">
        <v>1277</v>
      </c>
      <c r="AI116" t="s">
        <v>1694</v>
      </c>
      <c r="AJ116">
        <v>5</v>
      </c>
      <c r="AK116" t="s">
        <v>1118</v>
      </c>
      <c r="AR116">
        <v>17</v>
      </c>
      <c r="AS116" t="s">
        <v>1733</v>
      </c>
    </row>
    <row r="117" spans="2:45">
      <c r="B117" t="s">
        <v>1932</v>
      </c>
      <c r="C117" t="s">
        <v>1933</v>
      </c>
      <c r="D117" t="s">
        <v>1705</v>
      </c>
      <c r="E117" t="s">
        <v>1706</v>
      </c>
      <c r="F117" t="s">
        <v>11</v>
      </c>
      <c r="G117" t="s">
        <v>1926</v>
      </c>
      <c r="H117" t="s">
        <v>1926</v>
      </c>
      <c r="I117">
        <v>550</v>
      </c>
      <c r="J117">
        <v>0.1</v>
      </c>
      <c r="K117" t="s">
        <v>1118</v>
      </c>
      <c r="L117" t="s">
        <v>1692</v>
      </c>
      <c r="M117" t="s">
        <v>1693</v>
      </c>
      <c r="N117">
        <v>10</v>
      </c>
      <c r="W117">
        <v>49.1</v>
      </c>
      <c r="X117" t="s">
        <v>1118</v>
      </c>
      <c r="Y117">
        <v>0.64700000000000002</v>
      </c>
      <c r="Z117" t="s">
        <v>1118</v>
      </c>
      <c r="AA117">
        <v>75.83</v>
      </c>
      <c r="AG117">
        <v>9.3000000000000007</v>
      </c>
      <c r="AH117" t="s">
        <v>1277</v>
      </c>
      <c r="AI117" t="s">
        <v>1694</v>
      </c>
      <c r="AJ117">
        <v>10.3</v>
      </c>
      <c r="AK117" t="s">
        <v>1118</v>
      </c>
      <c r="AR117">
        <v>129</v>
      </c>
      <c r="AS117" t="s">
        <v>1733</v>
      </c>
    </row>
    <row r="118" spans="2:45">
      <c r="B118" t="s">
        <v>1934</v>
      </c>
      <c r="C118" t="s">
        <v>1933</v>
      </c>
      <c r="D118" t="s">
        <v>1705</v>
      </c>
      <c r="E118" t="s">
        <v>1706</v>
      </c>
      <c r="F118" t="s">
        <v>11</v>
      </c>
      <c r="G118" t="s">
        <v>1926</v>
      </c>
      <c r="H118" t="s">
        <v>1926</v>
      </c>
      <c r="I118">
        <v>550</v>
      </c>
      <c r="J118">
        <v>0.5</v>
      </c>
      <c r="K118" t="s">
        <v>1118</v>
      </c>
      <c r="L118" t="s">
        <v>1692</v>
      </c>
      <c r="M118" t="s">
        <v>1693</v>
      </c>
      <c r="N118">
        <v>10</v>
      </c>
      <c r="W118">
        <v>49.1</v>
      </c>
      <c r="X118" t="s">
        <v>1118</v>
      </c>
      <c r="Y118">
        <v>0.64700000000000002</v>
      </c>
      <c r="Z118" t="s">
        <v>1118</v>
      </c>
      <c r="AA118">
        <v>75.83</v>
      </c>
      <c r="AG118">
        <v>9.3000000000000007</v>
      </c>
      <c r="AH118" t="s">
        <v>1277</v>
      </c>
      <c r="AI118" t="s">
        <v>1694</v>
      </c>
      <c r="AJ118">
        <v>10.3</v>
      </c>
      <c r="AK118" t="s">
        <v>1118</v>
      </c>
      <c r="AR118">
        <v>129</v>
      </c>
      <c r="AS118" t="s">
        <v>1733</v>
      </c>
    </row>
    <row r="119" spans="2:45">
      <c r="B119" t="s">
        <v>1935</v>
      </c>
      <c r="C119" t="s">
        <v>1933</v>
      </c>
      <c r="D119" t="s">
        <v>1705</v>
      </c>
      <c r="E119" t="s">
        <v>1706</v>
      </c>
      <c r="F119" t="s">
        <v>11</v>
      </c>
      <c r="G119" t="s">
        <v>1926</v>
      </c>
      <c r="H119" t="s">
        <v>1926</v>
      </c>
      <c r="I119">
        <v>550</v>
      </c>
      <c r="J119">
        <v>1</v>
      </c>
      <c r="K119" t="s">
        <v>1118</v>
      </c>
      <c r="L119" t="s">
        <v>1692</v>
      </c>
      <c r="M119" t="s">
        <v>1693</v>
      </c>
      <c r="N119">
        <v>10</v>
      </c>
      <c r="W119">
        <v>49.1</v>
      </c>
      <c r="X119" t="s">
        <v>1118</v>
      </c>
      <c r="Y119">
        <v>0.64700000000000002</v>
      </c>
      <c r="Z119" t="s">
        <v>1118</v>
      </c>
      <c r="AA119">
        <v>75.83</v>
      </c>
      <c r="AG119">
        <v>9.3000000000000007</v>
      </c>
      <c r="AH119" t="s">
        <v>1277</v>
      </c>
      <c r="AI119" t="s">
        <v>1694</v>
      </c>
      <c r="AJ119">
        <v>10.3</v>
      </c>
      <c r="AK119" t="s">
        <v>1118</v>
      </c>
      <c r="AR119">
        <v>129</v>
      </c>
      <c r="AS119" t="s">
        <v>1733</v>
      </c>
    </row>
    <row r="120" spans="2:45">
      <c r="B120" t="s">
        <v>1936</v>
      </c>
      <c r="C120" t="s">
        <v>1933</v>
      </c>
      <c r="D120" t="s">
        <v>1705</v>
      </c>
      <c r="E120" t="s">
        <v>1706</v>
      </c>
      <c r="F120" t="s">
        <v>11</v>
      </c>
      <c r="G120" t="s">
        <v>1926</v>
      </c>
      <c r="H120" t="s">
        <v>1926</v>
      </c>
      <c r="I120">
        <v>550</v>
      </c>
      <c r="J120">
        <v>1.5</v>
      </c>
      <c r="K120" t="s">
        <v>1118</v>
      </c>
      <c r="L120" t="s">
        <v>1692</v>
      </c>
      <c r="M120" t="s">
        <v>1693</v>
      </c>
      <c r="N120">
        <v>10</v>
      </c>
      <c r="W120">
        <v>49.1</v>
      </c>
      <c r="X120" t="s">
        <v>1118</v>
      </c>
      <c r="Y120">
        <v>0.64700000000000002</v>
      </c>
      <c r="Z120" t="s">
        <v>1118</v>
      </c>
      <c r="AA120">
        <v>75.83</v>
      </c>
      <c r="AG120">
        <v>9.3000000000000007</v>
      </c>
      <c r="AH120" t="s">
        <v>1277</v>
      </c>
      <c r="AI120" t="s">
        <v>1694</v>
      </c>
      <c r="AJ120">
        <v>10.3</v>
      </c>
      <c r="AK120" t="s">
        <v>1118</v>
      </c>
      <c r="AR120">
        <v>129</v>
      </c>
      <c r="AS120" t="s">
        <v>1733</v>
      </c>
    </row>
    <row r="121" spans="2:45">
      <c r="B121" t="s">
        <v>1937</v>
      </c>
      <c r="C121" t="s">
        <v>1933</v>
      </c>
      <c r="D121" t="s">
        <v>1705</v>
      </c>
      <c r="E121" t="s">
        <v>1706</v>
      </c>
      <c r="F121" t="s">
        <v>11</v>
      </c>
      <c r="G121" t="s">
        <v>1926</v>
      </c>
      <c r="H121" t="s">
        <v>1926</v>
      </c>
      <c r="I121">
        <v>550</v>
      </c>
      <c r="J121">
        <v>5</v>
      </c>
      <c r="K121" t="s">
        <v>1118</v>
      </c>
      <c r="L121" t="s">
        <v>1692</v>
      </c>
      <c r="M121" t="s">
        <v>1693</v>
      </c>
      <c r="N121">
        <v>10</v>
      </c>
      <c r="W121">
        <v>49.1</v>
      </c>
      <c r="X121" t="s">
        <v>1118</v>
      </c>
      <c r="Y121">
        <v>0.64700000000000002</v>
      </c>
      <c r="Z121" t="s">
        <v>1118</v>
      </c>
      <c r="AA121">
        <v>75.83</v>
      </c>
      <c r="AG121">
        <v>9.3000000000000007</v>
      </c>
      <c r="AH121" t="s">
        <v>1277</v>
      </c>
      <c r="AI121" t="s">
        <v>1694</v>
      </c>
      <c r="AJ121">
        <v>10.3</v>
      </c>
      <c r="AK121" t="s">
        <v>1118</v>
      </c>
      <c r="AR121">
        <v>129</v>
      </c>
      <c r="AS121" t="s">
        <v>1733</v>
      </c>
    </row>
    <row r="122" spans="2:45">
      <c r="B122" t="s">
        <v>1938</v>
      </c>
      <c r="C122" t="s">
        <v>1933</v>
      </c>
      <c r="D122" t="s">
        <v>1705</v>
      </c>
      <c r="E122" t="s">
        <v>1706</v>
      </c>
      <c r="F122" t="s">
        <v>11</v>
      </c>
      <c r="G122" t="s">
        <v>1926</v>
      </c>
      <c r="H122" t="s">
        <v>1926</v>
      </c>
      <c r="I122">
        <v>550</v>
      </c>
      <c r="J122">
        <v>10</v>
      </c>
      <c r="K122" t="s">
        <v>1118</v>
      </c>
      <c r="L122" t="s">
        <v>1692</v>
      </c>
      <c r="M122" t="s">
        <v>1693</v>
      </c>
      <c r="N122">
        <v>10</v>
      </c>
      <c r="W122">
        <v>49.1</v>
      </c>
      <c r="X122" t="s">
        <v>1118</v>
      </c>
      <c r="Y122">
        <v>0.64700000000000002</v>
      </c>
      <c r="Z122" t="s">
        <v>1118</v>
      </c>
      <c r="AA122">
        <v>75.83</v>
      </c>
      <c r="AG122">
        <v>9.3000000000000007</v>
      </c>
      <c r="AH122" t="s">
        <v>1277</v>
      </c>
      <c r="AI122" t="s">
        <v>1694</v>
      </c>
      <c r="AJ122">
        <v>10.3</v>
      </c>
      <c r="AK122" t="s">
        <v>1118</v>
      </c>
      <c r="AR122">
        <v>129</v>
      </c>
      <c r="AS122" t="s">
        <v>1733</v>
      </c>
    </row>
    <row r="123" spans="2:45">
      <c r="B123" t="s">
        <v>1939</v>
      </c>
      <c r="C123" t="s">
        <v>1940</v>
      </c>
      <c r="D123" t="s">
        <v>1705</v>
      </c>
      <c r="E123" t="s">
        <v>1706</v>
      </c>
      <c r="F123" t="s">
        <v>11</v>
      </c>
      <c r="G123" t="s">
        <v>1926</v>
      </c>
      <c r="H123" t="s">
        <v>1926</v>
      </c>
      <c r="I123">
        <v>750</v>
      </c>
      <c r="J123">
        <v>0.1</v>
      </c>
      <c r="K123" t="s">
        <v>1118</v>
      </c>
      <c r="L123" t="s">
        <v>1692</v>
      </c>
      <c r="M123" t="s">
        <v>1693</v>
      </c>
      <c r="N123">
        <v>10</v>
      </c>
      <c r="W123">
        <v>59</v>
      </c>
      <c r="X123" t="s">
        <v>1118</v>
      </c>
      <c r="Y123">
        <v>0.40300000000000002</v>
      </c>
      <c r="Z123" t="s">
        <v>1118</v>
      </c>
      <c r="AA123">
        <v>146.36000000000001</v>
      </c>
      <c r="AG123">
        <v>9.8000000000000007</v>
      </c>
      <c r="AH123" t="s">
        <v>1277</v>
      </c>
      <c r="AI123" t="s">
        <v>1694</v>
      </c>
      <c r="AJ123">
        <v>11.6</v>
      </c>
      <c r="AK123" t="s">
        <v>1118</v>
      </c>
      <c r="AR123">
        <v>223</v>
      </c>
      <c r="AS123" t="s">
        <v>1733</v>
      </c>
    </row>
    <row r="124" spans="2:45">
      <c r="B124" t="s">
        <v>1941</v>
      </c>
      <c r="C124" t="s">
        <v>1940</v>
      </c>
      <c r="D124" t="s">
        <v>1705</v>
      </c>
      <c r="E124" t="s">
        <v>1706</v>
      </c>
      <c r="F124" t="s">
        <v>11</v>
      </c>
      <c r="G124" t="s">
        <v>1926</v>
      </c>
      <c r="H124" t="s">
        <v>1926</v>
      </c>
      <c r="I124">
        <v>750</v>
      </c>
      <c r="J124">
        <v>0.5</v>
      </c>
      <c r="K124" t="s">
        <v>1118</v>
      </c>
      <c r="L124" t="s">
        <v>1692</v>
      </c>
      <c r="M124" t="s">
        <v>1693</v>
      </c>
      <c r="N124">
        <v>10</v>
      </c>
      <c r="W124">
        <v>59</v>
      </c>
      <c r="X124" t="s">
        <v>1118</v>
      </c>
      <c r="Y124">
        <v>0.40300000000000002</v>
      </c>
      <c r="Z124" t="s">
        <v>1118</v>
      </c>
      <c r="AA124">
        <v>146.36000000000001</v>
      </c>
      <c r="AG124">
        <v>9.8000000000000007</v>
      </c>
      <c r="AH124" t="s">
        <v>1277</v>
      </c>
      <c r="AI124" t="s">
        <v>1694</v>
      </c>
      <c r="AJ124">
        <v>11.6</v>
      </c>
      <c r="AK124" t="s">
        <v>1118</v>
      </c>
      <c r="AR124">
        <v>223</v>
      </c>
      <c r="AS124" t="s">
        <v>1733</v>
      </c>
    </row>
    <row r="125" spans="2:45">
      <c r="B125" t="s">
        <v>1942</v>
      </c>
      <c r="C125" t="s">
        <v>1940</v>
      </c>
      <c r="D125" t="s">
        <v>1705</v>
      </c>
      <c r="E125" t="s">
        <v>1706</v>
      </c>
      <c r="F125" t="s">
        <v>11</v>
      </c>
      <c r="G125" t="s">
        <v>1926</v>
      </c>
      <c r="H125" t="s">
        <v>1926</v>
      </c>
      <c r="I125">
        <v>750</v>
      </c>
      <c r="J125">
        <v>1</v>
      </c>
      <c r="K125" t="s">
        <v>1118</v>
      </c>
      <c r="L125" t="s">
        <v>1692</v>
      </c>
      <c r="M125" t="s">
        <v>1693</v>
      </c>
      <c r="N125">
        <v>10</v>
      </c>
      <c r="W125">
        <v>59</v>
      </c>
      <c r="X125" t="s">
        <v>1118</v>
      </c>
      <c r="Y125">
        <v>0.40300000000000002</v>
      </c>
      <c r="Z125" t="s">
        <v>1118</v>
      </c>
      <c r="AA125">
        <v>146.36000000000001</v>
      </c>
      <c r="AG125">
        <v>9.8000000000000007</v>
      </c>
      <c r="AH125" t="s">
        <v>1277</v>
      </c>
      <c r="AI125" t="s">
        <v>1694</v>
      </c>
      <c r="AJ125">
        <v>11.6</v>
      </c>
      <c r="AK125" t="s">
        <v>1118</v>
      </c>
      <c r="AR125">
        <v>223</v>
      </c>
      <c r="AS125" t="s">
        <v>1733</v>
      </c>
    </row>
    <row r="126" spans="2:45">
      <c r="B126" t="s">
        <v>1943</v>
      </c>
      <c r="C126" t="s">
        <v>1940</v>
      </c>
      <c r="D126" t="s">
        <v>1705</v>
      </c>
      <c r="E126" t="s">
        <v>1706</v>
      </c>
      <c r="F126" t="s">
        <v>11</v>
      </c>
      <c r="G126" t="s">
        <v>1926</v>
      </c>
      <c r="H126" t="s">
        <v>1926</v>
      </c>
      <c r="I126">
        <v>750</v>
      </c>
      <c r="J126">
        <v>1.5</v>
      </c>
      <c r="K126" t="s">
        <v>1118</v>
      </c>
      <c r="L126" t="s">
        <v>1692</v>
      </c>
      <c r="M126" t="s">
        <v>1693</v>
      </c>
      <c r="N126">
        <v>10</v>
      </c>
      <c r="W126">
        <v>59</v>
      </c>
      <c r="X126" t="s">
        <v>1118</v>
      </c>
      <c r="Y126">
        <v>0.40300000000000002</v>
      </c>
      <c r="Z126" t="s">
        <v>1118</v>
      </c>
      <c r="AA126">
        <v>146.36000000000001</v>
      </c>
      <c r="AG126">
        <v>9.8000000000000007</v>
      </c>
      <c r="AH126" t="s">
        <v>1277</v>
      </c>
      <c r="AI126" t="s">
        <v>1694</v>
      </c>
      <c r="AJ126">
        <v>11.6</v>
      </c>
      <c r="AK126" t="s">
        <v>1118</v>
      </c>
      <c r="AR126">
        <v>223</v>
      </c>
      <c r="AS126" t="s">
        <v>1733</v>
      </c>
    </row>
    <row r="127" spans="2:45">
      <c r="B127" t="s">
        <v>1944</v>
      </c>
      <c r="C127" t="s">
        <v>1940</v>
      </c>
      <c r="D127" t="s">
        <v>1705</v>
      </c>
      <c r="E127" t="s">
        <v>1706</v>
      </c>
      <c r="F127" t="s">
        <v>11</v>
      </c>
      <c r="G127" t="s">
        <v>1926</v>
      </c>
      <c r="H127" t="s">
        <v>1926</v>
      </c>
      <c r="I127">
        <v>750</v>
      </c>
      <c r="J127">
        <v>5</v>
      </c>
      <c r="K127" t="s">
        <v>1118</v>
      </c>
      <c r="L127" t="s">
        <v>1692</v>
      </c>
      <c r="M127" t="s">
        <v>1693</v>
      </c>
      <c r="N127">
        <v>10</v>
      </c>
      <c r="W127">
        <v>59</v>
      </c>
      <c r="X127" t="s">
        <v>1118</v>
      </c>
      <c r="Y127">
        <v>0.40300000000000002</v>
      </c>
      <c r="Z127" t="s">
        <v>1118</v>
      </c>
      <c r="AA127">
        <v>146.36000000000001</v>
      </c>
      <c r="AG127">
        <v>9.8000000000000007</v>
      </c>
      <c r="AH127" t="s">
        <v>1277</v>
      </c>
      <c r="AI127" t="s">
        <v>1694</v>
      </c>
      <c r="AJ127">
        <v>11.6</v>
      </c>
      <c r="AK127" t="s">
        <v>1118</v>
      </c>
      <c r="AR127">
        <v>223</v>
      </c>
      <c r="AS127" t="s">
        <v>1733</v>
      </c>
    </row>
    <row r="128" spans="2:45">
      <c r="B128" t="s">
        <v>1945</v>
      </c>
      <c r="C128" t="s">
        <v>1940</v>
      </c>
      <c r="D128" t="s">
        <v>1705</v>
      </c>
      <c r="E128" t="s">
        <v>1706</v>
      </c>
      <c r="F128" t="s">
        <v>11</v>
      </c>
      <c r="G128" t="s">
        <v>1926</v>
      </c>
      <c r="H128" t="s">
        <v>1926</v>
      </c>
      <c r="I128">
        <v>750</v>
      </c>
      <c r="J128">
        <v>10</v>
      </c>
      <c r="K128" t="s">
        <v>1118</v>
      </c>
      <c r="L128" t="s">
        <v>1692</v>
      </c>
      <c r="M128" t="s">
        <v>1693</v>
      </c>
      <c r="N128">
        <v>10</v>
      </c>
      <c r="W128">
        <v>59</v>
      </c>
      <c r="X128" t="s">
        <v>1118</v>
      </c>
      <c r="Y128">
        <v>0.40300000000000002</v>
      </c>
      <c r="Z128" t="s">
        <v>1118</v>
      </c>
      <c r="AA128">
        <v>146.36000000000001</v>
      </c>
      <c r="AG128">
        <v>9.8000000000000007</v>
      </c>
      <c r="AH128" t="s">
        <v>1277</v>
      </c>
      <c r="AI128" t="s">
        <v>1694</v>
      </c>
      <c r="AJ128">
        <v>11.6</v>
      </c>
      <c r="AK128" t="s">
        <v>1118</v>
      </c>
      <c r="AR128">
        <v>223</v>
      </c>
      <c r="AS128" t="s">
        <v>1733</v>
      </c>
    </row>
    <row r="129" spans="1:67">
      <c r="A129" t="s">
        <v>120</v>
      </c>
      <c r="B129" t="s">
        <v>1946</v>
      </c>
      <c r="F129" t="s">
        <v>7</v>
      </c>
    </row>
    <row r="130" spans="1:67">
      <c r="B130" t="s">
        <v>1947</v>
      </c>
      <c r="C130" t="s">
        <v>1460</v>
      </c>
      <c r="D130" t="s">
        <v>1824</v>
      </c>
      <c r="E130" t="s">
        <v>1948</v>
      </c>
      <c r="F130" t="s">
        <v>11</v>
      </c>
      <c r="J130">
        <v>50</v>
      </c>
      <c r="K130" t="s">
        <v>1723</v>
      </c>
      <c r="M130" t="s">
        <v>1693</v>
      </c>
      <c r="O130">
        <v>27</v>
      </c>
      <c r="P130" t="s">
        <v>1118</v>
      </c>
      <c r="Q130">
        <v>21.7</v>
      </c>
      <c r="R130" t="s">
        <v>1177</v>
      </c>
      <c r="W130">
        <f>Y130*AA130</f>
        <v>26.989199999999997</v>
      </c>
      <c r="X130" t="s">
        <v>1118</v>
      </c>
      <c r="Y130">
        <v>4.76</v>
      </c>
      <c r="Z130" t="s">
        <v>1118</v>
      </c>
      <c r="AA130">
        <v>5.67</v>
      </c>
      <c r="AG130">
        <v>6.73</v>
      </c>
      <c r="AH130" t="s">
        <v>1277</v>
      </c>
      <c r="AI130" t="s">
        <v>1694</v>
      </c>
      <c r="AV130">
        <v>64.5</v>
      </c>
      <c r="AW130" t="s">
        <v>1119</v>
      </c>
      <c r="BJ130">
        <v>4.99</v>
      </c>
      <c r="BK130" t="s">
        <v>1119</v>
      </c>
      <c r="BL130">
        <v>14.2</v>
      </c>
      <c r="BM130" t="s">
        <v>1119</v>
      </c>
      <c r="BN130">
        <v>1.22</v>
      </c>
      <c r="BO130" t="s">
        <v>1119</v>
      </c>
    </row>
    <row r="131" spans="1:67">
      <c r="B131" t="s">
        <v>1949</v>
      </c>
      <c r="C131" t="s">
        <v>1950</v>
      </c>
      <c r="D131" t="s">
        <v>1688</v>
      </c>
      <c r="E131" t="s">
        <v>1688</v>
      </c>
      <c r="F131" t="s">
        <v>11</v>
      </c>
      <c r="G131" t="s">
        <v>1951</v>
      </c>
      <c r="J131">
        <v>50</v>
      </c>
      <c r="K131" t="s">
        <v>1723</v>
      </c>
      <c r="M131" t="s">
        <v>1693</v>
      </c>
      <c r="O131">
        <v>8.06</v>
      </c>
      <c r="P131" t="s">
        <v>1118</v>
      </c>
      <c r="Q131">
        <v>1.02</v>
      </c>
      <c r="R131" t="s">
        <v>1177</v>
      </c>
      <c r="W131">
        <f>Y131*AA131</f>
        <v>8.0579999999999998</v>
      </c>
      <c r="X131" t="s">
        <v>1118</v>
      </c>
      <c r="Y131">
        <v>0.79</v>
      </c>
      <c r="Z131" t="s">
        <v>1118</v>
      </c>
      <c r="AA131">
        <v>10.199999999999999</v>
      </c>
      <c r="AG131">
        <v>7.08</v>
      </c>
      <c r="AH131" t="s">
        <v>1277</v>
      </c>
      <c r="AI131" t="s">
        <v>1694</v>
      </c>
      <c r="AV131">
        <v>18.7</v>
      </c>
      <c r="AW131" t="s">
        <v>1119</v>
      </c>
      <c r="BJ131">
        <v>56.4</v>
      </c>
      <c r="BK131" t="s">
        <v>1119</v>
      </c>
      <c r="BL131">
        <v>3.83</v>
      </c>
      <c r="BM131" t="s">
        <v>1119</v>
      </c>
      <c r="BN131">
        <v>0.27</v>
      </c>
      <c r="BO131" t="s">
        <v>1119</v>
      </c>
    </row>
    <row r="132" spans="1:67">
      <c r="A132" t="s">
        <v>879</v>
      </c>
      <c r="B132" t="s">
        <v>1952</v>
      </c>
      <c r="F132" t="s">
        <v>7</v>
      </c>
    </row>
    <row r="133" spans="1:67" ht="36">
      <c r="B133" t="s">
        <v>1953</v>
      </c>
      <c r="C133" t="s">
        <v>1954</v>
      </c>
      <c r="D133" t="s">
        <v>1688</v>
      </c>
      <c r="E133" t="s">
        <v>1688</v>
      </c>
      <c r="F133" t="s">
        <v>11</v>
      </c>
      <c r="G133" s="5" t="s">
        <v>1955</v>
      </c>
      <c r="H133" s="5"/>
      <c r="I133" s="5"/>
      <c r="J133">
        <v>140</v>
      </c>
      <c r="K133" t="s">
        <v>1723</v>
      </c>
      <c r="L133" t="s">
        <v>1692</v>
      </c>
      <c r="M133" t="s">
        <v>1693</v>
      </c>
      <c r="N133">
        <v>20</v>
      </c>
      <c r="Q133">
        <v>0.8</v>
      </c>
      <c r="R133" t="s">
        <v>1118</v>
      </c>
      <c r="S133">
        <v>59.4</v>
      </c>
      <c r="T133" t="s">
        <v>1118</v>
      </c>
      <c r="Y133">
        <v>2.2999999999999998</v>
      </c>
      <c r="Z133" t="s">
        <v>1118</v>
      </c>
      <c r="AA133">
        <v>15.2</v>
      </c>
      <c r="AG133">
        <v>7.89</v>
      </c>
      <c r="AH133" t="s">
        <v>1277</v>
      </c>
      <c r="AI133" t="s">
        <v>1694</v>
      </c>
    </row>
    <row r="134" spans="1:67">
      <c r="B134" t="s">
        <v>1956</v>
      </c>
      <c r="C134" t="s">
        <v>1696</v>
      </c>
      <c r="D134" t="s">
        <v>1688</v>
      </c>
      <c r="E134" t="s">
        <v>1688</v>
      </c>
      <c r="F134" t="s">
        <v>11</v>
      </c>
      <c r="G134" t="s">
        <v>1957</v>
      </c>
      <c r="J134">
        <v>85</v>
      </c>
      <c r="K134" t="s">
        <v>1723</v>
      </c>
      <c r="L134" t="s">
        <v>1692</v>
      </c>
      <c r="M134" t="s">
        <v>1693</v>
      </c>
      <c r="N134">
        <v>20</v>
      </c>
      <c r="Q134">
        <v>0.7</v>
      </c>
      <c r="R134" t="s">
        <v>1118</v>
      </c>
      <c r="S134">
        <v>46</v>
      </c>
      <c r="T134" t="s">
        <v>1118</v>
      </c>
      <c r="Y134">
        <v>1.1000000000000001</v>
      </c>
      <c r="Z134" t="s">
        <v>1118</v>
      </c>
      <c r="AA134">
        <v>24.3</v>
      </c>
      <c r="AG134">
        <v>7.2</v>
      </c>
      <c r="AH134" t="s">
        <v>1277</v>
      </c>
      <c r="AI134" t="s">
        <v>1694</v>
      </c>
    </row>
    <row r="135" spans="1:67">
      <c r="A135" t="s">
        <v>874</v>
      </c>
      <c r="B135" t="s">
        <v>1958</v>
      </c>
      <c r="F135" t="s">
        <v>7</v>
      </c>
    </row>
    <row r="136" spans="1:67">
      <c r="B136" t="s">
        <v>1959</v>
      </c>
      <c r="C136" t="s">
        <v>1960</v>
      </c>
      <c r="D136" t="s">
        <v>1721</v>
      </c>
      <c r="E136" t="s">
        <v>1721</v>
      </c>
      <c r="F136" t="s">
        <v>11</v>
      </c>
      <c r="G136" t="s">
        <v>1961</v>
      </c>
      <c r="M136" t="s">
        <v>1962</v>
      </c>
      <c r="W136">
        <v>412</v>
      </c>
      <c r="X136" t="s">
        <v>1104</v>
      </c>
      <c r="Y136">
        <v>8.81</v>
      </c>
      <c r="Z136" t="s">
        <v>1177</v>
      </c>
    </row>
    <row r="137" spans="1:67">
      <c r="A137" t="s">
        <v>124</v>
      </c>
      <c r="B137" t="s">
        <v>1963</v>
      </c>
      <c r="C137" t="s">
        <v>1964</v>
      </c>
      <c r="F137" t="s">
        <v>7</v>
      </c>
    </row>
    <row r="138" spans="1:67">
      <c r="B138" t="s">
        <v>1965</v>
      </c>
      <c r="C138" t="s">
        <v>1966</v>
      </c>
      <c r="D138" t="s">
        <v>1824</v>
      </c>
      <c r="E138" t="s">
        <v>1948</v>
      </c>
      <c r="F138" t="s">
        <v>11</v>
      </c>
      <c r="G138" t="s">
        <v>1967</v>
      </c>
      <c r="J138">
        <v>50</v>
      </c>
      <c r="K138" s="28" t="s">
        <v>1118</v>
      </c>
      <c r="O138">
        <v>218.2</v>
      </c>
      <c r="P138" t="s">
        <v>1104</v>
      </c>
      <c r="U138">
        <v>45.7</v>
      </c>
      <c r="V138" t="s">
        <v>1118</v>
      </c>
      <c r="Y138">
        <v>38.799999999999997</v>
      </c>
      <c r="Z138" t="s">
        <v>1104</v>
      </c>
      <c r="AG138">
        <v>7.2</v>
      </c>
    </row>
    <row r="139" spans="1:67">
      <c r="A139" t="s">
        <v>856</v>
      </c>
      <c r="B139" t="s">
        <v>1968</v>
      </c>
      <c r="F139" t="s">
        <v>7</v>
      </c>
    </row>
    <row r="140" spans="1:67">
      <c r="B140" t="s">
        <v>1969</v>
      </c>
      <c r="C140" t="s">
        <v>1970</v>
      </c>
      <c r="D140" t="s">
        <v>1688</v>
      </c>
      <c r="E140" t="s">
        <v>1688</v>
      </c>
      <c r="F140" t="s">
        <v>11</v>
      </c>
      <c r="G140" t="s">
        <v>1971</v>
      </c>
      <c r="J140">
        <v>100</v>
      </c>
      <c r="K140" t="s">
        <v>1104</v>
      </c>
      <c r="L140" t="s">
        <v>1692</v>
      </c>
      <c r="Q140">
        <v>222</v>
      </c>
      <c r="R140" t="s">
        <v>1412</v>
      </c>
      <c r="S140">
        <v>31.5</v>
      </c>
      <c r="T140" t="s">
        <v>1118</v>
      </c>
      <c r="AG140">
        <v>9.4</v>
      </c>
      <c r="AH140" t="s">
        <v>1277</v>
      </c>
      <c r="AI140" t="s">
        <v>1972</v>
      </c>
    </row>
    <row r="141" spans="1:67">
      <c r="B141" t="s">
        <v>1973</v>
      </c>
      <c r="C141" t="s">
        <v>1974</v>
      </c>
      <c r="D141" t="s">
        <v>1688</v>
      </c>
      <c r="E141" t="s">
        <v>1688</v>
      </c>
      <c r="F141" t="s">
        <v>11</v>
      </c>
      <c r="G141" t="s">
        <v>1975</v>
      </c>
      <c r="J141">
        <v>100</v>
      </c>
      <c r="K141" t="s">
        <v>1104</v>
      </c>
      <c r="L141" t="s">
        <v>1692</v>
      </c>
      <c r="Q141">
        <v>2843</v>
      </c>
      <c r="R141" t="s">
        <v>1412</v>
      </c>
      <c r="S141">
        <v>25.7</v>
      </c>
      <c r="T141" t="s">
        <v>1118</v>
      </c>
      <c r="AG141">
        <v>5.0999999999999996</v>
      </c>
      <c r="AH141" t="s">
        <v>1277</v>
      </c>
      <c r="AI141" t="s">
        <v>1972</v>
      </c>
    </row>
    <row r="142" spans="1:67">
      <c r="B142" t="s">
        <v>1976</v>
      </c>
      <c r="C142" t="s">
        <v>1782</v>
      </c>
      <c r="D142" t="s">
        <v>1763</v>
      </c>
      <c r="E142" t="s">
        <v>1721</v>
      </c>
      <c r="F142" t="s">
        <v>11</v>
      </c>
      <c r="G142" t="s">
        <v>1977</v>
      </c>
      <c r="J142">
        <v>100</v>
      </c>
      <c r="K142" t="s">
        <v>1104</v>
      </c>
      <c r="L142" t="s">
        <v>1692</v>
      </c>
      <c r="Q142">
        <v>3031</v>
      </c>
      <c r="R142" t="s">
        <v>1412</v>
      </c>
      <c r="S142">
        <v>84.3</v>
      </c>
      <c r="T142" t="s">
        <v>1118</v>
      </c>
      <c r="AG142">
        <v>5.4</v>
      </c>
      <c r="AH142" t="s">
        <v>1277</v>
      </c>
      <c r="AI142" t="s">
        <v>1972</v>
      </c>
    </row>
    <row r="143" spans="1:67">
      <c r="A143" t="s">
        <v>129</v>
      </c>
      <c r="B143" t="s">
        <v>1978</v>
      </c>
      <c r="C143" t="s">
        <v>1979</v>
      </c>
      <c r="F143" t="s">
        <v>7</v>
      </c>
    </row>
    <row r="144" spans="1:67">
      <c r="B144" t="s">
        <v>1980</v>
      </c>
      <c r="C144" t="s">
        <v>1981</v>
      </c>
      <c r="D144" t="s">
        <v>1705</v>
      </c>
      <c r="E144" t="s">
        <v>1706</v>
      </c>
      <c r="F144" t="s">
        <v>11</v>
      </c>
      <c r="G144" t="s">
        <v>1982</v>
      </c>
      <c r="H144" t="s">
        <v>1982</v>
      </c>
      <c r="I144">
        <v>500</v>
      </c>
      <c r="J144">
        <v>0.1</v>
      </c>
      <c r="K144" t="s">
        <v>1118</v>
      </c>
      <c r="L144" t="s">
        <v>1692</v>
      </c>
      <c r="M144" t="s">
        <v>1693</v>
      </c>
      <c r="N144">
        <v>23</v>
      </c>
      <c r="U144">
        <v>3.73</v>
      </c>
      <c r="V144" t="s">
        <v>1118</v>
      </c>
      <c r="AT144" t="s">
        <v>1983</v>
      </c>
      <c r="AU144" t="s">
        <v>1886</v>
      </c>
    </row>
    <row r="145" spans="1:77">
      <c r="B145" t="s">
        <v>1984</v>
      </c>
      <c r="C145" t="s">
        <v>1985</v>
      </c>
      <c r="D145" t="s">
        <v>1705</v>
      </c>
      <c r="E145" t="s">
        <v>1706</v>
      </c>
      <c r="F145" t="s">
        <v>11</v>
      </c>
      <c r="G145" t="s">
        <v>1982</v>
      </c>
      <c r="H145" t="s">
        <v>1982</v>
      </c>
      <c r="I145">
        <v>500</v>
      </c>
      <c r="J145">
        <v>1</v>
      </c>
      <c r="K145" t="s">
        <v>1118</v>
      </c>
      <c r="L145" t="s">
        <v>1692</v>
      </c>
      <c r="M145" t="s">
        <v>1693</v>
      </c>
      <c r="N145">
        <v>23</v>
      </c>
      <c r="U145">
        <v>3.73</v>
      </c>
      <c r="V145" t="s">
        <v>1118</v>
      </c>
      <c r="AT145" t="s">
        <v>1983</v>
      </c>
      <c r="AU145" t="s">
        <v>1886</v>
      </c>
    </row>
    <row r="146" spans="1:77">
      <c r="B146" t="s">
        <v>1986</v>
      </c>
      <c r="C146" t="s">
        <v>1987</v>
      </c>
      <c r="D146" t="s">
        <v>1705</v>
      </c>
      <c r="E146" t="s">
        <v>1706</v>
      </c>
      <c r="F146" t="s">
        <v>11</v>
      </c>
      <c r="G146" t="s">
        <v>1982</v>
      </c>
      <c r="H146" t="s">
        <v>1982</v>
      </c>
      <c r="I146">
        <v>500</v>
      </c>
      <c r="J146">
        <v>2</v>
      </c>
      <c r="K146" t="s">
        <v>1118</v>
      </c>
      <c r="L146" t="s">
        <v>1692</v>
      </c>
      <c r="M146" t="s">
        <v>1693</v>
      </c>
      <c r="N146">
        <v>23</v>
      </c>
      <c r="U146">
        <v>3.73</v>
      </c>
      <c r="V146" t="s">
        <v>1118</v>
      </c>
      <c r="AT146" t="s">
        <v>1983</v>
      </c>
      <c r="AU146" t="s">
        <v>1886</v>
      </c>
    </row>
    <row r="147" spans="1:77">
      <c r="A147" t="s">
        <v>848</v>
      </c>
      <c r="B147" t="s">
        <v>1988</v>
      </c>
      <c r="F147" t="s">
        <v>7</v>
      </c>
    </row>
    <row r="148" spans="1:77">
      <c r="B148" t="s">
        <v>1989</v>
      </c>
      <c r="C148" t="s">
        <v>1662</v>
      </c>
      <c r="D148" t="s">
        <v>1688</v>
      </c>
      <c r="E148" t="s">
        <v>1715</v>
      </c>
      <c r="F148" t="s">
        <v>11</v>
      </c>
      <c r="G148" t="s">
        <v>1715</v>
      </c>
      <c r="J148">
        <v>5</v>
      </c>
      <c r="K148" t="s">
        <v>1118</v>
      </c>
      <c r="L148" t="s">
        <v>1692</v>
      </c>
      <c r="O148">
        <v>29.2</v>
      </c>
      <c r="P148" t="s">
        <v>1118</v>
      </c>
      <c r="S148">
        <v>51</v>
      </c>
      <c r="T148" t="s">
        <v>1118</v>
      </c>
      <c r="AG148">
        <v>8.6</v>
      </c>
    </row>
    <row r="149" spans="1:77">
      <c r="B149" t="s">
        <v>1990</v>
      </c>
      <c r="C149" t="s">
        <v>1738</v>
      </c>
      <c r="D149" t="s">
        <v>1688</v>
      </c>
      <c r="E149" t="s">
        <v>1715</v>
      </c>
      <c r="F149" t="s">
        <v>11</v>
      </c>
      <c r="G149" t="s">
        <v>1715</v>
      </c>
      <c r="J149">
        <v>5</v>
      </c>
      <c r="K149" t="s">
        <v>1118</v>
      </c>
      <c r="L149" t="s">
        <v>1692</v>
      </c>
      <c r="O149">
        <v>29.5</v>
      </c>
      <c r="P149" t="s">
        <v>1118</v>
      </c>
      <c r="S149">
        <v>59</v>
      </c>
      <c r="T149" t="s">
        <v>1118</v>
      </c>
      <c r="AG149">
        <v>7.3</v>
      </c>
    </row>
    <row r="150" spans="1:77">
      <c r="A150" t="s">
        <v>133</v>
      </c>
      <c r="B150" t="s">
        <v>1991</v>
      </c>
      <c r="F150" t="s">
        <v>7</v>
      </c>
    </row>
    <row r="151" spans="1:77">
      <c r="B151" t="s">
        <v>1992</v>
      </c>
      <c r="C151" t="s">
        <v>1993</v>
      </c>
      <c r="D151" t="s">
        <v>1688</v>
      </c>
      <c r="E151" t="s">
        <v>1688</v>
      </c>
      <c r="F151" t="s">
        <v>11</v>
      </c>
      <c r="J151">
        <v>40</v>
      </c>
      <c r="K151" t="s">
        <v>1118</v>
      </c>
      <c r="L151" t="s">
        <v>1692</v>
      </c>
      <c r="S151">
        <v>28.63</v>
      </c>
      <c r="T151" t="s">
        <v>1118</v>
      </c>
      <c r="Y151">
        <v>2.2999999999999998</v>
      </c>
      <c r="Z151" t="s">
        <v>1118</v>
      </c>
      <c r="AG151">
        <v>8.17</v>
      </c>
      <c r="AH151" t="s">
        <v>1277</v>
      </c>
      <c r="AI151" t="s">
        <v>1994</v>
      </c>
      <c r="BD151">
        <v>158</v>
      </c>
      <c r="BE151" t="s">
        <v>1108</v>
      </c>
      <c r="BJ151">
        <v>12180</v>
      </c>
      <c r="BK151" t="s">
        <v>1108</v>
      </c>
      <c r="BL151">
        <v>585</v>
      </c>
      <c r="BM151" t="s">
        <v>1108</v>
      </c>
      <c r="BN151">
        <v>505</v>
      </c>
      <c r="BO151" t="s">
        <v>1108</v>
      </c>
      <c r="BP151">
        <v>5.51</v>
      </c>
      <c r="BQ151" t="s">
        <v>1108</v>
      </c>
      <c r="BR151">
        <v>101.3</v>
      </c>
      <c r="BS151" t="s">
        <v>1108</v>
      </c>
      <c r="BT151">
        <v>34.799999999999997</v>
      </c>
      <c r="BU151" t="s">
        <v>1108</v>
      </c>
    </row>
    <row r="152" spans="1:77">
      <c r="B152" t="s">
        <v>1995</v>
      </c>
      <c r="C152" t="s">
        <v>1996</v>
      </c>
      <c r="D152" t="s">
        <v>1688</v>
      </c>
      <c r="E152" t="s">
        <v>1688</v>
      </c>
      <c r="F152" t="s">
        <v>11</v>
      </c>
      <c r="J152">
        <v>60</v>
      </c>
      <c r="K152" t="s">
        <v>1118</v>
      </c>
      <c r="L152" t="s">
        <v>1692</v>
      </c>
      <c r="S152">
        <v>28.63</v>
      </c>
      <c r="T152" t="s">
        <v>1118</v>
      </c>
      <c r="Y152">
        <v>2.2999999999999998</v>
      </c>
      <c r="Z152" t="s">
        <v>1118</v>
      </c>
      <c r="AG152">
        <v>8.17</v>
      </c>
      <c r="AH152" t="s">
        <v>1277</v>
      </c>
      <c r="AI152" t="s">
        <v>1994</v>
      </c>
      <c r="BD152">
        <v>158</v>
      </c>
      <c r="BE152" t="s">
        <v>1108</v>
      </c>
      <c r="BJ152">
        <v>12180</v>
      </c>
      <c r="BK152" t="s">
        <v>1108</v>
      </c>
      <c r="BL152">
        <v>585</v>
      </c>
      <c r="BM152" t="s">
        <v>1108</v>
      </c>
      <c r="BN152">
        <v>505</v>
      </c>
      <c r="BO152" t="s">
        <v>1108</v>
      </c>
      <c r="BP152">
        <v>5.51</v>
      </c>
      <c r="BQ152" t="s">
        <v>1108</v>
      </c>
      <c r="BR152">
        <v>101.3</v>
      </c>
      <c r="BS152" t="s">
        <v>1108</v>
      </c>
      <c r="BT152">
        <v>34.799999999999997</v>
      </c>
      <c r="BU152" t="s">
        <v>1108</v>
      </c>
    </row>
    <row r="153" spans="1:77">
      <c r="B153" t="s">
        <v>1997</v>
      </c>
      <c r="C153" t="s">
        <v>1998</v>
      </c>
      <c r="D153" t="s">
        <v>1705</v>
      </c>
      <c r="E153" t="s">
        <v>1706</v>
      </c>
      <c r="F153" t="s">
        <v>11</v>
      </c>
      <c r="G153" t="s">
        <v>1999</v>
      </c>
      <c r="H153" t="s">
        <v>1999</v>
      </c>
      <c r="J153">
        <v>5</v>
      </c>
      <c r="K153" t="s">
        <v>1118</v>
      </c>
      <c r="L153" t="s">
        <v>1692</v>
      </c>
      <c r="S153">
        <v>6.49</v>
      </c>
      <c r="T153" t="s">
        <v>1118</v>
      </c>
      <c r="Y153">
        <v>0.67</v>
      </c>
      <c r="Z153" t="s">
        <v>1118</v>
      </c>
      <c r="AG153">
        <v>10.33</v>
      </c>
      <c r="BD153">
        <v>128</v>
      </c>
      <c r="BE153" t="s">
        <v>1108</v>
      </c>
      <c r="BJ153">
        <v>7730</v>
      </c>
      <c r="BK153" t="s">
        <v>1108</v>
      </c>
      <c r="BL153">
        <v>874</v>
      </c>
      <c r="BM153" t="s">
        <v>1108</v>
      </c>
      <c r="BN153">
        <v>292</v>
      </c>
      <c r="BO153" t="s">
        <v>1108</v>
      </c>
      <c r="BP153">
        <v>3.06</v>
      </c>
      <c r="BQ153" t="s">
        <v>1108</v>
      </c>
      <c r="BR153">
        <v>14.4</v>
      </c>
      <c r="BS153" t="s">
        <v>1108</v>
      </c>
      <c r="BT153">
        <v>4.9000000000000004</v>
      </c>
      <c r="BU153" t="s">
        <v>1108</v>
      </c>
    </row>
    <row r="154" spans="1:77">
      <c r="B154" t="s">
        <v>2000</v>
      </c>
      <c r="C154" t="s">
        <v>2001</v>
      </c>
      <c r="D154" t="s">
        <v>1705</v>
      </c>
      <c r="E154" t="s">
        <v>1706</v>
      </c>
      <c r="F154" t="s">
        <v>11</v>
      </c>
      <c r="G154" t="s">
        <v>1999</v>
      </c>
      <c r="H154" t="s">
        <v>1999</v>
      </c>
      <c r="J154">
        <v>10</v>
      </c>
      <c r="K154" t="s">
        <v>1118</v>
      </c>
      <c r="L154" t="s">
        <v>1692</v>
      </c>
      <c r="S154">
        <v>6.49</v>
      </c>
      <c r="T154" t="s">
        <v>1118</v>
      </c>
      <c r="Y154">
        <v>0.67</v>
      </c>
      <c r="Z154" t="s">
        <v>1118</v>
      </c>
      <c r="AG154">
        <v>10.33</v>
      </c>
      <c r="BD154">
        <v>128</v>
      </c>
      <c r="BE154" t="s">
        <v>1108</v>
      </c>
      <c r="BJ154">
        <v>7730</v>
      </c>
      <c r="BK154" t="s">
        <v>1108</v>
      </c>
      <c r="BL154">
        <v>874</v>
      </c>
      <c r="BM154" t="s">
        <v>1108</v>
      </c>
      <c r="BN154">
        <v>292</v>
      </c>
      <c r="BO154" t="s">
        <v>1108</v>
      </c>
      <c r="BP154">
        <v>3.06</v>
      </c>
      <c r="BQ154" t="s">
        <v>1108</v>
      </c>
      <c r="BR154">
        <v>14.4</v>
      </c>
      <c r="BS154" t="s">
        <v>1108</v>
      </c>
      <c r="BT154">
        <v>4.9000000000000004</v>
      </c>
      <c r="BU154" t="s">
        <v>1108</v>
      </c>
    </row>
    <row r="155" spans="1:77">
      <c r="A155" t="s">
        <v>827</v>
      </c>
      <c r="B155" t="s">
        <v>2002</v>
      </c>
      <c r="F155" t="s">
        <v>7</v>
      </c>
    </row>
    <row r="156" spans="1:77">
      <c r="B156" t="s">
        <v>2003</v>
      </c>
      <c r="C156" t="s">
        <v>1704</v>
      </c>
      <c r="D156" t="s">
        <v>1705</v>
      </c>
      <c r="E156" t="s">
        <v>1706</v>
      </c>
      <c r="F156" t="s">
        <v>11</v>
      </c>
      <c r="G156" t="s">
        <v>2004</v>
      </c>
      <c r="H156" t="s">
        <v>2005</v>
      </c>
      <c r="I156">
        <v>550</v>
      </c>
      <c r="J156">
        <v>0.5</v>
      </c>
      <c r="K156" t="s">
        <v>1118</v>
      </c>
      <c r="L156" t="s">
        <v>1692</v>
      </c>
      <c r="M156" t="s">
        <v>1693</v>
      </c>
      <c r="W156">
        <v>73.5</v>
      </c>
      <c r="X156" t="s">
        <v>1118</v>
      </c>
      <c r="AE156">
        <v>20.85</v>
      </c>
      <c r="AF156" t="s">
        <v>1118</v>
      </c>
      <c r="AG156">
        <v>9.3859999999999992</v>
      </c>
      <c r="AH156" t="s">
        <v>1277</v>
      </c>
      <c r="AI156" t="s">
        <v>1694</v>
      </c>
      <c r="AP156">
        <v>6.98</v>
      </c>
      <c r="AQ156" t="s">
        <v>1741</v>
      </c>
      <c r="AR156">
        <v>32.86</v>
      </c>
      <c r="AS156" t="s">
        <v>1733</v>
      </c>
      <c r="BJ156">
        <v>1.67</v>
      </c>
      <c r="BK156" t="s">
        <v>1118</v>
      </c>
      <c r="BV156">
        <v>3.34</v>
      </c>
      <c r="BW156" t="s">
        <v>1118</v>
      </c>
      <c r="BX156">
        <v>0.64</v>
      </c>
      <c r="BY156" t="s">
        <v>1118</v>
      </c>
    </row>
    <row r="157" spans="1:77">
      <c r="B157" t="s">
        <v>2006</v>
      </c>
      <c r="C157" t="s">
        <v>2007</v>
      </c>
      <c r="D157" t="s">
        <v>1705</v>
      </c>
      <c r="E157" t="s">
        <v>1706</v>
      </c>
      <c r="F157" t="s">
        <v>11</v>
      </c>
      <c r="G157" t="s">
        <v>2008</v>
      </c>
      <c r="H157" t="s">
        <v>2005</v>
      </c>
      <c r="I157">
        <v>550</v>
      </c>
      <c r="J157">
        <v>0.5</v>
      </c>
      <c r="K157" t="s">
        <v>1118</v>
      </c>
      <c r="L157" t="s">
        <v>1692</v>
      </c>
      <c r="M157" t="s">
        <v>1693</v>
      </c>
      <c r="W157">
        <v>66.37</v>
      </c>
      <c r="X157" t="s">
        <v>1118</v>
      </c>
      <c r="AE157">
        <v>29.79</v>
      </c>
      <c r="AF157" t="s">
        <v>1118</v>
      </c>
      <c r="AG157">
        <v>8.2710000000000008</v>
      </c>
      <c r="AH157" t="s">
        <v>1277</v>
      </c>
      <c r="AI157" t="s">
        <v>1694</v>
      </c>
      <c r="AP157">
        <v>4.21</v>
      </c>
      <c r="AQ157" t="s">
        <v>1741</v>
      </c>
      <c r="AR157">
        <v>49.26</v>
      </c>
      <c r="AS157" t="s">
        <v>1733</v>
      </c>
      <c r="BJ157">
        <v>0.89</v>
      </c>
      <c r="BK157" t="s">
        <v>1118</v>
      </c>
      <c r="BV157">
        <v>1.27</v>
      </c>
      <c r="BW157" t="s">
        <v>1118</v>
      </c>
      <c r="BX157">
        <v>1.68</v>
      </c>
      <c r="BY157" t="s">
        <v>1118</v>
      </c>
    </row>
    <row r="158" spans="1:77">
      <c r="A158" t="s">
        <v>817</v>
      </c>
      <c r="B158" t="s">
        <v>2009</v>
      </c>
      <c r="F158" t="s">
        <v>7</v>
      </c>
    </row>
    <row r="159" spans="1:77">
      <c r="B159" t="s">
        <v>2010</v>
      </c>
      <c r="C159" t="s">
        <v>2011</v>
      </c>
      <c r="D159" t="s">
        <v>1848</v>
      </c>
      <c r="E159" t="s">
        <v>2012</v>
      </c>
      <c r="F159" t="s">
        <v>11</v>
      </c>
      <c r="G159" t="s">
        <v>2013</v>
      </c>
      <c r="J159">
        <v>10</v>
      </c>
      <c r="K159" t="s">
        <v>1118</v>
      </c>
      <c r="L159" t="s">
        <v>1709</v>
      </c>
      <c r="O159">
        <v>26</v>
      </c>
      <c r="P159" t="s">
        <v>1118</v>
      </c>
      <c r="AG159">
        <v>5.0999999999999996</v>
      </c>
      <c r="AH159" t="s">
        <v>1277</v>
      </c>
      <c r="AI159" t="s">
        <v>1972</v>
      </c>
    </row>
    <row r="160" spans="1:77">
      <c r="B160" t="s">
        <v>2014</v>
      </c>
      <c r="C160" t="s">
        <v>2011</v>
      </c>
      <c r="D160" t="s">
        <v>1848</v>
      </c>
      <c r="E160" t="s">
        <v>2012</v>
      </c>
      <c r="F160" t="s">
        <v>11</v>
      </c>
      <c r="J160">
        <v>20</v>
      </c>
      <c r="K160" t="s">
        <v>1118</v>
      </c>
      <c r="L160" t="s">
        <v>1709</v>
      </c>
      <c r="O160">
        <v>26</v>
      </c>
      <c r="P160" t="s">
        <v>1118</v>
      </c>
      <c r="AG160">
        <v>5.0999999999999996</v>
      </c>
      <c r="AH160" t="s">
        <v>1277</v>
      </c>
      <c r="AI160" t="s">
        <v>1972</v>
      </c>
    </row>
    <row r="161" spans="1:73">
      <c r="A161" t="s">
        <v>809</v>
      </c>
      <c r="B161" t="s">
        <v>2015</v>
      </c>
      <c r="F161" t="s">
        <v>7</v>
      </c>
    </row>
    <row r="162" spans="1:73">
      <c r="B162" t="s">
        <v>2017</v>
      </c>
      <c r="C162" t="s">
        <v>1748</v>
      </c>
      <c r="D162" t="s">
        <v>1748</v>
      </c>
      <c r="E162" t="s">
        <v>1748</v>
      </c>
      <c r="F162" t="s">
        <v>11</v>
      </c>
      <c r="J162">
        <v>50</v>
      </c>
      <c r="K162" t="s">
        <v>1118</v>
      </c>
      <c r="L162" t="s">
        <v>2016</v>
      </c>
      <c r="O162">
        <v>42.9</v>
      </c>
      <c r="P162" t="s">
        <v>1118</v>
      </c>
      <c r="Y162" t="s">
        <v>1323</v>
      </c>
      <c r="Z162" t="s">
        <v>1118</v>
      </c>
      <c r="AG162">
        <v>7.3</v>
      </c>
      <c r="AH162" t="s">
        <v>1277</v>
      </c>
      <c r="AI162" t="s">
        <v>1784</v>
      </c>
    </row>
    <row r="163" spans="1:73">
      <c r="B163" t="s">
        <v>2018</v>
      </c>
      <c r="C163" t="s">
        <v>2019</v>
      </c>
      <c r="D163" t="s">
        <v>1688</v>
      </c>
      <c r="E163" t="s">
        <v>1688</v>
      </c>
      <c r="F163" t="s">
        <v>11</v>
      </c>
      <c r="J163">
        <v>33</v>
      </c>
      <c r="K163" t="s">
        <v>1118</v>
      </c>
      <c r="L163" t="s">
        <v>2016</v>
      </c>
      <c r="O163">
        <v>25.9</v>
      </c>
      <c r="P163" t="s">
        <v>1118</v>
      </c>
      <c r="Y163">
        <v>0.56000000000000005</v>
      </c>
      <c r="Z163" t="s">
        <v>1118</v>
      </c>
      <c r="AG163">
        <v>6.74</v>
      </c>
      <c r="AH163" t="s">
        <v>1277</v>
      </c>
      <c r="AI163" t="s">
        <v>1784</v>
      </c>
    </row>
    <row r="164" spans="1:73">
      <c r="A164" t="s">
        <v>137</v>
      </c>
      <c r="B164" t="s">
        <v>2020</v>
      </c>
      <c r="F164" t="s">
        <v>7</v>
      </c>
    </row>
    <row r="165" spans="1:73">
      <c r="B165" t="s">
        <v>2021</v>
      </c>
      <c r="C165" t="s">
        <v>1696</v>
      </c>
      <c r="D165" t="s">
        <v>1688</v>
      </c>
      <c r="E165" t="s">
        <v>1688</v>
      </c>
      <c r="F165" t="s">
        <v>11</v>
      </c>
      <c r="G165" t="s">
        <v>2022</v>
      </c>
      <c r="J165">
        <v>20</v>
      </c>
      <c r="K165" t="s">
        <v>1118</v>
      </c>
      <c r="L165" t="s">
        <v>1709</v>
      </c>
      <c r="M165" t="s">
        <v>1693</v>
      </c>
      <c r="O165">
        <v>24.1</v>
      </c>
      <c r="P165" t="s">
        <v>1118</v>
      </c>
      <c r="Q165">
        <v>0.70299999999999996</v>
      </c>
      <c r="R165" t="s">
        <v>1118</v>
      </c>
      <c r="Y165">
        <v>1.1000000000000001</v>
      </c>
      <c r="Z165" t="s">
        <v>1118</v>
      </c>
      <c r="AA165">
        <v>21.8</v>
      </c>
      <c r="AG165">
        <v>7.2</v>
      </c>
      <c r="AH165" t="s">
        <v>1277</v>
      </c>
      <c r="AI165" t="s">
        <v>1694</v>
      </c>
      <c r="AJ165">
        <v>54</v>
      </c>
      <c r="AK165" t="s">
        <v>1118</v>
      </c>
    </row>
    <row r="166" spans="1:73">
      <c r="A166" t="s">
        <v>141</v>
      </c>
      <c r="B166" t="s">
        <v>2023</v>
      </c>
      <c r="F166" t="s">
        <v>7</v>
      </c>
    </row>
    <row r="167" spans="1:73">
      <c r="B167" t="s">
        <v>2024</v>
      </c>
      <c r="C167" t="s">
        <v>2025</v>
      </c>
      <c r="D167" t="s">
        <v>1688</v>
      </c>
      <c r="E167" t="s">
        <v>1688</v>
      </c>
      <c r="F167" t="s">
        <v>11</v>
      </c>
      <c r="G167" t="s">
        <v>2026</v>
      </c>
      <c r="J167">
        <v>0.5</v>
      </c>
      <c r="K167" t="s">
        <v>1118</v>
      </c>
      <c r="M167" t="s">
        <v>1693</v>
      </c>
      <c r="S167">
        <v>22</v>
      </c>
      <c r="T167" t="s">
        <v>1118</v>
      </c>
      <c r="AA167">
        <v>13</v>
      </c>
      <c r="AG167">
        <v>6.4</v>
      </c>
      <c r="AX167">
        <v>8</v>
      </c>
      <c r="AY167" t="s">
        <v>1164</v>
      </c>
      <c r="BN167">
        <v>0</v>
      </c>
      <c r="BO167" t="s">
        <v>1118</v>
      </c>
      <c r="BP167">
        <v>325</v>
      </c>
      <c r="BQ167" t="s">
        <v>1108</v>
      </c>
      <c r="BR167">
        <v>1.9</v>
      </c>
      <c r="BS167" t="s">
        <v>1118</v>
      </c>
      <c r="BT167">
        <v>563</v>
      </c>
      <c r="BU167" t="s">
        <v>1108</v>
      </c>
    </row>
    <row r="168" spans="1:73">
      <c r="B168" t="s">
        <v>2027</v>
      </c>
      <c r="C168" t="s">
        <v>2028</v>
      </c>
      <c r="D168" t="s">
        <v>1688</v>
      </c>
      <c r="E168" t="s">
        <v>1688</v>
      </c>
      <c r="F168" t="s">
        <v>11</v>
      </c>
      <c r="G168" t="s">
        <v>2026</v>
      </c>
      <c r="J168">
        <v>2</v>
      </c>
      <c r="K168" t="s">
        <v>1118</v>
      </c>
      <c r="M168" t="s">
        <v>1693</v>
      </c>
      <c r="S168">
        <v>22</v>
      </c>
      <c r="T168" t="s">
        <v>1118</v>
      </c>
      <c r="AA168">
        <v>13</v>
      </c>
      <c r="AG168">
        <v>6.4</v>
      </c>
      <c r="AX168">
        <v>8</v>
      </c>
      <c r="AY168" t="s">
        <v>1164</v>
      </c>
      <c r="BN168">
        <v>0</v>
      </c>
      <c r="BO168" t="s">
        <v>1118</v>
      </c>
      <c r="BP168">
        <v>325</v>
      </c>
      <c r="BQ168" t="s">
        <v>1108</v>
      </c>
      <c r="BR168">
        <v>1.9</v>
      </c>
      <c r="BS168" t="s">
        <v>1118</v>
      </c>
      <c r="BT168">
        <v>563</v>
      </c>
      <c r="BU168" t="s">
        <v>1108</v>
      </c>
    </row>
    <row r="169" spans="1:73">
      <c r="B169" t="s">
        <v>2029</v>
      </c>
      <c r="C169" t="s">
        <v>2030</v>
      </c>
      <c r="D169" t="s">
        <v>1688</v>
      </c>
      <c r="E169" t="s">
        <v>1688</v>
      </c>
      <c r="F169" t="s">
        <v>11</v>
      </c>
      <c r="G169" t="s">
        <v>2026</v>
      </c>
      <c r="J169">
        <v>4</v>
      </c>
      <c r="K169" t="s">
        <v>1118</v>
      </c>
      <c r="M169" t="s">
        <v>1693</v>
      </c>
      <c r="S169">
        <v>22</v>
      </c>
      <c r="T169" t="s">
        <v>1118</v>
      </c>
      <c r="AA169">
        <v>13</v>
      </c>
      <c r="AG169">
        <v>6.4</v>
      </c>
      <c r="AX169">
        <v>8</v>
      </c>
      <c r="AY169" t="s">
        <v>1164</v>
      </c>
      <c r="BN169">
        <v>0</v>
      </c>
      <c r="BO169" t="s">
        <v>1118</v>
      </c>
      <c r="BP169">
        <v>325</v>
      </c>
      <c r="BQ169" t="s">
        <v>1108</v>
      </c>
      <c r="BR169">
        <v>1.9</v>
      </c>
      <c r="BS169" t="s">
        <v>1118</v>
      </c>
      <c r="BT169">
        <v>563</v>
      </c>
      <c r="BU169" t="s">
        <v>1108</v>
      </c>
    </row>
    <row r="170" spans="1:73">
      <c r="B170" t="s">
        <v>2031</v>
      </c>
      <c r="C170" s="47" t="s">
        <v>2032</v>
      </c>
      <c r="D170" t="s">
        <v>1688</v>
      </c>
      <c r="E170" t="s">
        <v>1688</v>
      </c>
      <c r="F170" t="s">
        <v>11</v>
      </c>
      <c r="G170" t="s">
        <v>2033</v>
      </c>
      <c r="J170">
        <v>0.5</v>
      </c>
      <c r="K170" t="s">
        <v>1118</v>
      </c>
      <c r="M170" t="s">
        <v>1693</v>
      </c>
      <c r="S170">
        <v>79</v>
      </c>
      <c r="T170" t="s">
        <v>1118</v>
      </c>
      <c r="AA170">
        <v>44</v>
      </c>
      <c r="AG170">
        <v>6.7</v>
      </c>
      <c r="AX170">
        <v>8.6999999999999993</v>
      </c>
      <c r="AY170" t="s">
        <v>1164</v>
      </c>
      <c r="BN170">
        <v>0.6</v>
      </c>
      <c r="BO170" t="s">
        <v>1118</v>
      </c>
      <c r="BP170">
        <v>57</v>
      </c>
      <c r="BQ170" t="s">
        <v>1108</v>
      </c>
      <c r="BR170">
        <v>0.5</v>
      </c>
      <c r="BS170" t="s">
        <v>1118</v>
      </c>
      <c r="BT170">
        <v>49</v>
      </c>
      <c r="BU170" t="s">
        <v>1108</v>
      </c>
    </row>
    <row r="171" spans="1:73">
      <c r="B171" t="s">
        <v>2034</v>
      </c>
      <c r="C171" t="s">
        <v>2035</v>
      </c>
      <c r="D171" t="s">
        <v>1688</v>
      </c>
      <c r="E171" t="s">
        <v>1688</v>
      </c>
      <c r="F171" t="s">
        <v>11</v>
      </c>
      <c r="G171" t="s">
        <v>2033</v>
      </c>
      <c r="J171">
        <v>2</v>
      </c>
      <c r="K171" t="s">
        <v>1118</v>
      </c>
      <c r="M171" t="s">
        <v>1693</v>
      </c>
      <c r="S171">
        <v>79</v>
      </c>
      <c r="T171" t="s">
        <v>1118</v>
      </c>
      <c r="AA171">
        <v>44</v>
      </c>
      <c r="AG171">
        <v>6.7</v>
      </c>
      <c r="AX171">
        <v>8.6999999999999993</v>
      </c>
      <c r="AY171" t="s">
        <v>1164</v>
      </c>
      <c r="BN171">
        <v>0.6</v>
      </c>
      <c r="BO171" t="s">
        <v>1118</v>
      </c>
      <c r="BP171">
        <v>57</v>
      </c>
      <c r="BQ171" t="s">
        <v>1108</v>
      </c>
      <c r="BR171">
        <v>0.5</v>
      </c>
      <c r="BS171" t="s">
        <v>1118</v>
      </c>
      <c r="BT171">
        <v>49</v>
      </c>
      <c r="BU171" t="s">
        <v>1108</v>
      </c>
    </row>
    <row r="172" spans="1:73">
      <c r="B172" t="s">
        <v>2036</v>
      </c>
      <c r="C172" t="s">
        <v>2037</v>
      </c>
      <c r="D172" t="s">
        <v>1688</v>
      </c>
      <c r="E172" t="s">
        <v>1688</v>
      </c>
      <c r="F172" t="s">
        <v>11</v>
      </c>
      <c r="G172" t="s">
        <v>2033</v>
      </c>
      <c r="J172">
        <v>4</v>
      </c>
      <c r="K172" t="s">
        <v>1118</v>
      </c>
      <c r="M172" t="s">
        <v>1693</v>
      </c>
      <c r="S172">
        <v>79</v>
      </c>
      <c r="T172" t="s">
        <v>1118</v>
      </c>
      <c r="AA172">
        <v>44</v>
      </c>
      <c r="AG172">
        <v>6.7</v>
      </c>
      <c r="AX172">
        <v>8.6999999999999993</v>
      </c>
      <c r="AY172" t="s">
        <v>1164</v>
      </c>
      <c r="BN172">
        <v>0.6</v>
      </c>
      <c r="BO172" t="s">
        <v>1118</v>
      </c>
      <c r="BP172">
        <v>57</v>
      </c>
      <c r="BQ172" t="s">
        <v>1108</v>
      </c>
      <c r="BR172">
        <v>0.5</v>
      </c>
      <c r="BS172" t="s">
        <v>1118</v>
      </c>
      <c r="BT172">
        <v>49</v>
      </c>
      <c r="BU172" t="s">
        <v>1108</v>
      </c>
    </row>
    <row r="173" spans="1:73">
      <c r="A173" t="s">
        <v>150</v>
      </c>
      <c r="B173" t="s">
        <v>2038</v>
      </c>
      <c r="C173" t="s">
        <v>2039</v>
      </c>
      <c r="F173" t="s">
        <v>7</v>
      </c>
    </row>
    <row r="174" spans="1:73">
      <c r="B174" t="s">
        <v>2040</v>
      </c>
      <c r="C174" t="s">
        <v>1704</v>
      </c>
      <c r="D174" t="s">
        <v>1705</v>
      </c>
      <c r="E174" t="s">
        <v>1706</v>
      </c>
      <c r="F174" t="s">
        <v>11</v>
      </c>
      <c r="G174" t="s">
        <v>2041</v>
      </c>
      <c r="H174" t="s">
        <v>1748</v>
      </c>
      <c r="I174">
        <v>700</v>
      </c>
      <c r="J174">
        <v>1</v>
      </c>
      <c r="K174" t="s">
        <v>1118</v>
      </c>
      <c r="L174" t="s">
        <v>1692</v>
      </c>
    </row>
    <row r="175" spans="1:73">
      <c r="A175" t="s">
        <v>155</v>
      </c>
      <c r="B175" t="s">
        <v>2042</v>
      </c>
      <c r="F175" t="s">
        <v>7</v>
      </c>
    </row>
    <row r="176" spans="1:73">
      <c r="B176" t="s">
        <v>2043</v>
      </c>
      <c r="C176" t="s">
        <v>2044</v>
      </c>
      <c r="D176" t="s">
        <v>1763</v>
      </c>
      <c r="E176" t="s">
        <v>1721</v>
      </c>
      <c r="F176" t="s">
        <v>11</v>
      </c>
      <c r="G176" t="s">
        <v>1783</v>
      </c>
      <c r="J176">
        <v>2.5</v>
      </c>
      <c r="K176" t="s">
        <v>1118</v>
      </c>
      <c r="O176">
        <v>535</v>
      </c>
      <c r="P176" t="s">
        <v>1104</v>
      </c>
      <c r="U176">
        <v>48.2</v>
      </c>
      <c r="V176" t="s">
        <v>1118</v>
      </c>
      <c r="AG176">
        <v>5.7</v>
      </c>
      <c r="AX176">
        <v>5.0199999999999996</v>
      </c>
      <c r="AY176" t="s">
        <v>1164</v>
      </c>
    </row>
    <row r="177" spans="1:80">
      <c r="B177" t="s">
        <v>2045</v>
      </c>
      <c r="C177" t="s">
        <v>2046</v>
      </c>
      <c r="D177" t="s">
        <v>1763</v>
      </c>
      <c r="E177" t="s">
        <v>1721</v>
      </c>
      <c r="F177" t="s">
        <v>11</v>
      </c>
      <c r="G177" t="s">
        <v>1783</v>
      </c>
      <c r="J177">
        <v>5</v>
      </c>
      <c r="K177" t="s">
        <v>1118</v>
      </c>
      <c r="O177">
        <v>535</v>
      </c>
      <c r="P177" t="s">
        <v>1104</v>
      </c>
      <c r="U177">
        <v>48.2</v>
      </c>
      <c r="V177" t="s">
        <v>1118</v>
      </c>
      <c r="AG177">
        <v>5.7</v>
      </c>
      <c r="AX177">
        <v>5.0199999999999996</v>
      </c>
      <c r="AY177" t="s">
        <v>1164</v>
      </c>
    </row>
    <row r="178" spans="1:80">
      <c r="B178" t="s">
        <v>2047</v>
      </c>
      <c r="C178" t="s">
        <v>2048</v>
      </c>
      <c r="D178" t="s">
        <v>1688</v>
      </c>
      <c r="E178" t="s">
        <v>1688</v>
      </c>
      <c r="F178" t="s">
        <v>11</v>
      </c>
      <c r="J178">
        <v>2.5</v>
      </c>
      <c r="K178" t="s">
        <v>1118</v>
      </c>
      <c r="O178">
        <v>383</v>
      </c>
      <c r="P178" t="s">
        <v>1104</v>
      </c>
      <c r="U178">
        <v>35</v>
      </c>
      <c r="V178" t="s">
        <v>1118</v>
      </c>
      <c r="AG178">
        <v>8.7200000000000006</v>
      </c>
      <c r="AX178">
        <v>3.1</v>
      </c>
      <c r="AY178" t="s">
        <v>1164</v>
      </c>
      <c r="CB178" t="s">
        <v>2049</v>
      </c>
    </row>
    <row r="179" spans="1:80">
      <c r="B179" t="s">
        <v>2050</v>
      </c>
      <c r="C179" t="s">
        <v>2051</v>
      </c>
      <c r="D179" t="s">
        <v>1688</v>
      </c>
      <c r="E179" t="s">
        <v>1688</v>
      </c>
      <c r="F179" t="s">
        <v>11</v>
      </c>
      <c r="J179">
        <v>5</v>
      </c>
      <c r="K179" t="s">
        <v>1118</v>
      </c>
      <c r="O179">
        <v>383</v>
      </c>
      <c r="P179" t="s">
        <v>1104</v>
      </c>
      <c r="U179">
        <v>35</v>
      </c>
      <c r="V179" t="s">
        <v>1118</v>
      </c>
      <c r="AG179">
        <v>8.7200000000000006</v>
      </c>
      <c r="AX179">
        <v>3.1</v>
      </c>
      <c r="AY179" t="s">
        <v>1164</v>
      </c>
      <c r="CB179" s="28" t="s">
        <v>2049</v>
      </c>
    </row>
    <row r="180" spans="1:80">
      <c r="B180" t="s">
        <v>2052</v>
      </c>
      <c r="C180" t="s">
        <v>2053</v>
      </c>
      <c r="D180" t="s">
        <v>1763</v>
      </c>
      <c r="E180" t="s">
        <v>1721</v>
      </c>
      <c r="F180" t="s">
        <v>11</v>
      </c>
      <c r="G180" t="s">
        <v>1783</v>
      </c>
      <c r="J180">
        <v>10</v>
      </c>
      <c r="K180" t="s">
        <v>1118</v>
      </c>
      <c r="O180">
        <v>535</v>
      </c>
      <c r="P180" t="s">
        <v>1104</v>
      </c>
      <c r="U180">
        <v>48.2</v>
      </c>
      <c r="V180" t="s">
        <v>1118</v>
      </c>
      <c r="AG180">
        <v>5.7</v>
      </c>
      <c r="AX180">
        <v>5.0199999999999996</v>
      </c>
      <c r="AY180" t="s">
        <v>1164</v>
      </c>
      <c r="CB180" s="28"/>
    </row>
    <row r="181" spans="1:80">
      <c r="A181" t="s">
        <v>801</v>
      </c>
      <c r="B181" t="s">
        <v>2054</v>
      </c>
      <c r="C181" t="s">
        <v>1494</v>
      </c>
      <c r="F181" t="s">
        <v>7</v>
      </c>
    </row>
    <row r="182" spans="1:80">
      <c r="B182" t="s">
        <v>2055</v>
      </c>
      <c r="C182" t="s">
        <v>2056</v>
      </c>
      <c r="D182" t="s">
        <v>1748</v>
      </c>
      <c r="E182" t="s">
        <v>1748</v>
      </c>
      <c r="F182" t="s">
        <v>11</v>
      </c>
      <c r="G182" t="s">
        <v>1750</v>
      </c>
      <c r="J182">
        <v>0.25</v>
      </c>
      <c r="K182" t="s">
        <v>1118</v>
      </c>
      <c r="L182" t="s">
        <v>1692</v>
      </c>
      <c r="M182" t="s">
        <v>1693</v>
      </c>
      <c r="O182">
        <v>52.2</v>
      </c>
      <c r="P182" t="s">
        <v>1118</v>
      </c>
      <c r="W182">
        <v>40.5</v>
      </c>
      <c r="X182" t="s">
        <v>1118</v>
      </c>
      <c r="Y182">
        <v>1.39</v>
      </c>
      <c r="Z182" t="s">
        <v>1118</v>
      </c>
      <c r="AA182">
        <v>29.14</v>
      </c>
      <c r="AB182">
        <v>4.82</v>
      </c>
      <c r="AC182" t="s">
        <v>1118</v>
      </c>
      <c r="AD182">
        <v>0.12</v>
      </c>
      <c r="AG182">
        <v>7.42</v>
      </c>
    </row>
    <row r="183" spans="1:80">
      <c r="B183" t="s">
        <v>2057</v>
      </c>
      <c r="C183" t="s">
        <v>2056</v>
      </c>
      <c r="D183" t="s">
        <v>1748</v>
      </c>
      <c r="E183" t="s">
        <v>1748</v>
      </c>
      <c r="F183" t="s">
        <v>11</v>
      </c>
      <c r="G183" t="s">
        <v>1750</v>
      </c>
      <c r="J183">
        <v>0.5</v>
      </c>
      <c r="K183" t="s">
        <v>1118</v>
      </c>
      <c r="L183" t="s">
        <v>1692</v>
      </c>
      <c r="M183" t="s">
        <v>1693</v>
      </c>
      <c r="O183">
        <v>52.2</v>
      </c>
      <c r="P183" t="s">
        <v>1118</v>
      </c>
      <c r="W183">
        <v>40.5</v>
      </c>
      <c r="X183" t="s">
        <v>1118</v>
      </c>
      <c r="Y183">
        <v>1.39</v>
      </c>
      <c r="Z183" t="s">
        <v>1118</v>
      </c>
      <c r="AA183">
        <v>29.14</v>
      </c>
      <c r="AB183">
        <v>4.82</v>
      </c>
      <c r="AC183" t="s">
        <v>1118</v>
      </c>
      <c r="AD183">
        <v>0.12</v>
      </c>
      <c r="AG183">
        <v>7.42</v>
      </c>
    </row>
    <row r="184" spans="1:80">
      <c r="B184" t="s">
        <v>2058</v>
      </c>
      <c r="C184" t="s">
        <v>2056</v>
      </c>
      <c r="D184" t="s">
        <v>1748</v>
      </c>
      <c r="E184" t="s">
        <v>1748</v>
      </c>
      <c r="F184" t="s">
        <v>11</v>
      </c>
      <c r="G184" t="s">
        <v>1750</v>
      </c>
      <c r="J184">
        <v>1</v>
      </c>
      <c r="K184" t="s">
        <v>1118</v>
      </c>
      <c r="L184" t="s">
        <v>1692</v>
      </c>
      <c r="M184" t="s">
        <v>1693</v>
      </c>
      <c r="O184">
        <v>52.2</v>
      </c>
      <c r="P184" t="s">
        <v>1118</v>
      </c>
      <c r="W184">
        <v>40.5</v>
      </c>
      <c r="X184" t="s">
        <v>1118</v>
      </c>
      <c r="Y184">
        <v>1.39</v>
      </c>
      <c r="Z184" t="s">
        <v>1118</v>
      </c>
      <c r="AA184">
        <v>29.14</v>
      </c>
      <c r="AB184">
        <v>4.82</v>
      </c>
      <c r="AC184" t="s">
        <v>1118</v>
      </c>
      <c r="AD184">
        <v>0.12</v>
      </c>
      <c r="AG184">
        <v>7.42</v>
      </c>
    </row>
    <row r="185" spans="1:80">
      <c r="B185" t="s">
        <v>2059</v>
      </c>
      <c r="C185" t="s">
        <v>2060</v>
      </c>
      <c r="D185" t="s">
        <v>1705</v>
      </c>
      <c r="E185" t="s">
        <v>1706</v>
      </c>
      <c r="F185" t="s">
        <v>11</v>
      </c>
      <c r="G185" t="s">
        <v>2061</v>
      </c>
      <c r="H185" t="s">
        <v>1750</v>
      </c>
      <c r="I185">
        <v>350</v>
      </c>
      <c r="J185">
        <v>0.25</v>
      </c>
      <c r="K185" t="s">
        <v>1118</v>
      </c>
      <c r="L185" t="s">
        <v>1692</v>
      </c>
      <c r="M185" t="s">
        <v>1693</v>
      </c>
      <c r="O185">
        <v>18.670000000000002</v>
      </c>
      <c r="P185" t="s">
        <v>1118</v>
      </c>
      <c r="W185">
        <v>52.84</v>
      </c>
      <c r="X185" t="s">
        <v>1118</v>
      </c>
      <c r="Y185">
        <v>2.17</v>
      </c>
      <c r="Z185" t="s">
        <v>1118</v>
      </c>
      <c r="AA185">
        <v>24.35</v>
      </c>
      <c r="AB185">
        <v>2.21</v>
      </c>
      <c r="AC185" t="s">
        <v>1118</v>
      </c>
      <c r="AD185">
        <v>0.04</v>
      </c>
      <c r="AG185">
        <v>8.26</v>
      </c>
      <c r="AR185" s="41">
        <f>'Biochar properties'!AQ294</f>
        <v>20.6</v>
      </c>
      <c r="AS185" t="s">
        <v>1884</v>
      </c>
    </row>
    <row r="186" spans="1:80">
      <c r="B186" t="s">
        <v>2062</v>
      </c>
      <c r="C186" t="s">
        <v>2060</v>
      </c>
      <c r="D186" t="s">
        <v>1705</v>
      </c>
      <c r="E186" t="s">
        <v>1706</v>
      </c>
      <c r="F186" t="s">
        <v>11</v>
      </c>
      <c r="G186" t="s">
        <v>2061</v>
      </c>
      <c r="H186" t="s">
        <v>1750</v>
      </c>
      <c r="I186">
        <v>350</v>
      </c>
      <c r="J186">
        <v>0.5</v>
      </c>
      <c r="K186" t="s">
        <v>1118</v>
      </c>
      <c r="L186" t="s">
        <v>1692</v>
      </c>
      <c r="M186" t="s">
        <v>1693</v>
      </c>
      <c r="O186">
        <v>18.670000000000002</v>
      </c>
      <c r="P186" t="s">
        <v>1118</v>
      </c>
      <c r="W186">
        <v>52.84</v>
      </c>
      <c r="X186" t="s">
        <v>1118</v>
      </c>
      <c r="Y186">
        <v>2.17</v>
      </c>
      <c r="Z186" t="s">
        <v>1118</v>
      </c>
      <c r="AA186">
        <v>24.35</v>
      </c>
      <c r="AB186">
        <v>2.21</v>
      </c>
      <c r="AC186" t="s">
        <v>1118</v>
      </c>
      <c r="AD186">
        <v>0.04</v>
      </c>
      <c r="AG186">
        <v>8.26</v>
      </c>
    </row>
    <row r="187" spans="1:80">
      <c r="B187" t="s">
        <v>2063</v>
      </c>
      <c r="C187" t="s">
        <v>2060</v>
      </c>
      <c r="D187" t="s">
        <v>1705</v>
      </c>
      <c r="E187" t="s">
        <v>1706</v>
      </c>
      <c r="F187" t="s">
        <v>11</v>
      </c>
      <c r="G187" t="s">
        <v>2061</v>
      </c>
      <c r="H187" t="s">
        <v>1750</v>
      </c>
      <c r="I187">
        <v>350</v>
      </c>
      <c r="J187">
        <v>1</v>
      </c>
      <c r="K187" t="s">
        <v>1118</v>
      </c>
      <c r="L187" t="s">
        <v>1692</v>
      </c>
      <c r="M187" t="s">
        <v>1693</v>
      </c>
      <c r="O187">
        <v>18.670000000000002</v>
      </c>
      <c r="P187" t="s">
        <v>1118</v>
      </c>
      <c r="W187">
        <v>52.84</v>
      </c>
      <c r="X187" t="s">
        <v>1118</v>
      </c>
      <c r="Y187">
        <v>2.17</v>
      </c>
      <c r="Z187" t="s">
        <v>1118</v>
      </c>
      <c r="AA187">
        <v>24.35</v>
      </c>
      <c r="AB187">
        <v>2.21</v>
      </c>
      <c r="AC187" t="s">
        <v>1118</v>
      </c>
      <c r="AD187">
        <v>0.04</v>
      </c>
      <c r="AG187">
        <v>8.26</v>
      </c>
    </row>
    <row r="188" spans="1:80">
      <c r="B188" t="s">
        <v>2064</v>
      </c>
      <c r="C188" t="s">
        <v>2065</v>
      </c>
      <c r="D188" t="s">
        <v>1705</v>
      </c>
      <c r="E188" t="s">
        <v>1706</v>
      </c>
      <c r="F188" t="s">
        <v>11</v>
      </c>
      <c r="G188" t="s">
        <v>2066</v>
      </c>
      <c r="H188" t="s">
        <v>1750</v>
      </c>
      <c r="I188">
        <v>550</v>
      </c>
      <c r="J188">
        <v>0.25</v>
      </c>
      <c r="K188" t="s">
        <v>1118</v>
      </c>
      <c r="L188" t="s">
        <v>1692</v>
      </c>
      <c r="M188" t="s">
        <v>1693</v>
      </c>
      <c r="O188">
        <v>7.88</v>
      </c>
      <c r="P188" t="s">
        <v>1118</v>
      </c>
      <c r="W188">
        <v>29.66</v>
      </c>
      <c r="X188" t="s">
        <v>1118</v>
      </c>
      <c r="Y188">
        <v>1.35</v>
      </c>
      <c r="Z188" t="s">
        <v>1118</v>
      </c>
      <c r="AA188">
        <v>21.97</v>
      </c>
      <c r="AB188">
        <v>1.0900000000000001</v>
      </c>
      <c r="AC188" t="s">
        <v>1118</v>
      </c>
      <c r="AD188">
        <v>0.04</v>
      </c>
      <c r="AG188">
        <v>9.93</v>
      </c>
    </row>
    <row r="189" spans="1:80">
      <c r="B189" t="s">
        <v>2067</v>
      </c>
      <c r="C189" t="s">
        <v>2065</v>
      </c>
      <c r="D189" t="s">
        <v>1705</v>
      </c>
      <c r="E189" t="s">
        <v>1706</v>
      </c>
      <c r="F189" t="s">
        <v>11</v>
      </c>
      <c r="G189" t="s">
        <v>2066</v>
      </c>
      <c r="H189" t="s">
        <v>1750</v>
      </c>
      <c r="I189">
        <v>550</v>
      </c>
      <c r="J189">
        <v>0.5</v>
      </c>
      <c r="K189" t="s">
        <v>1118</v>
      </c>
      <c r="L189" t="s">
        <v>1692</v>
      </c>
      <c r="M189" t="s">
        <v>1693</v>
      </c>
      <c r="O189">
        <v>7.88</v>
      </c>
      <c r="P189" t="s">
        <v>1118</v>
      </c>
      <c r="W189">
        <v>29.66</v>
      </c>
      <c r="X189" t="s">
        <v>1118</v>
      </c>
      <c r="Y189">
        <v>1.35</v>
      </c>
      <c r="Z189" t="s">
        <v>1118</v>
      </c>
      <c r="AA189">
        <v>21.97</v>
      </c>
      <c r="AB189">
        <v>1.0900000000000001</v>
      </c>
      <c r="AC189" t="s">
        <v>1118</v>
      </c>
      <c r="AD189">
        <v>0.04</v>
      </c>
      <c r="AG189">
        <v>9.93</v>
      </c>
    </row>
    <row r="190" spans="1:80">
      <c r="B190" t="s">
        <v>2068</v>
      </c>
      <c r="C190" t="s">
        <v>2065</v>
      </c>
      <c r="D190" t="s">
        <v>1705</v>
      </c>
      <c r="E190" t="s">
        <v>1706</v>
      </c>
      <c r="F190" t="s">
        <v>11</v>
      </c>
      <c r="G190" t="s">
        <v>2066</v>
      </c>
      <c r="H190" t="s">
        <v>1750</v>
      </c>
      <c r="I190">
        <v>550</v>
      </c>
      <c r="J190">
        <v>1</v>
      </c>
      <c r="K190" t="s">
        <v>1118</v>
      </c>
      <c r="L190" t="s">
        <v>1692</v>
      </c>
      <c r="M190" t="s">
        <v>1693</v>
      </c>
      <c r="O190">
        <v>7.88</v>
      </c>
      <c r="P190" t="s">
        <v>1118</v>
      </c>
      <c r="W190">
        <v>29.66</v>
      </c>
      <c r="X190" t="s">
        <v>1118</v>
      </c>
      <c r="Y190">
        <v>1.35</v>
      </c>
      <c r="Z190" t="s">
        <v>1118</v>
      </c>
      <c r="AA190">
        <v>21.97</v>
      </c>
      <c r="AB190">
        <v>1.0900000000000001</v>
      </c>
      <c r="AC190" t="s">
        <v>1118</v>
      </c>
      <c r="AD190">
        <v>0.04</v>
      </c>
      <c r="AG190">
        <v>9.93</v>
      </c>
    </row>
    <row r="191" spans="1:80">
      <c r="B191" t="s">
        <v>2069</v>
      </c>
      <c r="C191" t="s">
        <v>2070</v>
      </c>
      <c r="D191" t="s">
        <v>1705</v>
      </c>
      <c r="E191" t="s">
        <v>1706</v>
      </c>
      <c r="F191" t="s">
        <v>11</v>
      </c>
      <c r="G191" t="s">
        <v>2071</v>
      </c>
      <c r="H191" t="s">
        <v>1750</v>
      </c>
      <c r="I191">
        <v>400</v>
      </c>
      <c r="J191">
        <v>0.25</v>
      </c>
      <c r="K191" t="s">
        <v>1118</v>
      </c>
      <c r="L191" t="s">
        <v>1692</v>
      </c>
      <c r="M191" t="s">
        <v>1693</v>
      </c>
      <c r="O191">
        <v>33</v>
      </c>
      <c r="P191" t="s">
        <v>1118</v>
      </c>
      <c r="W191">
        <v>26.8</v>
      </c>
      <c r="X191" t="s">
        <v>1118</v>
      </c>
      <c r="Y191">
        <v>1.96</v>
      </c>
      <c r="Z191" t="s">
        <v>1118</v>
      </c>
      <c r="AA191">
        <v>13.67</v>
      </c>
      <c r="AB191">
        <v>1.07</v>
      </c>
      <c r="AC191" t="s">
        <v>1118</v>
      </c>
      <c r="AD191">
        <v>0.04</v>
      </c>
      <c r="AG191">
        <v>9.8699999999999992</v>
      </c>
    </row>
    <row r="192" spans="1:80">
      <c r="B192" t="s">
        <v>2072</v>
      </c>
      <c r="C192" t="s">
        <v>2070</v>
      </c>
      <c r="D192" t="s">
        <v>1705</v>
      </c>
      <c r="E192" t="s">
        <v>1706</v>
      </c>
      <c r="F192" t="s">
        <v>11</v>
      </c>
      <c r="G192" t="s">
        <v>2071</v>
      </c>
      <c r="H192" t="s">
        <v>1750</v>
      </c>
      <c r="I192">
        <v>400</v>
      </c>
      <c r="J192">
        <v>0.5</v>
      </c>
      <c r="K192" t="s">
        <v>1118</v>
      </c>
      <c r="L192" t="s">
        <v>1692</v>
      </c>
      <c r="M192" t="s">
        <v>1693</v>
      </c>
      <c r="O192">
        <v>33</v>
      </c>
      <c r="P192" t="s">
        <v>1118</v>
      </c>
      <c r="W192">
        <v>26.8</v>
      </c>
      <c r="X192" t="s">
        <v>1118</v>
      </c>
      <c r="Y192">
        <v>1.96</v>
      </c>
      <c r="Z192" t="s">
        <v>1118</v>
      </c>
      <c r="AA192">
        <v>13.67</v>
      </c>
      <c r="AB192">
        <v>1.07</v>
      </c>
      <c r="AC192" t="s">
        <v>1118</v>
      </c>
      <c r="AD192">
        <v>0.04</v>
      </c>
      <c r="AG192">
        <v>9.8699999999999992</v>
      </c>
    </row>
    <row r="193" spans="1:51">
      <c r="B193" t="s">
        <v>2073</v>
      </c>
      <c r="C193" t="s">
        <v>2070</v>
      </c>
      <c r="D193" t="s">
        <v>1705</v>
      </c>
      <c r="E193" t="s">
        <v>1706</v>
      </c>
      <c r="F193" t="s">
        <v>11</v>
      </c>
      <c r="G193" t="s">
        <v>2071</v>
      </c>
      <c r="H193" t="s">
        <v>1750</v>
      </c>
      <c r="I193">
        <v>400</v>
      </c>
      <c r="J193">
        <v>1</v>
      </c>
      <c r="K193" t="s">
        <v>1118</v>
      </c>
      <c r="L193" t="s">
        <v>1692</v>
      </c>
      <c r="M193" t="s">
        <v>1693</v>
      </c>
      <c r="O193">
        <v>33</v>
      </c>
      <c r="P193" t="s">
        <v>1118</v>
      </c>
      <c r="W193">
        <v>26.8</v>
      </c>
      <c r="X193" t="s">
        <v>1118</v>
      </c>
      <c r="Y193">
        <v>1.96</v>
      </c>
      <c r="Z193" t="s">
        <v>1118</v>
      </c>
      <c r="AA193">
        <v>13.67</v>
      </c>
      <c r="AB193">
        <v>1.07</v>
      </c>
      <c r="AC193" t="s">
        <v>1118</v>
      </c>
      <c r="AD193">
        <v>0.04</v>
      </c>
      <c r="AG193">
        <v>9.8699999999999992</v>
      </c>
    </row>
    <row r="194" spans="1:51">
      <c r="A194" t="s">
        <v>160</v>
      </c>
      <c r="B194" t="s">
        <v>2074</v>
      </c>
      <c r="F194" t="s">
        <v>7</v>
      </c>
    </row>
    <row r="195" spans="1:51">
      <c r="B195" t="s">
        <v>2075</v>
      </c>
      <c r="C195" t="s">
        <v>2076</v>
      </c>
      <c r="D195" t="s">
        <v>1763</v>
      </c>
      <c r="E195" t="s">
        <v>1721</v>
      </c>
      <c r="F195" t="s">
        <v>11</v>
      </c>
      <c r="G195" t="s">
        <v>2077</v>
      </c>
      <c r="J195">
        <v>60</v>
      </c>
      <c r="K195" t="s">
        <v>1723</v>
      </c>
      <c r="L195" t="s">
        <v>1692</v>
      </c>
      <c r="M195" t="s">
        <v>1693</v>
      </c>
      <c r="N195">
        <v>10</v>
      </c>
      <c r="O195">
        <v>2.2000000000000002</v>
      </c>
      <c r="P195" t="s">
        <v>1118</v>
      </c>
      <c r="U195">
        <v>7.4</v>
      </c>
      <c r="V195" t="s">
        <v>1118</v>
      </c>
      <c r="Y195">
        <v>2.4</v>
      </c>
      <c r="Z195" t="s">
        <v>1118</v>
      </c>
      <c r="AG195">
        <v>5.2</v>
      </c>
      <c r="AH195" t="s">
        <v>1277</v>
      </c>
      <c r="AI195" t="s">
        <v>2078</v>
      </c>
      <c r="AJ195">
        <v>5</v>
      </c>
      <c r="AK195" t="s">
        <v>1118</v>
      </c>
      <c r="AX195">
        <v>5.31</v>
      </c>
      <c r="AY195" t="s">
        <v>1150</v>
      </c>
    </row>
    <row r="196" spans="1:51">
      <c r="B196" t="s">
        <v>2079</v>
      </c>
      <c r="C196" t="s">
        <v>2076</v>
      </c>
      <c r="D196" t="s">
        <v>1763</v>
      </c>
      <c r="E196" t="s">
        <v>1721</v>
      </c>
      <c r="F196" t="s">
        <v>11</v>
      </c>
      <c r="G196" t="s">
        <v>2077</v>
      </c>
      <c r="J196">
        <v>120</v>
      </c>
      <c r="K196" t="s">
        <v>1723</v>
      </c>
      <c r="L196" t="s">
        <v>1692</v>
      </c>
      <c r="M196" t="s">
        <v>1693</v>
      </c>
      <c r="N196">
        <v>10</v>
      </c>
      <c r="O196">
        <v>3.62</v>
      </c>
      <c r="P196" t="s">
        <v>1118</v>
      </c>
      <c r="U196">
        <v>7.4</v>
      </c>
      <c r="V196" t="s">
        <v>1118</v>
      </c>
      <c r="Y196">
        <v>2.4</v>
      </c>
      <c r="Z196" t="s">
        <v>1118</v>
      </c>
      <c r="AG196">
        <v>5.0999999999999996</v>
      </c>
      <c r="AH196" t="s">
        <v>1277</v>
      </c>
      <c r="AI196" t="s">
        <v>2078</v>
      </c>
      <c r="AJ196">
        <v>5</v>
      </c>
      <c r="AK196" t="s">
        <v>1118</v>
      </c>
      <c r="AX196">
        <v>5.31</v>
      </c>
      <c r="AY196" t="s">
        <v>1150</v>
      </c>
    </row>
    <row r="197" spans="1:51">
      <c r="A197" t="s">
        <v>796</v>
      </c>
      <c r="B197" t="s">
        <v>2080</v>
      </c>
      <c r="C197" t="s">
        <v>2081</v>
      </c>
      <c r="F197" t="s">
        <v>7</v>
      </c>
    </row>
    <row r="198" spans="1:51">
      <c r="B198" t="s">
        <v>2082</v>
      </c>
      <c r="C198" t="s">
        <v>2083</v>
      </c>
      <c r="D198" t="s">
        <v>1700</v>
      </c>
      <c r="E198" t="s">
        <v>1700</v>
      </c>
      <c r="F198" t="s">
        <v>11</v>
      </c>
      <c r="G198" t="s">
        <v>2084</v>
      </c>
      <c r="J198">
        <v>20</v>
      </c>
      <c r="K198" t="s">
        <v>1723</v>
      </c>
      <c r="L198" t="s">
        <v>1692</v>
      </c>
      <c r="M198" t="s">
        <v>1693</v>
      </c>
    </row>
    <row r="199" spans="1:51">
      <c r="A199" t="s">
        <v>792</v>
      </c>
      <c r="B199" t="s">
        <v>2085</v>
      </c>
      <c r="F199" t="s">
        <v>7</v>
      </c>
    </row>
    <row r="200" spans="1:51">
      <c r="B200" t="s">
        <v>2086</v>
      </c>
      <c r="C200" t="s">
        <v>2087</v>
      </c>
      <c r="D200" t="s">
        <v>1688</v>
      </c>
      <c r="E200" t="s">
        <v>1688</v>
      </c>
      <c r="F200" t="s">
        <v>11</v>
      </c>
      <c r="G200" t="s">
        <v>2087</v>
      </c>
      <c r="J200">
        <v>5</v>
      </c>
      <c r="K200" t="s">
        <v>1118</v>
      </c>
      <c r="L200" t="s">
        <v>1692</v>
      </c>
      <c r="M200" t="s">
        <v>1693</v>
      </c>
    </row>
    <row r="201" spans="1:51">
      <c r="B201" t="s">
        <v>2088</v>
      </c>
      <c r="C201" t="s">
        <v>2089</v>
      </c>
      <c r="D201" t="s">
        <v>1688</v>
      </c>
      <c r="E201" t="s">
        <v>1688</v>
      </c>
      <c r="F201" t="s">
        <v>11</v>
      </c>
      <c r="G201" t="s">
        <v>2089</v>
      </c>
      <c r="J201">
        <v>5</v>
      </c>
      <c r="K201" t="s">
        <v>1118</v>
      </c>
      <c r="L201" t="s">
        <v>1692</v>
      </c>
      <c r="M201" t="s">
        <v>1693</v>
      </c>
    </row>
    <row r="202" spans="1:51">
      <c r="B202" t="s">
        <v>2090</v>
      </c>
      <c r="C202" t="s">
        <v>2091</v>
      </c>
      <c r="D202" t="s">
        <v>1688</v>
      </c>
      <c r="E202" t="s">
        <v>1688</v>
      </c>
      <c r="F202" t="s">
        <v>11</v>
      </c>
      <c r="G202" t="s">
        <v>2091</v>
      </c>
      <c r="J202">
        <v>5</v>
      </c>
      <c r="K202" t="s">
        <v>1118</v>
      </c>
      <c r="L202" t="s">
        <v>1692</v>
      </c>
      <c r="M202" t="s">
        <v>1693</v>
      </c>
    </row>
    <row r="203" spans="1:51">
      <c r="B203" t="s">
        <v>2092</v>
      </c>
      <c r="C203" t="s">
        <v>2093</v>
      </c>
      <c r="D203" t="s">
        <v>1688</v>
      </c>
      <c r="E203" t="s">
        <v>1688</v>
      </c>
      <c r="F203" t="s">
        <v>11</v>
      </c>
      <c r="G203" t="s">
        <v>2093</v>
      </c>
      <c r="J203">
        <v>5</v>
      </c>
      <c r="K203" t="s">
        <v>1118</v>
      </c>
      <c r="L203" t="s">
        <v>1692</v>
      </c>
      <c r="M203" t="s">
        <v>1693</v>
      </c>
    </row>
    <row r="204" spans="1:51">
      <c r="B204" t="s">
        <v>2094</v>
      </c>
      <c r="C204" t="s">
        <v>2095</v>
      </c>
      <c r="D204" t="s">
        <v>1763</v>
      </c>
      <c r="E204" t="s">
        <v>1721</v>
      </c>
      <c r="F204" t="s">
        <v>11</v>
      </c>
      <c r="G204" t="s">
        <v>2095</v>
      </c>
      <c r="J204">
        <v>5</v>
      </c>
      <c r="K204" t="s">
        <v>1118</v>
      </c>
      <c r="L204" t="s">
        <v>1692</v>
      </c>
      <c r="M204" t="s">
        <v>1693</v>
      </c>
    </row>
    <row r="205" spans="1:51">
      <c r="A205" t="s">
        <v>190</v>
      </c>
      <c r="B205" t="s">
        <v>2096</v>
      </c>
      <c r="F205" t="s">
        <v>7</v>
      </c>
    </row>
    <row r="206" spans="1:51">
      <c r="B206" t="s">
        <v>2097</v>
      </c>
      <c r="C206" t="s">
        <v>2098</v>
      </c>
      <c r="D206" t="s">
        <v>1705</v>
      </c>
      <c r="E206" t="s">
        <v>1706</v>
      </c>
      <c r="F206" t="s">
        <v>11</v>
      </c>
      <c r="G206" t="s">
        <v>2099</v>
      </c>
      <c r="H206" t="s">
        <v>2100</v>
      </c>
      <c r="I206" t="s">
        <v>2101</v>
      </c>
      <c r="J206">
        <v>0.5</v>
      </c>
      <c r="K206" t="s">
        <v>1118</v>
      </c>
      <c r="L206" t="s">
        <v>1692</v>
      </c>
      <c r="M206" t="s">
        <v>1693</v>
      </c>
      <c r="O206">
        <v>70.650000000000006</v>
      </c>
      <c r="P206" t="s">
        <v>1118</v>
      </c>
      <c r="W206">
        <v>70.650000000000006</v>
      </c>
      <c r="X206" t="s">
        <v>1118</v>
      </c>
      <c r="Y206">
        <v>0.13</v>
      </c>
      <c r="Z206" t="s">
        <v>1118</v>
      </c>
      <c r="AA206">
        <v>353.25</v>
      </c>
      <c r="AB206">
        <v>3.37</v>
      </c>
      <c r="AC206" t="s">
        <v>1118</v>
      </c>
      <c r="AD206">
        <v>0.56999999999999995</v>
      </c>
      <c r="AE206">
        <v>21.3</v>
      </c>
      <c r="AF206" t="s">
        <v>1118</v>
      </c>
      <c r="AR206">
        <v>260.10000000000002</v>
      </c>
      <c r="AS206" t="s">
        <v>1884</v>
      </c>
    </row>
    <row r="207" spans="1:51">
      <c r="B207" t="s">
        <v>2102</v>
      </c>
      <c r="C207" t="s">
        <v>2103</v>
      </c>
      <c r="D207" t="s">
        <v>1705</v>
      </c>
      <c r="E207" t="s">
        <v>1706</v>
      </c>
      <c r="F207" t="s">
        <v>11</v>
      </c>
      <c r="G207" t="s">
        <v>2099</v>
      </c>
      <c r="H207" t="s">
        <v>2100</v>
      </c>
      <c r="I207" t="s">
        <v>2101</v>
      </c>
      <c r="J207">
        <v>1</v>
      </c>
      <c r="K207" t="s">
        <v>1118</v>
      </c>
      <c r="L207" t="s">
        <v>1692</v>
      </c>
      <c r="M207" t="s">
        <v>1693</v>
      </c>
      <c r="O207">
        <v>70.650000000000006</v>
      </c>
      <c r="P207" t="s">
        <v>1118</v>
      </c>
      <c r="W207">
        <v>70.650000000000006</v>
      </c>
      <c r="X207" t="s">
        <v>1118</v>
      </c>
      <c r="Y207">
        <v>0.13</v>
      </c>
      <c r="Z207" t="s">
        <v>1118</v>
      </c>
      <c r="AA207">
        <v>353.25</v>
      </c>
      <c r="AB207">
        <v>3.37</v>
      </c>
      <c r="AC207" t="s">
        <v>1118</v>
      </c>
      <c r="AD207">
        <v>0.56999999999999995</v>
      </c>
      <c r="AE207">
        <v>21.3</v>
      </c>
      <c r="AF207" t="s">
        <v>1118</v>
      </c>
      <c r="AR207">
        <v>260.10000000000002</v>
      </c>
      <c r="AS207" t="s">
        <v>1884</v>
      </c>
    </row>
    <row r="208" spans="1:51">
      <c r="B208" t="s">
        <v>2104</v>
      </c>
      <c r="C208" t="s">
        <v>2105</v>
      </c>
      <c r="D208" t="s">
        <v>1705</v>
      </c>
      <c r="E208" t="s">
        <v>1706</v>
      </c>
      <c r="F208" t="s">
        <v>11</v>
      </c>
      <c r="G208" t="s">
        <v>2099</v>
      </c>
      <c r="H208" t="s">
        <v>2100</v>
      </c>
      <c r="I208" t="s">
        <v>2101</v>
      </c>
      <c r="J208">
        <v>5</v>
      </c>
      <c r="K208" t="s">
        <v>1118</v>
      </c>
      <c r="L208" t="s">
        <v>1692</v>
      </c>
      <c r="M208" t="s">
        <v>1693</v>
      </c>
      <c r="O208">
        <v>70.650000000000006</v>
      </c>
      <c r="P208" t="s">
        <v>1118</v>
      </c>
      <c r="W208">
        <v>70.650000000000006</v>
      </c>
      <c r="X208" t="s">
        <v>1118</v>
      </c>
      <c r="Y208">
        <v>0.13</v>
      </c>
      <c r="Z208" t="s">
        <v>1118</v>
      </c>
      <c r="AA208">
        <v>353.25</v>
      </c>
      <c r="AB208">
        <v>3.37</v>
      </c>
      <c r="AC208" t="s">
        <v>1118</v>
      </c>
      <c r="AD208">
        <v>0.56999999999999995</v>
      </c>
      <c r="AE208">
        <v>21.3</v>
      </c>
      <c r="AF208" t="s">
        <v>1118</v>
      </c>
      <c r="AR208">
        <v>260.10000000000002</v>
      </c>
      <c r="AS208" t="s">
        <v>1884</v>
      </c>
    </row>
    <row r="209" spans="1:73">
      <c r="A209" t="s">
        <v>205</v>
      </c>
      <c r="B209" t="s">
        <v>2106</v>
      </c>
      <c r="C209" t="s">
        <v>2107</v>
      </c>
      <c r="F209" t="s">
        <v>7</v>
      </c>
    </row>
    <row r="210" spans="1:73">
      <c r="B210" t="s">
        <v>2108</v>
      </c>
      <c r="C210" t="s">
        <v>2109</v>
      </c>
      <c r="D210" t="s">
        <v>1688</v>
      </c>
      <c r="E210" t="s">
        <v>1688</v>
      </c>
      <c r="F210" t="s">
        <v>11</v>
      </c>
      <c r="G210" t="s">
        <v>2110</v>
      </c>
      <c r="J210">
        <v>2.5</v>
      </c>
      <c r="K210" t="s">
        <v>1118</v>
      </c>
      <c r="O210">
        <v>31</v>
      </c>
      <c r="P210" t="s">
        <v>1118</v>
      </c>
      <c r="W210">
        <v>34.200000000000003</v>
      </c>
      <c r="X210" t="s">
        <v>1118</v>
      </c>
      <c r="Y210">
        <v>1.71</v>
      </c>
      <c r="Z210" t="s">
        <v>1118</v>
      </c>
      <c r="AA210">
        <f>W210/Y210</f>
        <v>20.000000000000004</v>
      </c>
      <c r="AB210">
        <v>8.6999999999999993</v>
      </c>
      <c r="AC210" t="s">
        <v>1118</v>
      </c>
      <c r="AD210">
        <f>AB210/W210</f>
        <v>0.25438596491228066</v>
      </c>
      <c r="AG210">
        <v>7.6</v>
      </c>
      <c r="AH210" t="s">
        <v>1277</v>
      </c>
      <c r="AI210" t="s">
        <v>2111</v>
      </c>
    </row>
    <row r="211" spans="1:73">
      <c r="B211" t="s">
        <v>2112</v>
      </c>
      <c r="C211" t="s">
        <v>2113</v>
      </c>
      <c r="D211" t="s">
        <v>1688</v>
      </c>
      <c r="E211" t="s">
        <v>1688</v>
      </c>
      <c r="F211" t="s">
        <v>11</v>
      </c>
      <c r="G211" t="s">
        <v>2110</v>
      </c>
      <c r="J211">
        <v>5</v>
      </c>
      <c r="K211" t="s">
        <v>1118</v>
      </c>
    </row>
    <row r="212" spans="1:73">
      <c r="A212" t="s">
        <v>788</v>
      </c>
      <c r="B212" t="s">
        <v>2114</v>
      </c>
      <c r="F212" t="s">
        <v>7</v>
      </c>
    </row>
    <row r="213" spans="1:73">
      <c r="B213" t="s">
        <v>2115</v>
      </c>
      <c r="C213" t="s">
        <v>2116</v>
      </c>
      <c r="D213" t="s">
        <v>1848</v>
      </c>
      <c r="E213" t="s">
        <v>2117</v>
      </c>
      <c r="F213" t="s">
        <v>11</v>
      </c>
      <c r="G213" t="s">
        <v>2118</v>
      </c>
      <c r="J213">
        <v>50</v>
      </c>
      <c r="K213" t="s">
        <v>1118</v>
      </c>
      <c r="L213" t="s">
        <v>1692</v>
      </c>
      <c r="M213" t="s">
        <v>1693</v>
      </c>
      <c r="O213">
        <v>22.36</v>
      </c>
      <c r="P213" t="s">
        <v>1118</v>
      </c>
      <c r="Y213">
        <v>19.04</v>
      </c>
      <c r="Z213" t="s">
        <v>1104</v>
      </c>
      <c r="AA213">
        <v>11.7</v>
      </c>
      <c r="AG213">
        <v>7.45</v>
      </c>
      <c r="AH213" t="s">
        <v>1277</v>
      </c>
      <c r="AI213" t="s">
        <v>1694</v>
      </c>
      <c r="AV213">
        <v>148.76</v>
      </c>
      <c r="AW213" t="s">
        <v>1119</v>
      </c>
      <c r="AX213">
        <v>157.30000000000001</v>
      </c>
      <c r="AY213" t="s">
        <v>1164</v>
      </c>
    </row>
    <row r="214" spans="1:73">
      <c r="B214" t="s">
        <v>2119</v>
      </c>
      <c r="C214" t="s">
        <v>2120</v>
      </c>
      <c r="D214" t="s">
        <v>1848</v>
      </c>
      <c r="E214" t="s">
        <v>2117</v>
      </c>
      <c r="F214" t="s">
        <v>11</v>
      </c>
      <c r="G214" t="s">
        <v>2121</v>
      </c>
      <c r="J214">
        <v>50</v>
      </c>
      <c r="K214" t="s">
        <v>1118</v>
      </c>
      <c r="L214" t="s">
        <v>1692</v>
      </c>
      <c r="M214" t="s">
        <v>1693</v>
      </c>
      <c r="O214">
        <v>20.329999999999998</v>
      </c>
      <c r="P214" t="s">
        <v>1118</v>
      </c>
      <c r="Y214">
        <v>17.510000000000002</v>
      </c>
      <c r="Z214" t="s">
        <v>1104</v>
      </c>
      <c r="AA214">
        <v>11.6</v>
      </c>
      <c r="AG214">
        <v>7.4</v>
      </c>
      <c r="AH214" t="s">
        <v>1277</v>
      </c>
      <c r="AI214" t="s">
        <v>1694</v>
      </c>
      <c r="AV214">
        <v>157.38</v>
      </c>
      <c r="AW214" t="s">
        <v>1119</v>
      </c>
      <c r="AX214">
        <v>154.33000000000001</v>
      </c>
      <c r="AY214" t="s">
        <v>1164</v>
      </c>
    </row>
    <row r="215" spans="1:73">
      <c r="A215" t="s">
        <v>784</v>
      </c>
      <c r="B215" t="s">
        <v>2122</v>
      </c>
      <c r="F215" t="s">
        <v>7</v>
      </c>
    </row>
    <row r="216" spans="1:73">
      <c r="B216" t="s">
        <v>2123</v>
      </c>
      <c r="C216" t="s">
        <v>2005</v>
      </c>
      <c r="D216" t="s">
        <v>1763</v>
      </c>
      <c r="E216" t="s">
        <v>2005</v>
      </c>
      <c r="F216" t="s">
        <v>11</v>
      </c>
      <c r="G216" t="s">
        <v>2124</v>
      </c>
      <c r="J216">
        <v>10</v>
      </c>
      <c r="K216" t="s">
        <v>1118</v>
      </c>
      <c r="L216" t="s">
        <v>1709</v>
      </c>
      <c r="S216">
        <v>74.099999999999994</v>
      </c>
      <c r="T216" t="s">
        <v>1118</v>
      </c>
      <c r="Y216">
        <v>6.4</v>
      </c>
      <c r="Z216" t="s">
        <v>1118</v>
      </c>
      <c r="AG216">
        <v>5.66</v>
      </c>
      <c r="AH216" t="s">
        <v>1277</v>
      </c>
      <c r="AI216" t="s">
        <v>1694</v>
      </c>
      <c r="AX216">
        <v>9130.8700000000008</v>
      </c>
      <c r="AY216" t="s">
        <v>1222</v>
      </c>
      <c r="BD216">
        <v>670.5</v>
      </c>
      <c r="BE216" t="s">
        <v>1108</v>
      </c>
      <c r="BJ216">
        <v>157.9</v>
      </c>
      <c r="BK216" t="s">
        <v>1108</v>
      </c>
      <c r="BL216">
        <v>279.82</v>
      </c>
      <c r="BM216" t="s">
        <v>1108</v>
      </c>
      <c r="BN216">
        <v>571.86</v>
      </c>
      <c r="BO216" t="s">
        <v>1108</v>
      </c>
    </row>
    <row r="217" spans="1:73">
      <c r="B217" t="s">
        <v>2125</v>
      </c>
      <c r="C217" t="s">
        <v>2005</v>
      </c>
      <c r="D217" t="s">
        <v>1763</v>
      </c>
      <c r="E217" t="s">
        <v>2005</v>
      </c>
      <c r="F217" t="s">
        <v>11</v>
      </c>
      <c r="G217" t="s">
        <v>2124</v>
      </c>
      <c r="J217">
        <v>20</v>
      </c>
      <c r="K217" t="s">
        <v>1118</v>
      </c>
      <c r="L217" t="s">
        <v>1709</v>
      </c>
      <c r="S217">
        <v>74.099999999999994</v>
      </c>
      <c r="T217" t="s">
        <v>1118</v>
      </c>
      <c r="Y217">
        <v>6.4</v>
      </c>
      <c r="Z217" t="s">
        <v>1118</v>
      </c>
      <c r="AG217">
        <v>5.66</v>
      </c>
      <c r="AH217" t="s">
        <v>1277</v>
      </c>
      <c r="AI217" t="s">
        <v>1694</v>
      </c>
      <c r="AX217">
        <v>9130.8700000000008</v>
      </c>
      <c r="AY217" t="s">
        <v>1222</v>
      </c>
      <c r="BD217">
        <v>671.5</v>
      </c>
      <c r="BE217" t="s">
        <v>1108</v>
      </c>
      <c r="BJ217">
        <v>158.9</v>
      </c>
      <c r="BK217" t="s">
        <v>1108</v>
      </c>
      <c r="BL217">
        <v>279.82</v>
      </c>
      <c r="BM217" t="s">
        <v>1108</v>
      </c>
      <c r="BN217">
        <v>571.86</v>
      </c>
      <c r="BO217" t="s">
        <v>1108</v>
      </c>
    </row>
    <row r="218" spans="1:73">
      <c r="B218" t="s">
        <v>2126</v>
      </c>
      <c r="C218" t="s">
        <v>2005</v>
      </c>
      <c r="D218" t="s">
        <v>1763</v>
      </c>
      <c r="E218" t="s">
        <v>2005</v>
      </c>
      <c r="F218" t="s">
        <v>11</v>
      </c>
      <c r="G218" t="s">
        <v>2124</v>
      </c>
      <c r="J218">
        <v>30</v>
      </c>
      <c r="K218" t="s">
        <v>1118</v>
      </c>
      <c r="L218" t="s">
        <v>1709</v>
      </c>
      <c r="S218">
        <v>74.099999999999994</v>
      </c>
      <c r="T218" t="s">
        <v>1118</v>
      </c>
      <c r="Y218">
        <v>6.4</v>
      </c>
      <c r="Z218" t="s">
        <v>1118</v>
      </c>
      <c r="AG218">
        <v>5.66</v>
      </c>
      <c r="AH218" t="s">
        <v>1277</v>
      </c>
      <c r="AI218" t="s">
        <v>1694</v>
      </c>
      <c r="AX218">
        <v>9130.8700000000008</v>
      </c>
      <c r="AY218" t="s">
        <v>1222</v>
      </c>
      <c r="BD218">
        <v>672.5</v>
      </c>
      <c r="BE218" t="s">
        <v>1108</v>
      </c>
      <c r="BJ218">
        <v>159.9</v>
      </c>
      <c r="BK218" t="s">
        <v>1108</v>
      </c>
      <c r="BL218">
        <v>279.82</v>
      </c>
      <c r="BM218" t="s">
        <v>1108</v>
      </c>
      <c r="BN218">
        <v>571.86</v>
      </c>
      <c r="BO218" t="s">
        <v>1108</v>
      </c>
    </row>
    <row r="219" spans="1:73">
      <c r="B219" t="s">
        <v>2127</v>
      </c>
      <c r="C219" t="s">
        <v>2005</v>
      </c>
      <c r="D219" t="s">
        <v>1763</v>
      </c>
      <c r="E219" t="s">
        <v>2005</v>
      </c>
      <c r="F219" t="s">
        <v>11</v>
      </c>
      <c r="G219" t="s">
        <v>2124</v>
      </c>
      <c r="J219">
        <v>40</v>
      </c>
      <c r="K219" t="s">
        <v>1118</v>
      </c>
      <c r="L219" t="s">
        <v>1709</v>
      </c>
      <c r="S219">
        <v>74.099999999999994</v>
      </c>
      <c r="T219" t="s">
        <v>1118</v>
      </c>
      <c r="Y219">
        <v>6.4</v>
      </c>
      <c r="Z219" t="s">
        <v>1118</v>
      </c>
      <c r="AG219">
        <v>5.66</v>
      </c>
      <c r="AH219" t="s">
        <v>1277</v>
      </c>
      <c r="AI219" t="s">
        <v>1694</v>
      </c>
      <c r="AX219">
        <v>9130.8700000000008</v>
      </c>
      <c r="AY219" t="s">
        <v>1222</v>
      </c>
      <c r="BD219">
        <v>673.5</v>
      </c>
      <c r="BE219" t="s">
        <v>1108</v>
      </c>
      <c r="BJ219">
        <v>160.9</v>
      </c>
      <c r="BK219" t="s">
        <v>1108</v>
      </c>
      <c r="BL219">
        <v>279.82</v>
      </c>
      <c r="BM219" t="s">
        <v>1108</v>
      </c>
      <c r="BN219">
        <v>571.86</v>
      </c>
      <c r="BO219" t="s">
        <v>1108</v>
      </c>
    </row>
    <row r="220" spans="1:73">
      <c r="B220" t="s">
        <v>2128</v>
      </c>
      <c r="C220" t="s">
        <v>2005</v>
      </c>
      <c r="D220" t="s">
        <v>1763</v>
      </c>
      <c r="E220" t="s">
        <v>2005</v>
      </c>
      <c r="F220" t="s">
        <v>11</v>
      </c>
      <c r="G220" t="s">
        <v>2124</v>
      </c>
      <c r="J220">
        <v>50</v>
      </c>
      <c r="K220" t="s">
        <v>1118</v>
      </c>
      <c r="L220" t="s">
        <v>1709</v>
      </c>
      <c r="S220">
        <v>74.099999999999994</v>
      </c>
      <c r="T220" t="s">
        <v>1118</v>
      </c>
      <c r="Y220">
        <v>6.4</v>
      </c>
      <c r="Z220" t="s">
        <v>1118</v>
      </c>
      <c r="AG220">
        <v>5.66</v>
      </c>
      <c r="AH220" t="s">
        <v>1277</v>
      </c>
      <c r="AI220" t="s">
        <v>1694</v>
      </c>
      <c r="AX220">
        <v>9130.8700000000008</v>
      </c>
      <c r="AY220" t="s">
        <v>1222</v>
      </c>
      <c r="BD220">
        <v>674.5</v>
      </c>
      <c r="BE220" t="s">
        <v>1108</v>
      </c>
      <c r="BJ220">
        <v>161.9</v>
      </c>
      <c r="BK220" t="s">
        <v>1108</v>
      </c>
      <c r="BL220">
        <v>279.82</v>
      </c>
      <c r="BM220" t="s">
        <v>1108</v>
      </c>
      <c r="BN220">
        <v>571.86</v>
      </c>
      <c r="BO220" t="s">
        <v>1108</v>
      </c>
    </row>
    <row r="221" spans="1:73">
      <c r="A221" t="s">
        <v>780</v>
      </c>
      <c r="B221" t="s">
        <v>2129</v>
      </c>
      <c r="F221" t="s">
        <v>7</v>
      </c>
    </row>
    <row r="222" spans="1:73">
      <c r="B222" t="s">
        <v>2130</v>
      </c>
      <c r="C222" t="s">
        <v>2131</v>
      </c>
      <c r="D222" t="s">
        <v>1824</v>
      </c>
      <c r="E222" t="s">
        <v>1948</v>
      </c>
      <c r="F222" t="s">
        <v>11</v>
      </c>
      <c r="G222" t="s">
        <v>2132</v>
      </c>
      <c r="S222">
        <v>74.099999999999994</v>
      </c>
      <c r="T222" t="s">
        <v>1118</v>
      </c>
      <c r="Y222">
        <v>6.4</v>
      </c>
      <c r="Z222" t="s">
        <v>1118</v>
      </c>
      <c r="AA222">
        <v>6.6</v>
      </c>
      <c r="AG222">
        <v>6.05</v>
      </c>
      <c r="AH222" t="s">
        <v>1277</v>
      </c>
      <c r="AI222" t="s">
        <v>1694</v>
      </c>
      <c r="AL222">
        <v>2.52</v>
      </c>
      <c r="AM222" t="s">
        <v>1118</v>
      </c>
      <c r="AX222">
        <v>9.19</v>
      </c>
      <c r="AY222" t="s">
        <v>1150</v>
      </c>
      <c r="BD222">
        <v>16700</v>
      </c>
      <c r="BE222" t="s">
        <v>1108</v>
      </c>
      <c r="BF222">
        <v>6880</v>
      </c>
      <c r="BG222" t="s">
        <v>1108</v>
      </c>
      <c r="BJ222">
        <v>5710</v>
      </c>
      <c r="BK222" t="s">
        <v>1108</v>
      </c>
      <c r="BL222">
        <v>2790</v>
      </c>
      <c r="BM222" t="s">
        <v>1108</v>
      </c>
      <c r="BN222">
        <v>15700</v>
      </c>
      <c r="BO222" t="s">
        <v>1108</v>
      </c>
      <c r="BP222">
        <v>20</v>
      </c>
      <c r="BQ222" t="s">
        <v>1108</v>
      </c>
      <c r="BR222">
        <v>969</v>
      </c>
      <c r="BS222" t="s">
        <v>1108</v>
      </c>
      <c r="BT222">
        <v>138</v>
      </c>
      <c r="BU222" t="s">
        <v>1108</v>
      </c>
    </row>
    <row r="223" spans="1:73">
      <c r="B223" t="s">
        <v>2133</v>
      </c>
      <c r="C223" t="s">
        <v>2134</v>
      </c>
      <c r="D223" t="s">
        <v>1824</v>
      </c>
      <c r="E223" t="s">
        <v>1948</v>
      </c>
      <c r="F223" t="s">
        <v>11</v>
      </c>
      <c r="G223" t="s">
        <v>2135</v>
      </c>
      <c r="S223">
        <v>53.1</v>
      </c>
      <c r="T223" t="s">
        <v>1118</v>
      </c>
      <c r="Y223">
        <v>6.6</v>
      </c>
      <c r="Z223" t="s">
        <v>1118</v>
      </c>
      <c r="AA223">
        <v>4.5999999999999996</v>
      </c>
      <c r="AG223">
        <v>5.66</v>
      </c>
      <c r="AH223" t="s">
        <v>1277</v>
      </c>
      <c r="AI223" t="s">
        <v>1694</v>
      </c>
      <c r="AL223">
        <v>16.88</v>
      </c>
      <c r="AM223" t="s">
        <v>1118</v>
      </c>
      <c r="AX223">
        <v>3.99</v>
      </c>
      <c r="AY223" t="s">
        <v>1150</v>
      </c>
      <c r="BD223">
        <v>23100</v>
      </c>
      <c r="BE223" t="s">
        <v>1108</v>
      </c>
      <c r="BF223">
        <v>28900</v>
      </c>
      <c r="BG223" t="s">
        <v>1108</v>
      </c>
      <c r="BJ223">
        <v>3240</v>
      </c>
      <c r="BK223" t="s">
        <v>1108</v>
      </c>
      <c r="BL223">
        <v>3980</v>
      </c>
      <c r="BM223" t="s">
        <v>1108</v>
      </c>
      <c r="BN223">
        <v>562</v>
      </c>
      <c r="BO223" t="s">
        <v>1108</v>
      </c>
      <c r="BP223">
        <v>206</v>
      </c>
      <c r="BQ223" t="s">
        <v>1108</v>
      </c>
      <c r="BR223">
        <v>15100</v>
      </c>
      <c r="BS223" t="s">
        <v>1108</v>
      </c>
      <c r="BT223">
        <v>1160</v>
      </c>
      <c r="BU223" t="s">
        <v>1108</v>
      </c>
    </row>
    <row r="224" spans="1:73">
      <c r="A224" t="s">
        <v>213</v>
      </c>
      <c r="B224" t="s">
        <v>2136</v>
      </c>
      <c r="F224" t="s">
        <v>7</v>
      </c>
    </row>
    <row r="225" spans="1:63">
      <c r="B225" t="s">
        <v>2137</v>
      </c>
      <c r="C225" t="s">
        <v>2138</v>
      </c>
      <c r="D225" t="s">
        <v>1700</v>
      </c>
      <c r="E225" t="s">
        <v>1700</v>
      </c>
      <c r="F225" t="s">
        <v>11</v>
      </c>
      <c r="G225" t="s">
        <v>2139</v>
      </c>
      <c r="J225">
        <v>1</v>
      </c>
      <c r="K225" t="s">
        <v>1118</v>
      </c>
      <c r="L225" t="s">
        <v>1709</v>
      </c>
      <c r="M225" t="s">
        <v>1693</v>
      </c>
      <c r="S225">
        <v>22.2</v>
      </c>
      <c r="T225" t="s">
        <v>1118</v>
      </c>
      <c r="W225">
        <v>10.5</v>
      </c>
      <c r="X225" t="s">
        <v>1118</v>
      </c>
      <c r="Y225">
        <v>0.27</v>
      </c>
      <c r="Z225" t="s">
        <v>1118</v>
      </c>
      <c r="AA225">
        <v>38.89</v>
      </c>
      <c r="AG225">
        <v>7.1</v>
      </c>
      <c r="AX225">
        <v>1.8</v>
      </c>
      <c r="AY225" t="s">
        <v>1164</v>
      </c>
      <c r="BD225">
        <v>0.15</v>
      </c>
      <c r="BE225" t="s">
        <v>1118</v>
      </c>
      <c r="BJ225">
        <v>0.67</v>
      </c>
      <c r="BK225" t="s">
        <v>1118</v>
      </c>
    </row>
    <row r="226" spans="1:63">
      <c r="B226" t="s">
        <v>2140</v>
      </c>
      <c r="C226" t="s">
        <v>1432</v>
      </c>
      <c r="D226" t="s">
        <v>1848</v>
      </c>
      <c r="E226" t="s">
        <v>1849</v>
      </c>
      <c r="F226" t="s">
        <v>11</v>
      </c>
      <c r="G226" t="s">
        <v>1847</v>
      </c>
      <c r="J226">
        <v>1</v>
      </c>
      <c r="K226" t="s">
        <v>1118</v>
      </c>
      <c r="L226" t="s">
        <v>1709</v>
      </c>
      <c r="M226" t="s">
        <v>1693</v>
      </c>
      <c r="S226">
        <v>23.3</v>
      </c>
      <c r="T226" t="s">
        <v>1118</v>
      </c>
      <c r="W226">
        <v>11.1</v>
      </c>
      <c r="X226" t="s">
        <v>1118</v>
      </c>
      <c r="Y226">
        <v>0.44</v>
      </c>
      <c r="Z226" t="s">
        <v>1118</v>
      </c>
      <c r="AA226">
        <v>25.23</v>
      </c>
      <c r="AG226">
        <v>7</v>
      </c>
      <c r="AX226">
        <v>0.56999999999999995</v>
      </c>
      <c r="AY226" t="s">
        <v>1164</v>
      </c>
      <c r="BD226">
        <v>0.16</v>
      </c>
      <c r="BE226" t="s">
        <v>1118</v>
      </c>
      <c r="BJ226">
        <v>0.82</v>
      </c>
      <c r="BK226" t="s">
        <v>1118</v>
      </c>
    </row>
    <row r="227" spans="1:63">
      <c r="B227" t="s">
        <v>2141</v>
      </c>
      <c r="C227" t="s">
        <v>1502</v>
      </c>
      <c r="D227" t="s">
        <v>1688</v>
      </c>
      <c r="E227" t="s">
        <v>1721</v>
      </c>
      <c r="F227" t="s">
        <v>11</v>
      </c>
      <c r="G227" t="s">
        <v>2142</v>
      </c>
      <c r="J227">
        <v>1</v>
      </c>
      <c r="K227" t="s">
        <v>1118</v>
      </c>
      <c r="L227" t="s">
        <v>1709</v>
      </c>
      <c r="M227" t="s">
        <v>1693</v>
      </c>
      <c r="S227">
        <v>25.6</v>
      </c>
      <c r="T227" t="s">
        <v>1118</v>
      </c>
      <c r="W227">
        <v>12.2</v>
      </c>
      <c r="X227" t="s">
        <v>1118</v>
      </c>
      <c r="Y227">
        <v>0.42</v>
      </c>
      <c r="Z227" t="s">
        <v>1118</v>
      </c>
      <c r="AA227">
        <v>28.93</v>
      </c>
      <c r="AG227">
        <v>6.9</v>
      </c>
      <c r="AX227">
        <v>5.99</v>
      </c>
      <c r="AY227" t="s">
        <v>1164</v>
      </c>
      <c r="BD227">
        <v>0.28999999999999998</v>
      </c>
      <c r="BE227" t="s">
        <v>1118</v>
      </c>
      <c r="BJ227">
        <v>0.13</v>
      </c>
      <c r="BK227" t="s">
        <v>1118</v>
      </c>
    </row>
    <row r="228" spans="1:63">
      <c r="A228" t="s">
        <v>233</v>
      </c>
      <c r="B228" t="s">
        <v>2143</v>
      </c>
      <c r="F228" t="s">
        <v>7</v>
      </c>
    </row>
    <row r="229" spans="1:63">
      <c r="B229" t="s">
        <v>2144</v>
      </c>
      <c r="C229" t="s">
        <v>2145</v>
      </c>
      <c r="D229" t="s">
        <v>1705</v>
      </c>
      <c r="E229" t="s">
        <v>1706</v>
      </c>
      <c r="F229" t="s">
        <v>11</v>
      </c>
      <c r="G229" t="s">
        <v>2146</v>
      </c>
      <c r="H229" t="s">
        <v>1731</v>
      </c>
      <c r="I229">
        <v>600</v>
      </c>
      <c r="J229">
        <v>1</v>
      </c>
      <c r="K229" t="s">
        <v>1118</v>
      </c>
      <c r="L229" t="s">
        <v>1709</v>
      </c>
      <c r="M229" t="s">
        <v>1693</v>
      </c>
      <c r="O229">
        <v>40.5</v>
      </c>
      <c r="P229" t="s">
        <v>1118</v>
      </c>
      <c r="W229">
        <v>42.98</v>
      </c>
      <c r="X229" t="s">
        <v>1118</v>
      </c>
      <c r="Y229">
        <v>0.61</v>
      </c>
      <c r="Z229" t="s">
        <v>1118</v>
      </c>
      <c r="AA229">
        <f>W229/Y229</f>
        <v>70.459016393442624</v>
      </c>
      <c r="AG229">
        <v>10.4</v>
      </c>
      <c r="AR229">
        <v>20.38</v>
      </c>
      <c r="AS229" t="s">
        <v>1884</v>
      </c>
      <c r="AV229">
        <v>62.6</v>
      </c>
      <c r="AW229" t="s">
        <v>1380</v>
      </c>
      <c r="AX229">
        <v>10.39</v>
      </c>
      <c r="AY229" t="s">
        <v>1164</v>
      </c>
    </row>
    <row r="230" spans="1:63">
      <c r="B230" t="s">
        <v>2147</v>
      </c>
      <c r="C230" t="s">
        <v>2148</v>
      </c>
      <c r="D230" t="s">
        <v>1705</v>
      </c>
      <c r="E230" t="s">
        <v>1706</v>
      </c>
      <c r="F230" t="s">
        <v>11</v>
      </c>
      <c r="G230" t="s">
        <v>2146</v>
      </c>
      <c r="H230" t="s">
        <v>1731</v>
      </c>
      <c r="I230">
        <v>600</v>
      </c>
      <c r="J230">
        <v>5</v>
      </c>
      <c r="K230" t="s">
        <v>1118</v>
      </c>
      <c r="L230" t="s">
        <v>1709</v>
      </c>
      <c r="M230" t="s">
        <v>1693</v>
      </c>
      <c r="O230">
        <v>40.5</v>
      </c>
      <c r="P230" t="s">
        <v>1118</v>
      </c>
      <c r="W230">
        <v>42.98</v>
      </c>
      <c r="X230" t="s">
        <v>1118</v>
      </c>
      <c r="Y230">
        <v>0.61</v>
      </c>
      <c r="Z230" t="s">
        <v>1118</v>
      </c>
      <c r="AA230">
        <f>W230/Y230</f>
        <v>70.459016393442624</v>
      </c>
      <c r="AG230">
        <v>10.4</v>
      </c>
      <c r="AR230">
        <v>20.38</v>
      </c>
      <c r="AS230" t="s">
        <v>1884</v>
      </c>
      <c r="AV230">
        <v>62.6</v>
      </c>
      <c r="AW230" t="s">
        <v>1380</v>
      </c>
      <c r="AX230">
        <v>10.39</v>
      </c>
      <c r="AY230" t="s">
        <v>1164</v>
      </c>
    </row>
    <row r="231" spans="1:63">
      <c r="A231" t="s">
        <v>776</v>
      </c>
      <c r="B231" t="s">
        <v>2149</v>
      </c>
      <c r="F231" t="s">
        <v>7</v>
      </c>
    </row>
    <row r="232" spans="1:63">
      <c r="B232" t="s">
        <v>2150</v>
      </c>
      <c r="D232" t="s">
        <v>1748</v>
      </c>
      <c r="E232" t="s">
        <v>1748</v>
      </c>
      <c r="F232" t="s">
        <v>11</v>
      </c>
      <c r="G232" t="s">
        <v>1766</v>
      </c>
    </row>
    <row r="233" spans="1:63">
      <c r="A233" t="s">
        <v>768</v>
      </c>
      <c r="B233" t="s">
        <v>2151</v>
      </c>
      <c r="C233" t="s">
        <v>1078</v>
      </c>
      <c r="F233" t="s">
        <v>7</v>
      </c>
    </row>
    <row r="234" spans="1:63">
      <c r="B234" t="s">
        <v>2152</v>
      </c>
      <c r="C234" t="s">
        <v>2153</v>
      </c>
      <c r="D234" t="s">
        <v>1721</v>
      </c>
      <c r="E234" t="s">
        <v>1721</v>
      </c>
      <c r="F234" t="s">
        <v>11</v>
      </c>
      <c r="G234" t="s">
        <v>2154</v>
      </c>
      <c r="J234">
        <v>5</v>
      </c>
      <c r="K234" t="s">
        <v>1118</v>
      </c>
      <c r="L234" t="s">
        <v>1709</v>
      </c>
      <c r="M234" t="s">
        <v>1693</v>
      </c>
      <c r="O234">
        <v>24.4</v>
      </c>
      <c r="P234" t="s">
        <v>1118</v>
      </c>
    </row>
    <row r="235" spans="1:63">
      <c r="B235" t="s">
        <v>2155</v>
      </c>
      <c r="C235" t="s">
        <v>2156</v>
      </c>
      <c r="D235" t="s">
        <v>1721</v>
      </c>
      <c r="E235" t="s">
        <v>1721</v>
      </c>
      <c r="F235" t="s">
        <v>11</v>
      </c>
      <c r="G235" t="s">
        <v>2157</v>
      </c>
      <c r="J235">
        <v>5</v>
      </c>
      <c r="K235" t="s">
        <v>1118</v>
      </c>
      <c r="L235" t="s">
        <v>1709</v>
      </c>
      <c r="M235" t="s">
        <v>1693</v>
      </c>
      <c r="O235">
        <v>18.2</v>
      </c>
      <c r="P235" t="s">
        <v>1118</v>
      </c>
    </row>
    <row r="236" spans="1:63">
      <c r="A236" t="s">
        <v>765</v>
      </c>
      <c r="B236" t="s">
        <v>2158</v>
      </c>
      <c r="C236" t="s">
        <v>2159</v>
      </c>
      <c r="F236" t="s">
        <v>7</v>
      </c>
    </row>
    <row r="237" spans="1:63">
      <c r="B237" t="s">
        <v>2160</v>
      </c>
      <c r="C237" t="s">
        <v>1715</v>
      </c>
      <c r="D237" t="s">
        <v>1688</v>
      </c>
      <c r="E237" t="s">
        <v>1715</v>
      </c>
      <c r="F237" t="s">
        <v>11</v>
      </c>
      <c r="J237">
        <v>2.5</v>
      </c>
      <c r="K237" t="s">
        <v>1118</v>
      </c>
      <c r="L237" t="s">
        <v>1709</v>
      </c>
      <c r="M237" t="s">
        <v>1693</v>
      </c>
    </row>
    <row r="238" spans="1:63">
      <c r="B238" t="s">
        <v>2161</v>
      </c>
      <c r="C238" t="s">
        <v>2162</v>
      </c>
      <c r="D238" t="s">
        <v>1700</v>
      </c>
      <c r="E238" t="s">
        <v>1700</v>
      </c>
      <c r="F238" t="s">
        <v>11</v>
      </c>
      <c r="J238">
        <v>2.5</v>
      </c>
      <c r="K238" t="s">
        <v>1118</v>
      </c>
      <c r="L238" t="s">
        <v>1709</v>
      </c>
      <c r="M238" t="s">
        <v>1693</v>
      </c>
    </row>
    <row r="239" spans="1:63">
      <c r="B239" t="s">
        <v>2163</v>
      </c>
      <c r="C239" t="s">
        <v>2164</v>
      </c>
      <c r="D239" t="s">
        <v>1705</v>
      </c>
      <c r="E239" t="s">
        <v>1706</v>
      </c>
      <c r="F239" t="s">
        <v>11</v>
      </c>
      <c r="J239">
        <v>2.5</v>
      </c>
      <c r="K239" t="s">
        <v>1118</v>
      </c>
      <c r="L239" t="s">
        <v>1709</v>
      </c>
      <c r="M239" t="s">
        <v>1693</v>
      </c>
    </row>
    <row r="240" spans="1:63">
      <c r="B240" t="s">
        <v>2165</v>
      </c>
      <c r="C240" t="s">
        <v>2166</v>
      </c>
      <c r="D240" t="s">
        <v>1688</v>
      </c>
      <c r="E240" t="s">
        <v>1688</v>
      </c>
      <c r="F240" t="s">
        <v>11</v>
      </c>
      <c r="G240" t="s">
        <v>2166</v>
      </c>
      <c r="J240">
        <v>2.5</v>
      </c>
      <c r="K240" t="s">
        <v>1118</v>
      </c>
      <c r="L240" t="s">
        <v>1709</v>
      </c>
      <c r="M240" t="s">
        <v>1693</v>
      </c>
    </row>
    <row r="241" spans="1:63">
      <c r="A241" t="s">
        <v>756</v>
      </c>
      <c r="B241" t="s">
        <v>2167</v>
      </c>
      <c r="F241" t="s">
        <v>7</v>
      </c>
    </row>
    <row r="242" spans="1:63">
      <c r="B242" t="s">
        <v>2168</v>
      </c>
      <c r="C242" t="s">
        <v>2169</v>
      </c>
      <c r="D242" t="s">
        <v>1688</v>
      </c>
      <c r="E242" t="s">
        <v>1688</v>
      </c>
      <c r="F242" t="s">
        <v>11</v>
      </c>
      <c r="G242" t="s">
        <v>2170</v>
      </c>
      <c r="J242">
        <v>2</v>
      </c>
      <c r="K242" t="s">
        <v>1118</v>
      </c>
      <c r="L242" t="s">
        <v>1709</v>
      </c>
      <c r="M242" t="s">
        <v>1693</v>
      </c>
      <c r="Q242">
        <v>377.08</v>
      </c>
      <c r="R242" t="s">
        <v>1412</v>
      </c>
      <c r="S242">
        <v>57.2</v>
      </c>
      <c r="T242" t="s">
        <v>1118</v>
      </c>
      <c r="Y242">
        <v>33.74</v>
      </c>
      <c r="Z242" t="s">
        <v>1412</v>
      </c>
      <c r="AG242">
        <v>8.6999999999999993</v>
      </c>
      <c r="AX242">
        <v>4.7249999999999996</v>
      </c>
      <c r="AY242" t="s">
        <v>1164</v>
      </c>
    </row>
    <row r="243" spans="1:63">
      <c r="A243" t="s">
        <v>753</v>
      </c>
      <c r="B243" t="s">
        <v>2171</v>
      </c>
      <c r="F243" t="s">
        <v>7</v>
      </c>
    </row>
    <row r="244" spans="1:63">
      <c r="B244" t="s">
        <v>2172</v>
      </c>
      <c r="C244" t="s">
        <v>1471</v>
      </c>
      <c r="D244" t="s">
        <v>1748</v>
      </c>
      <c r="E244" t="s">
        <v>1748</v>
      </c>
      <c r="F244" t="s">
        <v>11</v>
      </c>
      <c r="G244" t="s">
        <v>1890</v>
      </c>
      <c r="J244">
        <v>1.25</v>
      </c>
      <c r="K244" t="s">
        <v>1118</v>
      </c>
      <c r="L244" t="s">
        <v>1709</v>
      </c>
      <c r="M244" t="s">
        <v>2173</v>
      </c>
      <c r="N244">
        <v>10</v>
      </c>
      <c r="O244">
        <v>35.5</v>
      </c>
      <c r="P244" t="s">
        <v>1118</v>
      </c>
      <c r="W244">
        <v>40.6</v>
      </c>
      <c r="X244" t="s">
        <v>1118</v>
      </c>
      <c r="Y244">
        <v>0.79</v>
      </c>
      <c r="Z244" t="s">
        <v>1118</v>
      </c>
      <c r="BD244" t="s">
        <v>1323</v>
      </c>
      <c r="BE244" t="s">
        <v>1118</v>
      </c>
      <c r="BJ244" t="s">
        <v>1323</v>
      </c>
      <c r="BK244" t="s">
        <v>1118</v>
      </c>
    </row>
    <row r="245" spans="1:63">
      <c r="B245" t="s">
        <v>2174</v>
      </c>
      <c r="C245" t="s">
        <v>2175</v>
      </c>
      <c r="D245" t="s">
        <v>1688</v>
      </c>
      <c r="E245" t="s">
        <v>1688</v>
      </c>
      <c r="F245" t="s">
        <v>11</v>
      </c>
      <c r="G245" t="s">
        <v>2176</v>
      </c>
      <c r="J245">
        <v>0.7</v>
      </c>
      <c r="K245" t="s">
        <v>1118</v>
      </c>
      <c r="L245" t="s">
        <v>1709</v>
      </c>
      <c r="M245" t="s">
        <v>2173</v>
      </c>
      <c r="N245">
        <v>10</v>
      </c>
      <c r="O245">
        <v>19.23</v>
      </c>
      <c r="P245" t="s">
        <v>1118</v>
      </c>
      <c r="W245">
        <v>22.54</v>
      </c>
      <c r="X245" t="s">
        <v>1118</v>
      </c>
      <c r="Y245">
        <v>1.69</v>
      </c>
      <c r="Z245" t="s">
        <v>1118</v>
      </c>
      <c r="BD245">
        <v>1.69</v>
      </c>
      <c r="BE245" t="s">
        <v>1118</v>
      </c>
      <c r="BJ245">
        <v>1.65</v>
      </c>
      <c r="BK245" t="s">
        <v>1118</v>
      </c>
    </row>
    <row r="246" spans="1:63">
      <c r="B246" t="s">
        <v>2177</v>
      </c>
      <c r="C246" t="s">
        <v>2178</v>
      </c>
      <c r="D246" t="s">
        <v>1824</v>
      </c>
      <c r="E246" t="s">
        <v>1948</v>
      </c>
      <c r="F246" t="s">
        <v>11</v>
      </c>
      <c r="G246" t="s">
        <v>2179</v>
      </c>
      <c r="J246">
        <v>2</v>
      </c>
      <c r="K246" t="s">
        <v>1118</v>
      </c>
      <c r="L246" t="s">
        <v>1709</v>
      </c>
      <c r="M246" t="s">
        <v>2173</v>
      </c>
      <c r="N246">
        <v>10</v>
      </c>
      <c r="O246">
        <v>27.33</v>
      </c>
      <c r="P246" t="s">
        <v>1118</v>
      </c>
      <c r="W246">
        <v>30.28</v>
      </c>
      <c r="X246" t="s">
        <v>1118</v>
      </c>
      <c r="Y246">
        <v>2.4</v>
      </c>
      <c r="Z246" t="s">
        <v>1118</v>
      </c>
      <c r="BD246">
        <v>2.4</v>
      </c>
      <c r="BE246" t="s">
        <v>1118</v>
      </c>
      <c r="BJ246">
        <v>0.2</v>
      </c>
      <c r="BK246" t="s">
        <v>1118</v>
      </c>
    </row>
    <row r="247" spans="1:63">
      <c r="A247" t="s">
        <v>749</v>
      </c>
      <c r="B247" t="s">
        <v>2180</v>
      </c>
      <c r="F247" t="s">
        <v>7</v>
      </c>
    </row>
    <row r="248" spans="1:63">
      <c r="B248" t="s">
        <v>2181</v>
      </c>
      <c r="C248" t="s">
        <v>1471</v>
      </c>
      <c r="D248" t="s">
        <v>1748</v>
      </c>
      <c r="E248" t="s">
        <v>1748</v>
      </c>
      <c r="F248" t="s">
        <v>11</v>
      </c>
      <c r="G248" t="s">
        <v>1890</v>
      </c>
      <c r="J248">
        <v>1.25</v>
      </c>
      <c r="K248" t="s">
        <v>1118</v>
      </c>
      <c r="L248" t="s">
        <v>1709</v>
      </c>
      <c r="M248" t="s">
        <v>2173</v>
      </c>
      <c r="N248">
        <v>10</v>
      </c>
      <c r="O248">
        <v>35.5</v>
      </c>
      <c r="P248" t="s">
        <v>1118</v>
      </c>
      <c r="W248">
        <v>40.6</v>
      </c>
      <c r="X248" t="s">
        <v>1118</v>
      </c>
      <c r="Y248">
        <v>0.79</v>
      </c>
      <c r="Z248" t="s">
        <v>1118</v>
      </c>
      <c r="BD248">
        <v>9</v>
      </c>
      <c r="BE248" t="s">
        <v>1104</v>
      </c>
      <c r="BJ248" t="s">
        <v>1323</v>
      </c>
    </row>
    <row r="249" spans="1:63">
      <c r="B249" t="s">
        <v>2182</v>
      </c>
      <c r="C249" t="s">
        <v>2175</v>
      </c>
      <c r="D249" t="s">
        <v>1688</v>
      </c>
      <c r="E249" t="s">
        <v>1688</v>
      </c>
      <c r="F249" t="s">
        <v>11</v>
      </c>
      <c r="G249" t="s">
        <v>2176</v>
      </c>
      <c r="J249">
        <v>0.7</v>
      </c>
      <c r="K249" t="s">
        <v>1118</v>
      </c>
      <c r="L249" t="s">
        <v>1709</v>
      </c>
      <c r="M249" t="s">
        <v>2173</v>
      </c>
      <c r="N249">
        <v>10</v>
      </c>
      <c r="O249">
        <v>19.23</v>
      </c>
      <c r="P249" t="s">
        <v>1118</v>
      </c>
      <c r="W249">
        <v>22.54</v>
      </c>
      <c r="X249" t="s">
        <v>1118</v>
      </c>
      <c r="Y249">
        <v>1.69</v>
      </c>
      <c r="Z249" t="s">
        <v>1118</v>
      </c>
      <c r="BD249">
        <v>9</v>
      </c>
      <c r="BE249" t="s">
        <v>1104</v>
      </c>
      <c r="BJ249">
        <v>17</v>
      </c>
      <c r="BK249" t="s">
        <v>1104</v>
      </c>
    </row>
    <row r="250" spans="1:63">
      <c r="B250" t="s">
        <v>2183</v>
      </c>
      <c r="C250" t="s">
        <v>2178</v>
      </c>
      <c r="D250" t="s">
        <v>1824</v>
      </c>
      <c r="E250" t="s">
        <v>1948</v>
      </c>
      <c r="F250" t="s">
        <v>11</v>
      </c>
      <c r="G250" t="s">
        <v>2179</v>
      </c>
      <c r="J250">
        <v>2</v>
      </c>
      <c r="K250" t="s">
        <v>1118</v>
      </c>
      <c r="L250" t="s">
        <v>1709</v>
      </c>
      <c r="M250" t="s">
        <v>2173</v>
      </c>
      <c r="N250">
        <v>10</v>
      </c>
      <c r="O250">
        <v>27.33</v>
      </c>
      <c r="P250" t="s">
        <v>1118</v>
      </c>
      <c r="W250">
        <v>30.28</v>
      </c>
      <c r="X250" t="s">
        <v>1118</v>
      </c>
      <c r="Y250">
        <v>2.4</v>
      </c>
      <c r="Z250" t="s">
        <v>1118</v>
      </c>
      <c r="BJ250">
        <v>2</v>
      </c>
      <c r="BK250" t="s">
        <v>1104</v>
      </c>
    </row>
    <row r="251" spans="1:63">
      <c r="A251" t="s">
        <v>302</v>
      </c>
      <c r="B251" t="s">
        <v>2184</v>
      </c>
      <c r="C251" t="s">
        <v>2185</v>
      </c>
      <c r="F251" t="s">
        <v>7</v>
      </c>
    </row>
    <row r="252" spans="1:63">
      <c r="B252" t="s">
        <v>2186</v>
      </c>
      <c r="C252" t="s">
        <v>2187</v>
      </c>
      <c r="D252" t="s">
        <v>1763</v>
      </c>
      <c r="E252" t="s">
        <v>1721</v>
      </c>
      <c r="F252" t="s">
        <v>11</v>
      </c>
      <c r="G252" t="s">
        <v>2188</v>
      </c>
      <c r="J252">
        <v>5</v>
      </c>
      <c r="K252" t="s">
        <v>1118</v>
      </c>
      <c r="L252" t="s">
        <v>1709</v>
      </c>
      <c r="O252">
        <v>516</v>
      </c>
      <c r="P252" t="s">
        <v>1104</v>
      </c>
      <c r="U252">
        <v>5.4</v>
      </c>
      <c r="V252" t="s">
        <v>1118</v>
      </c>
      <c r="AG252">
        <v>5.3</v>
      </c>
      <c r="AH252" t="s">
        <v>1277</v>
      </c>
      <c r="AI252" t="s">
        <v>1806</v>
      </c>
      <c r="AX252">
        <v>5.3</v>
      </c>
      <c r="AY252" t="s">
        <v>1164</v>
      </c>
    </row>
    <row r="253" spans="1:63">
      <c r="B253" t="s">
        <v>2189</v>
      </c>
      <c r="C253" t="s">
        <v>2190</v>
      </c>
      <c r="D253" t="s">
        <v>1763</v>
      </c>
      <c r="E253" t="s">
        <v>1721</v>
      </c>
      <c r="F253" t="s">
        <v>11</v>
      </c>
      <c r="G253" t="s">
        <v>2188</v>
      </c>
      <c r="J253">
        <v>10</v>
      </c>
      <c r="K253" t="s">
        <v>1118</v>
      </c>
      <c r="L253" t="s">
        <v>1709</v>
      </c>
      <c r="O253">
        <v>516</v>
      </c>
      <c r="P253" t="s">
        <v>1104</v>
      </c>
      <c r="U253">
        <v>5.4</v>
      </c>
      <c r="V253" t="s">
        <v>1118</v>
      </c>
      <c r="AG253">
        <v>5.3</v>
      </c>
      <c r="AH253" t="s">
        <v>1277</v>
      </c>
      <c r="AI253" t="s">
        <v>1806</v>
      </c>
      <c r="AX253">
        <v>5.3</v>
      </c>
      <c r="AY253" t="s">
        <v>1164</v>
      </c>
    </row>
    <row r="254" spans="1:63">
      <c r="A254" t="s">
        <v>741</v>
      </c>
      <c r="B254" t="s">
        <v>2191</v>
      </c>
      <c r="F254" t="s">
        <v>7</v>
      </c>
    </row>
    <row r="255" spans="1:63">
      <c r="B255" t="s">
        <v>2192</v>
      </c>
      <c r="C255" t="s">
        <v>2193</v>
      </c>
      <c r="D255" t="s">
        <v>1721</v>
      </c>
      <c r="E255" t="s">
        <v>1721</v>
      </c>
      <c r="F255" t="s">
        <v>11</v>
      </c>
      <c r="G255" t="s">
        <v>2194</v>
      </c>
      <c r="J255">
        <v>2</v>
      </c>
      <c r="K255" t="s">
        <v>1118</v>
      </c>
      <c r="L255" t="s">
        <v>1709</v>
      </c>
    </row>
    <row r="256" spans="1:63">
      <c r="B256" t="s">
        <v>2195</v>
      </c>
      <c r="C256" t="s">
        <v>2193</v>
      </c>
      <c r="D256" t="s">
        <v>1721</v>
      </c>
      <c r="E256" t="s">
        <v>1721</v>
      </c>
      <c r="F256" t="s">
        <v>11</v>
      </c>
      <c r="J256">
        <v>4</v>
      </c>
      <c r="K256" t="s">
        <v>1118</v>
      </c>
      <c r="L256" t="s">
        <v>1709</v>
      </c>
    </row>
    <row r="257" spans="2:12">
      <c r="B257" t="s">
        <v>2196</v>
      </c>
      <c r="C257" t="s">
        <v>2193</v>
      </c>
      <c r="D257" t="s">
        <v>1721</v>
      </c>
      <c r="E257" t="s">
        <v>1721</v>
      </c>
      <c r="F257" t="s">
        <v>11</v>
      </c>
      <c r="J257">
        <v>8</v>
      </c>
      <c r="K257" t="s">
        <v>1118</v>
      </c>
      <c r="L257" t="s">
        <v>1709</v>
      </c>
    </row>
    <row r="258" spans="2:12">
      <c r="B258" t="s">
        <v>2197</v>
      </c>
      <c r="C258" t="s">
        <v>2193</v>
      </c>
      <c r="D258" t="s">
        <v>1721</v>
      </c>
      <c r="E258" t="s">
        <v>1721</v>
      </c>
      <c r="F258" t="s">
        <v>11</v>
      </c>
      <c r="J258">
        <v>16</v>
      </c>
      <c r="K258" t="s">
        <v>1118</v>
      </c>
      <c r="L258" t="s">
        <v>1709</v>
      </c>
    </row>
    <row r="259" spans="2:12">
      <c r="B259" t="s">
        <v>2198</v>
      </c>
      <c r="C259" t="s">
        <v>2199</v>
      </c>
      <c r="D259" t="s">
        <v>1721</v>
      </c>
      <c r="E259" t="s">
        <v>1721</v>
      </c>
      <c r="F259" t="s">
        <v>11</v>
      </c>
      <c r="G259" t="s">
        <v>2200</v>
      </c>
      <c r="J259">
        <v>2</v>
      </c>
      <c r="K259" t="s">
        <v>1118</v>
      </c>
      <c r="L259" t="s">
        <v>1709</v>
      </c>
    </row>
    <row r="260" spans="2:12">
      <c r="B260" t="s">
        <v>2201</v>
      </c>
      <c r="C260" t="s">
        <v>2199</v>
      </c>
      <c r="D260" t="s">
        <v>1721</v>
      </c>
      <c r="E260" t="s">
        <v>1721</v>
      </c>
      <c r="F260" t="s">
        <v>11</v>
      </c>
      <c r="J260">
        <v>4</v>
      </c>
      <c r="K260" t="s">
        <v>1118</v>
      </c>
      <c r="L260" t="s">
        <v>1709</v>
      </c>
    </row>
    <row r="261" spans="2:12">
      <c r="B261" t="s">
        <v>2202</v>
      </c>
      <c r="C261" t="s">
        <v>2199</v>
      </c>
      <c r="D261" t="s">
        <v>1721</v>
      </c>
      <c r="E261" t="s">
        <v>1721</v>
      </c>
      <c r="F261" t="s">
        <v>11</v>
      </c>
      <c r="J261">
        <v>8</v>
      </c>
      <c r="K261" t="s">
        <v>1118</v>
      </c>
      <c r="L261" t="s">
        <v>1709</v>
      </c>
    </row>
    <row r="262" spans="2:12">
      <c r="B262" t="s">
        <v>2203</v>
      </c>
      <c r="C262" t="s">
        <v>2199</v>
      </c>
      <c r="D262" t="s">
        <v>1721</v>
      </c>
      <c r="E262" t="s">
        <v>1721</v>
      </c>
      <c r="F262" t="s">
        <v>11</v>
      </c>
      <c r="J262">
        <v>16</v>
      </c>
      <c r="K262" t="s">
        <v>1118</v>
      </c>
      <c r="L262" t="s">
        <v>1709</v>
      </c>
    </row>
    <row r="263" spans="2:12">
      <c r="B263" t="s">
        <v>2204</v>
      </c>
      <c r="C263" t="s">
        <v>2205</v>
      </c>
      <c r="D263" t="s">
        <v>1721</v>
      </c>
      <c r="E263" t="s">
        <v>1721</v>
      </c>
      <c r="F263" t="s">
        <v>11</v>
      </c>
      <c r="G263" t="s">
        <v>2206</v>
      </c>
      <c r="J263">
        <v>2</v>
      </c>
      <c r="K263" t="s">
        <v>1118</v>
      </c>
      <c r="L263" t="s">
        <v>1709</v>
      </c>
    </row>
    <row r="264" spans="2:12">
      <c r="B264" t="s">
        <v>2207</v>
      </c>
      <c r="C264" t="s">
        <v>2205</v>
      </c>
      <c r="D264" t="s">
        <v>1721</v>
      </c>
      <c r="E264" t="s">
        <v>1721</v>
      </c>
      <c r="F264" t="s">
        <v>11</v>
      </c>
      <c r="J264">
        <v>4</v>
      </c>
      <c r="K264" t="s">
        <v>1118</v>
      </c>
      <c r="L264" t="s">
        <v>1709</v>
      </c>
    </row>
    <row r="265" spans="2:12">
      <c r="B265" t="s">
        <v>2208</v>
      </c>
      <c r="C265" t="s">
        <v>2205</v>
      </c>
      <c r="D265" t="s">
        <v>1721</v>
      </c>
      <c r="E265" t="s">
        <v>1721</v>
      </c>
      <c r="F265" t="s">
        <v>11</v>
      </c>
      <c r="J265">
        <v>8</v>
      </c>
      <c r="K265" t="s">
        <v>1118</v>
      </c>
      <c r="L265" t="s">
        <v>1709</v>
      </c>
    </row>
    <row r="266" spans="2:12">
      <c r="B266" t="s">
        <v>2209</v>
      </c>
      <c r="C266" t="s">
        <v>2205</v>
      </c>
      <c r="D266" t="s">
        <v>1721</v>
      </c>
      <c r="E266" t="s">
        <v>1721</v>
      </c>
      <c r="F266" t="s">
        <v>11</v>
      </c>
      <c r="J266">
        <v>16</v>
      </c>
      <c r="K266" t="s">
        <v>1118</v>
      </c>
      <c r="L266" t="s">
        <v>1709</v>
      </c>
    </row>
    <row r="267" spans="2:12">
      <c r="B267" t="s">
        <v>2210</v>
      </c>
      <c r="C267" t="s">
        <v>2211</v>
      </c>
      <c r="D267" t="s">
        <v>1721</v>
      </c>
      <c r="E267" t="s">
        <v>1721</v>
      </c>
      <c r="F267" t="s">
        <v>11</v>
      </c>
      <c r="G267" t="s">
        <v>2212</v>
      </c>
      <c r="J267">
        <v>2</v>
      </c>
      <c r="K267" t="s">
        <v>1118</v>
      </c>
      <c r="L267" t="s">
        <v>1709</v>
      </c>
    </row>
    <row r="268" spans="2:12">
      <c r="B268" t="s">
        <v>2213</v>
      </c>
      <c r="C268" t="s">
        <v>2211</v>
      </c>
      <c r="D268" t="s">
        <v>1721</v>
      </c>
      <c r="E268" t="s">
        <v>1721</v>
      </c>
      <c r="F268" t="s">
        <v>11</v>
      </c>
      <c r="J268">
        <v>4</v>
      </c>
      <c r="K268" t="s">
        <v>1118</v>
      </c>
      <c r="L268" t="s">
        <v>1709</v>
      </c>
    </row>
    <row r="269" spans="2:12">
      <c r="B269" t="s">
        <v>2214</v>
      </c>
      <c r="C269" t="s">
        <v>2211</v>
      </c>
      <c r="D269" t="s">
        <v>1721</v>
      </c>
      <c r="E269" t="s">
        <v>1721</v>
      </c>
      <c r="F269" t="s">
        <v>11</v>
      </c>
      <c r="J269">
        <v>8</v>
      </c>
      <c r="K269" t="s">
        <v>1118</v>
      </c>
      <c r="L269" t="s">
        <v>1709</v>
      </c>
    </row>
    <row r="270" spans="2:12">
      <c r="B270" t="s">
        <v>2215</v>
      </c>
      <c r="C270" t="s">
        <v>2211</v>
      </c>
      <c r="D270" t="s">
        <v>1721</v>
      </c>
      <c r="E270" t="s">
        <v>1721</v>
      </c>
      <c r="F270" t="s">
        <v>11</v>
      </c>
      <c r="J270">
        <v>16</v>
      </c>
      <c r="K270" t="s">
        <v>1118</v>
      </c>
      <c r="L270" t="s">
        <v>1709</v>
      </c>
    </row>
    <row r="271" spans="2:12">
      <c r="B271" t="s">
        <v>2216</v>
      </c>
      <c r="C271" t="s">
        <v>2217</v>
      </c>
      <c r="D271" t="s">
        <v>1721</v>
      </c>
      <c r="E271" t="s">
        <v>1721</v>
      </c>
      <c r="F271" t="s">
        <v>11</v>
      </c>
      <c r="G271" t="s">
        <v>2218</v>
      </c>
      <c r="J271">
        <v>2</v>
      </c>
      <c r="K271" t="s">
        <v>1118</v>
      </c>
      <c r="L271" t="s">
        <v>1709</v>
      </c>
    </row>
    <row r="272" spans="2:12">
      <c r="B272" t="s">
        <v>2219</v>
      </c>
      <c r="C272" t="s">
        <v>2217</v>
      </c>
      <c r="D272" t="s">
        <v>1721</v>
      </c>
      <c r="E272" t="s">
        <v>1721</v>
      </c>
      <c r="F272" t="s">
        <v>11</v>
      </c>
      <c r="J272">
        <v>4</v>
      </c>
      <c r="K272" t="s">
        <v>1118</v>
      </c>
      <c r="L272" t="s">
        <v>1709</v>
      </c>
    </row>
    <row r="273" spans="1:75">
      <c r="B273" t="s">
        <v>2220</v>
      </c>
      <c r="C273" t="s">
        <v>2217</v>
      </c>
      <c r="D273" t="s">
        <v>1721</v>
      </c>
      <c r="E273" t="s">
        <v>1721</v>
      </c>
      <c r="F273" t="s">
        <v>11</v>
      </c>
      <c r="J273">
        <v>8</v>
      </c>
      <c r="K273" t="s">
        <v>1118</v>
      </c>
      <c r="L273" t="s">
        <v>1709</v>
      </c>
    </row>
    <row r="274" spans="1:75">
      <c r="B274" t="s">
        <v>2221</v>
      </c>
      <c r="C274" t="s">
        <v>2217</v>
      </c>
      <c r="D274" t="s">
        <v>1721</v>
      </c>
      <c r="E274" t="s">
        <v>1721</v>
      </c>
      <c r="F274" t="s">
        <v>11</v>
      </c>
      <c r="J274">
        <v>16</v>
      </c>
      <c r="K274" t="s">
        <v>1118</v>
      </c>
      <c r="L274" t="s">
        <v>1709</v>
      </c>
    </row>
    <row r="275" spans="1:75">
      <c r="A275" t="s">
        <v>733</v>
      </c>
      <c r="B275" t="s">
        <v>2222</v>
      </c>
      <c r="F275" t="s">
        <v>7</v>
      </c>
    </row>
    <row r="276" spans="1:75">
      <c r="B276" t="s">
        <v>2223</v>
      </c>
      <c r="C276" t="s">
        <v>2224</v>
      </c>
      <c r="D276" t="s">
        <v>1688</v>
      </c>
      <c r="E276" t="s">
        <v>1688</v>
      </c>
      <c r="F276" t="s">
        <v>11</v>
      </c>
      <c r="G276" t="s">
        <v>2225</v>
      </c>
      <c r="J276">
        <v>5</v>
      </c>
      <c r="K276" t="s">
        <v>1118</v>
      </c>
      <c r="L276" t="s">
        <v>1709</v>
      </c>
      <c r="M276" t="s">
        <v>1693</v>
      </c>
      <c r="O276">
        <v>298.3</v>
      </c>
      <c r="P276" t="s">
        <v>1104</v>
      </c>
      <c r="Y276">
        <v>28.4</v>
      </c>
      <c r="Z276" t="s">
        <v>1104</v>
      </c>
      <c r="AG276">
        <v>7.8</v>
      </c>
      <c r="AV276">
        <v>48.9</v>
      </c>
      <c r="AW276" t="s">
        <v>1119</v>
      </c>
    </row>
    <row r="277" spans="1:75">
      <c r="A277" t="s">
        <v>721</v>
      </c>
      <c r="B277" t="s">
        <v>2226</v>
      </c>
      <c r="F277" t="s">
        <v>7</v>
      </c>
    </row>
    <row r="278" spans="1:75">
      <c r="B278" t="s">
        <v>2227</v>
      </c>
      <c r="C278" t="s">
        <v>2228</v>
      </c>
      <c r="D278" t="s">
        <v>1705</v>
      </c>
      <c r="E278" t="s">
        <v>1706</v>
      </c>
      <c r="F278" t="s">
        <v>11</v>
      </c>
      <c r="G278" t="s">
        <v>2229</v>
      </c>
      <c r="H278" t="s">
        <v>1982</v>
      </c>
      <c r="I278">
        <v>500</v>
      </c>
      <c r="J278">
        <v>0.1</v>
      </c>
      <c r="K278" t="s">
        <v>1118</v>
      </c>
      <c r="L278" t="s">
        <v>1709</v>
      </c>
      <c r="M278" t="s">
        <v>1693</v>
      </c>
      <c r="U278">
        <v>3.73</v>
      </c>
      <c r="V278" t="s">
        <v>1118</v>
      </c>
      <c r="W278">
        <v>42.1</v>
      </c>
      <c r="X278" t="s">
        <v>1118</v>
      </c>
      <c r="AG278">
        <v>7.8</v>
      </c>
    </row>
    <row r="279" spans="1:75">
      <c r="B279" t="s">
        <v>2230</v>
      </c>
      <c r="C279" t="s">
        <v>2231</v>
      </c>
      <c r="D279" t="s">
        <v>1705</v>
      </c>
      <c r="E279" t="s">
        <v>1706</v>
      </c>
      <c r="F279" t="s">
        <v>11</v>
      </c>
      <c r="G279" t="s">
        <v>2229</v>
      </c>
      <c r="H279" t="s">
        <v>1982</v>
      </c>
      <c r="I279">
        <v>500</v>
      </c>
      <c r="J279">
        <v>1</v>
      </c>
      <c r="K279" t="s">
        <v>1118</v>
      </c>
      <c r="L279" t="s">
        <v>1709</v>
      </c>
      <c r="M279" t="s">
        <v>1693</v>
      </c>
      <c r="U279">
        <v>3.73</v>
      </c>
      <c r="V279" t="s">
        <v>1118</v>
      </c>
      <c r="W279">
        <v>42.1</v>
      </c>
      <c r="X279" t="s">
        <v>1118</v>
      </c>
      <c r="AG279">
        <v>7.8</v>
      </c>
    </row>
    <row r="280" spans="1:75">
      <c r="B280" t="s">
        <v>2232</v>
      </c>
      <c r="C280" t="s">
        <v>2233</v>
      </c>
      <c r="D280" t="s">
        <v>1705</v>
      </c>
      <c r="E280" t="s">
        <v>1706</v>
      </c>
      <c r="F280" t="s">
        <v>11</v>
      </c>
      <c r="G280" t="s">
        <v>2229</v>
      </c>
      <c r="H280" t="s">
        <v>1982</v>
      </c>
      <c r="I280">
        <v>500</v>
      </c>
      <c r="J280">
        <v>2</v>
      </c>
      <c r="K280" t="s">
        <v>1118</v>
      </c>
      <c r="L280" t="s">
        <v>1709</v>
      </c>
      <c r="M280" t="s">
        <v>1693</v>
      </c>
      <c r="U280">
        <v>3.73</v>
      </c>
      <c r="V280" t="s">
        <v>1118</v>
      </c>
      <c r="W280">
        <v>42.1</v>
      </c>
      <c r="X280" t="s">
        <v>1118</v>
      </c>
      <c r="AG280">
        <v>7.8</v>
      </c>
    </row>
    <row r="281" spans="1:75">
      <c r="A281" t="s">
        <v>717</v>
      </c>
      <c r="B281" t="s">
        <v>2234</v>
      </c>
      <c r="F281" t="s">
        <v>7</v>
      </c>
    </row>
    <row r="282" spans="1:75">
      <c r="B282" t="s">
        <v>2235</v>
      </c>
      <c r="C282" t="s">
        <v>1706</v>
      </c>
      <c r="D282" t="s">
        <v>1705</v>
      </c>
      <c r="E282" t="s">
        <v>1706</v>
      </c>
      <c r="F282" t="s">
        <v>11</v>
      </c>
      <c r="G282" t="s">
        <v>2236</v>
      </c>
      <c r="H282" t="s">
        <v>1982</v>
      </c>
      <c r="I282">
        <v>450</v>
      </c>
      <c r="J282">
        <v>0.5</v>
      </c>
      <c r="K282" t="s">
        <v>1118</v>
      </c>
      <c r="L282" t="s">
        <v>1709</v>
      </c>
      <c r="M282" t="s">
        <v>1693</v>
      </c>
      <c r="AP282">
        <v>1.1000000000000001</v>
      </c>
      <c r="AQ282" t="s">
        <v>1741</v>
      </c>
      <c r="AR282">
        <v>27.3</v>
      </c>
      <c r="AS282" t="s">
        <v>1733</v>
      </c>
    </row>
    <row r="283" spans="1:75">
      <c r="A283" t="s">
        <v>713</v>
      </c>
      <c r="B283" t="s">
        <v>2237</v>
      </c>
      <c r="F283" t="s">
        <v>7</v>
      </c>
    </row>
    <row r="284" spans="1:75">
      <c r="B284" t="s">
        <v>2238</v>
      </c>
      <c r="C284" t="s">
        <v>1706</v>
      </c>
      <c r="D284" t="s">
        <v>1705</v>
      </c>
      <c r="E284" t="s">
        <v>1706</v>
      </c>
      <c r="F284" t="s">
        <v>11</v>
      </c>
      <c r="G284" t="s">
        <v>2239</v>
      </c>
      <c r="I284">
        <v>300</v>
      </c>
      <c r="J284">
        <v>1</v>
      </c>
      <c r="K284" t="s">
        <v>1118</v>
      </c>
      <c r="L284" t="s">
        <v>1709</v>
      </c>
      <c r="M284" t="s">
        <v>1693</v>
      </c>
      <c r="W284">
        <v>51.7</v>
      </c>
      <c r="X284" t="s">
        <v>1118</v>
      </c>
      <c r="Y284">
        <v>0.64</v>
      </c>
      <c r="Z284" t="s">
        <v>1118</v>
      </c>
      <c r="AB284">
        <v>5.13</v>
      </c>
      <c r="AC284" t="s">
        <v>1118</v>
      </c>
      <c r="AD284">
        <v>1.19</v>
      </c>
      <c r="AG284">
        <v>10.6</v>
      </c>
      <c r="AJ284">
        <v>5.04</v>
      </c>
      <c r="AK284" t="s">
        <v>1118</v>
      </c>
      <c r="AR284">
        <v>4.59</v>
      </c>
      <c r="AS284" t="s">
        <v>1733</v>
      </c>
      <c r="BJ284">
        <v>1.02</v>
      </c>
      <c r="BK284" t="s">
        <v>1118</v>
      </c>
      <c r="BL284">
        <v>0.13</v>
      </c>
      <c r="BM284" t="s">
        <v>1118</v>
      </c>
      <c r="BN284">
        <v>0.02</v>
      </c>
      <c r="BO284" t="s">
        <v>1118</v>
      </c>
      <c r="BV284">
        <v>0.72</v>
      </c>
      <c r="BW284" t="s">
        <v>1118</v>
      </c>
    </row>
    <row r="285" spans="1:75">
      <c r="A285" t="s">
        <v>705</v>
      </c>
      <c r="B285" t="s">
        <v>2240</v>
      </c>
      <c r="F285" t="s">
        <v>7</v>
      </c>
    </row>
    <row r="286" spans="1:75">
      <c r="B286" t="s">
        <v>2241</v>
      </c>
      <c r="C286" t="s">
        <v>2044</v>
      </c>
      <c r="D286" t="s">
        <v>1763</v>
      </c>
      <c r="E286" t="s">
        <v>1721</v>
      </c>
      <c r="F286" t="s">
        <v>11</v>
      </c>
      <c r="G286" t="s">
        <v>2242</v>
      </c>
      <c r="J286">
        <v>2.5</v>
      </c>
      <c r="K286" t="s">
        <v>1118</v>
      </c>
      <c r="L286" t="s">
        <v>1709</v>
      </c>
      <c r="M286" t="s">
        <v>1693</v>
      </c>
      <c r="O286">
        <v>535</v>
      </c>
      <c r="P286" t="s">
        <v>1104</v>
      </c>
      <c r="Q286">
        <v>36.5</v>
      </c>
      <c r="R286" t="s">
        <v>1104</v>
      </c>
      <c r="U286">
        <v>40.200000000000003</v>
      </c>
      <c r="V286" t="s">
        <v>1118</v>
      </c>
      <c r="AG286">
        <v>5.7</v>
      </c>
      <c r="AX286">
        <v>5.0199999999999996</v>
      </c>
      <c r="AY286" t="s">
        <v>1164</v>
      </c>
    </row>
    <row r="287" spans="1:75">
      <c r="B287" t="s">
        <v>2243</v>
      </c>
      <c r="C287" t="s">
        <v>2046</v>
      </c>
      <c r="D287" t="s">
        <v>1763</v>
      </c>
      <c r="E287" t="s">
        <v>1721</v>
      </c>
      <c r="F287" t="s">
        <v>11</v>
      </c>
      <c r="G287" t="s">
        <v>2242</v>
      </c>
      <c r="J287">
        <v>5</v>
      </c>
      <c r="K287" t="s">
        <v>1118</v>
      </c>
      <c r="L287" t="s">
        <v>1709</v>
      </c>
      <c r="M287" t="s">
        <v>1693</v>
      </c>
      <c r="O287">
        <v>535</v>
      </c>
      <c r="P287" t="s">
        <v>1104</v>
      </c>
      <c r="Q287">
        <v>36.5</v>
      </c>
      <c r="R287" t="s">
        <v>1104</v>
      </c>
      <c r="U287">
        <v>40.200000000000003</v>
      </c>
      <c r="V287" t="s">
        <v>1118</v>
      </c>
      <c r="AG287">
        <v>5.7</v>
      </c>
      <c r="AX287">
        <v>5.0199999999999996</v>
      </c>
      <c r="AY287" t="s">
        <v>1164</v>
      </c>
    </row>
    <row r="288" spans="1:75">
      <c r="B288" t="s">
        <v>2244</v>
      </c>
      <c r="C288" t="s">
        <v>2245</v>
      </c>
      <c r="D288" t="s">
        <v>1763</v>
      </c>
      <c r="E288" t="s">
        <v>1721</v>
      </c>
      <c r="F288" t="s">
        <v>11</v>
      </c>
      <c r="G288" t="s">
        <v>2246</v>
      </c>
      <c r="J288">
        <v>2.5</v>
      </c>
      <c r="K288" t="s">
        <v>1118</v>
      </c>
      <c r="L288" t="s">
        <v>1709</v>
      </c>
      <c r="M288" t="s">
        <v>1693</v>
      </c>
      <c r="O288">
        <v>516</v>
      </c>
      <c r="P288" t="s">
        <v>1104</v>
      </c>
      <c r="Q288">
        <v>74.3</v>
      </c>
      <c r="R288" t="s">
        <v>1104</v>
      </c>
      <c r="U288">
        <v>5.4</v>
      </c>
      <c r="V288" t="s">
        <v>1118</v>
      </c>
      <c r="AG288">
        <v>5.3</v>
      </c>
      <c r="AX288">
        <v>5.3</v>
      </c>
      <c r="AY288" t="s">
        <v>1164</v>
      </c>
    </row>
    <row r="289" spans="1:80">
      <c r="B289" t="s">
        <v>2247</v>
      </c>
      <c r="C289" t="s">
        <v>2187</v>
      </c>
      <c r="D289" t="s">
        <v>1763</v>
      </c>
      <c r="E289" t="s">
        <v>1721</v>
      </c>
      <c r="F289" t="s">
        <v>11</v>
      </c>
      <c r="G289" t="s">
        <v>2246</v>
      </c>
      <c r="J289">
        <v>5</v>
      </c>
      <c r="K289" t="s">
        <v>1118</v>
      </c>
      <c r="L289" t="s">
        <v>1709</v>
      </c>
      <c r="M289" t="s">
        <v>1693</v>
      </c>
      <c r="O289">
        <v>516</v>
      </c>
      <c r="P289" t="s">
        <v>1104</v>
      </c>
      <c r="Q289">
        <v>74.3</v>
      </c>
      <c r="R289" t="s">
        <v>1104</v>
      </c>
      <c r="U289">
        <v>5.4</v>
      </c>
      <c r="V289" t="s">
        <v>1118</v>
      </c>
      <c r="AG289">
        <v>5.3</v>
      </c>
      <c r="AX289">
        <v>5.3</v>
      </c>
      <c r="AY289" t="s">
        <v>1164</v>
      </c>
    </row>
    <row r="290" spans="1:80">
      <c r="A290" t="s">
        <v>320</v>
      </c>
      <c r="B290" t="s">
        <v>2248</v>
      </c>
      <c r="F290" t="s">
        <v>7</v>
      </c>
    </row>
    <row r="291" spans="1:80">
      <c r="B291" t="s">
        <v>2249</v>
      </c>
      <c r="D291" t="s">
        <v>1848</v>
      </c>
      <c r="E291" t="s">
        <v>2250</v>
      </c>
      <c r="F291" t="s">
        <v>11</v>
      </c>
      <c r="J291">
        <v>37.200000000000003</v>
      </c>
      <c r="K291" t="s">
        <v>2251</v>
      </c>
      <c r="O291">
        <v>15</v>
      </c>
      <c r="P291" t="s">
        <v>1118</v>
      </c>
    </row>
    <row r="292" spans="1:80">
      <c r="A292" t="s">
        <v>695</v>
      </c>
      <c r="B292" t="s">
        <v>2252</v>
      </c>
      <c r="F292" t="s">
        <v>7</v>
      </c>
    </row>
    <row r="293" spans="1:80">
      <c r="B293" t="s">
        <v>2253</v>
      </c>
      <c r="C293" t="s">
        <v>2224</v>
      </c>
      <c r="D293" t="s">
        <v>1688</v>
      </c>
      <c r="E293" t="s">
        <v>1688</v>
      </c>
      <c r="F293" t="s">
        <v>11</v>
      </c>
      <c r="G293" t="s">
        <v>2254</v>
      </c>
      <c r="J293">
        <v>10</v>
      </c>
      <c r="K293" t="s">
        <v>1118</v>
      </c>
      <c r="L293" t="s">
        <v>1709</v>
      </c>
      <c r="M293" t="s">
        <v>1693</v>
      </c>
      <c r="S293">
        <v>478.3</v>
      </c>
      <c r="T293" t="s">
        <v>1104</v>
      </c>
      <c r="U293">
        <v>49.8</v>
      </c>
      <c r="V293" t="s">
        <v>1118</v>
      </c>
      <c r="Y293">
        <v>16.399999999999999</v>
      </c>
      <c r="Z293" t="s">
        <v>1104</v>
      </c>
      <c r="AG293">
        <v>7.8</v>
      </c>
      <c r="AV293">
        <v>48.9</v>
      </c>
      <c r="AW293" t="s">
        <v>1119</v>
      </c>
    </row>
    <row r="294" spans="1:80">
      <c r="B294" t="s">
        <v>2255</v>
      </c>
      <c r="C294" t="s">
        <v>1888</v>
      </c>
      <c r="D294" t="s">
        <v>1700</v>
      </c>
      <c r="E294" t="s">
        <v>1700</v>
      </c>
      <c r="F294" t="s">
        <v>11</v>
      </c>
      <c r="G294" t="s">
        <v>1842</v>
      </c>
      <c r="J294">
        <v>10</v>
      </c>
      <c r="K294" t="s">
        <v>1118</v>
      </c>
      <c r="L294" t="s">
        <v>1709</v>
      </c>
      <c r="M294" t="s">
        <v>1693</v>
      </c>
      <c r="S294">
        <v>368.9</v>
      </c>
      <c r="T294" t="s">
        <v>1104</v>
      </c>
      <c r="U294">
        <v>43.6</v>
      </c>
      <c r="V294" t="s">
        <v>1118</v>
      </c>
      <c r="Y294">
        <v>12.9</v>
      </c>
      <c r="Z294" t="s">
        <v>1104</v>
      </c>
      <c r="AG294">
        <v>8.3000000000000007</v>
      </c>
      <c r="AV294">
        <v>38.700000000000003</v>
      </c>
      <c r="AW294" t="s">
        <v>1119</v>
      </c>
    </row>
    <row r="295" spans="1:80">
      <c r="A295" t="s">
        <v>329</v>
      </c>
      <c r="B295" t="s">
        <v>2256</v>
      </c>
      <c r="F295" t="s">
        <v>7</v>
      </c>
    </row>
    <row r="296" spans="1:80">
      <c r="B296" t="s">
        <v>2257</v>
      </c>
      <c r="C296" t="s">
        <v>2258</v>
      </c>
      <c r="D296" t="s">
        <v>1705</v>
      </c>
      <c r="E296" t="s">
        <v>1706</v>
      </c>
      <c r="F296" t="s">
        <v>11</v>
      </c>
      <c r="G296" t="s">
        <v>2259</v>
      </c>
      <c r="I296">
        <v>300</v>
      </c>
      <c r="J296">
        <v>1</v>
      </c>
      <c r="K296" t="s">
        <v>1118</v>
      </c>
      <c r="L296" t="s">
        <v>1709</v>
      </c>
      <c r="M296" s="29" t="s">
        <v>1693</v>
      </c>
      <c r="W296">
        <v>48.26</v>
      </c>
      <c r="X296" t="s">
        <v>1118</v>
      </c>
      <c r="Y296">
        <v>0.11</v>
      </c>
      <c r="Z296" t="s">
        <v>1118</v>
      </c>
      <c r="AB296">
        <v>2.2999999999999998</v>
      </c>
      <c r="AC296" t="s">
        <v>1118</v>
      </c>
      <c r="AD296">
        <f>AB296/W296</f>
        <v>4.7658516369664318E-2</v>
      </c>
      <c r="AE296">
        <v>25.08</v>
      </c>
      <c r="AF296" t="s">
        <v>1118</v>
      </c>
      <c r="AG296">
        <v>6.32</v>
      </c>
      <c r="AJ296">
        <v>22.24</v>
      </c>
      <c r="AK296" t="s">
        <v>1118</v>
      </c>
      <c r="AN296">
        <v>7.0000000000000001E-3</v>
      </c>
      <c r="AO296" t="s">
        <v>1732</v>
      </c>
      <c r="AP296">
        <v>186.9</v>
      </c>
      <c r="AQ296" t="s">
        <v>1770</v>
      </c>
      <c r="AR296">
        <v>1.99</v>
      </c>
      <c r="AS296" t="s">
        <v>1884</v>
      </c>
      <c r="AV296">
        <v>70.73</v>
      </c>
      <c r="AW296" t="s">
        <v>1119</v>
      </c>
    </row>
    <row r="297" spans="1:80">
      <c r="B297" t="s">
        <v>2260</v>
      </c>
      <c r="C297" t="s">
        <v>2261</v>
      </c>
      <c r="D297" t="s">
        <v>1705</v>
      </c>
      <c r="E297" t="s">
        <v>1706</v>
      </c>
      <c r="F297" t="s">
        <v>11</v>
      </c>
      <c r="G297" t="s">
        <v>2262</v>
      </c>
      <c r="H297" t="s">
        <v>2262</v>
      </c>
      <c r="I297">
        <v>300</v>
      </c>
      <c r="J297">
        <v>1</v>
      </c>
      <c r="K297" t="s">
        <v>1118</v>
      </c>
      <c r="L297" t="s">
        <v>1709</v>
      </c>
      <c r="M297" s="29" t="s">
        <v>1693</v>
      </c>
      <c r="W297">
        <v>58.6</v>
      </c>
      <c r="X297" t="s">
        <v>1118</v>
      </c>
      <c r="Y297">
        <v>1.61</v>
      </c>
      <c r="Z297" t="s">
        <v>1118</v>
      </c>
      <c r="AB297">
        <v>3.8</v>
      </c>
      <c r="AC297" t="s">
        <v>1118</v>
      </c>
      <c r="AD297">
        <f>AB297/W297</f>
        <v>6.4846416382252553E-2</v>
      </c>
      <c r="AE297">
        <v>31.48</v>
      </c>
      <c r="AF297" t="s">
        <v>1118</v>
      </c>
      <c r="AG297">
        <v>6.13</v>
      </c>
      <c r="AJ297">
        <v>22.58</v>
      </c>
      <c r="AK297" t="s">
        <v>1118</v>
      </c>
      <c r="AN297">
        <v>5.0000000000000001E-3</v>
      </c>
      <c r="AO297" t="s">
        <v>1732</v>
      </c>
      <c r="AP297">
        <v>104.3</v>
      </c>
      <c r="AQ297" t="s">
        <v>1770</v>
      </c>
      <c r="AR297">
        <v>1.46</v>
      </c>
      <c r="AS297" t="s">
        <v>1884</v>
      </c>
      <c r="AV297">
        <v>83.9</v>
      </c>
      <c r="AW297" t="s">
        <v>1119</v>
      </c>
    </row>
    <row r="298" spans="1:80">
      <c r="A298" t="s">
        <v>670</v>
      </c>
      <c r="B298" t="s">
        <v>2263</v>
      </c>
      <c r="F298" t="s">
        <v>7</v>
      </c>
    </row>
    <row r="299" spans="1:80">
      <c r="B299" t="s">
        <v>2264</v>
      </c>
      <c r="C299" t="s">
        <v>1954</v>
      </c>
      <c r="D299" t="s">
        <v>1688</v>
      </c>
      <c r="E299" t="s">
        <v>1721</v>
      </c>
      <c r="F299" t="s">
        <v>11</v>
      </c>
      <c r="G299" t="s">
        <v>2265</v>
      </c>
      <c r="J299">
        <v>10</v>
      </c>
      <c r="K299" t="s">
        <v>1118</v>
      </c>
      <c r="L299" t="s">
        <v>1709</v>
      </c>
      <c r="M299" t="s">
        <v>1693</v>
      </c>
      <c r="O299">
        <v>27.1</v>
      </c>
      <c r="P299" t="s">
        <v>1118</v>
      </c>
      <c r="Q299">
        <v>1.22</v>
      </c>
      <c r="R299" t="s">
        <v>1118</v>
      </c>
      <c r="AG299">
        <v>7.5</v>
      </c>
    </row>
    <row r="300" spans="1:80">
      <c r="A300" t="s">
        <v>658</v>
      </c>
      <c r="B300" t="s">
        <v>2266</v>
      </c>
      <c r="F300" t="s">
        <v>7</v>
      </c>
    </row>
    <row r="301" spans="1:80">
      <c r="B301" t="s">
        <v>2267</v>
      </c>
      <c r="C301" t="s">
        <v>2077</v>
      </c>
      <c r="D301" t="s">
        <v>1688</v>
      </c>
      <c r="E301" t="s">
        <v>1721</v>
      </c>
      <c r="F301" t="s">
        <v>11</v>
      </c>
      <c r="G301" t="s">
        <v>2268</v>
      </c>
      <c r="J301">
        <v>10</v>
      </c>
      <c r="K301" t="s">
        <v>1118</v>
      </c>
      <c r="L301" t="s">
        <v>1709</v>
      </c>
      <c r="M301" t="s">
        <v>1693</v>
      </c>
      <c r="Q301">
        <v>25</v>
      </c>
      <c r="R301" t="s">
        <v>1104</v>
      </c>
      <c r="S301">
        <v>95</v>
      </c>
      <c r="T301" t="s">
        <v>1118</v>
      </c>
      <c r="AA301">
        <v>18.3</v>
      </c>
      <c r="AG301">
        <v>5.8</v>
      </c>
    </row>
    <row r="302" spans="1:80">
      <c r="B302" t="s">
        <v>2269</v>
      </c>
      <c r="C302" t="s">
        <v>2270</v>
      </c>
      <c r="D302" t="s">
        <v>1688</v>
      </c>
      <c r="E302" t="s">
        <v>1688</v>
      </c>
      <c r="F302" t="s">
        <v>11</v>
      </c>
      <c r="G302" t="s">
        <v>2271</v>
      </c>
      <c r="J302">
        <v>10</v>
      </c>
      <c r="K302" t="s">
        <v>1118</v>
      </c>
      <c r="L302" t="s">
        <v>1709</v>
      </c>
      <c r="M302" t="s">
        <v>1693</v>
      </c>
      <c r="Q302">
        <v>3000</v>
      </c>
      <c r="R302" t="s">
        <v>1402</v>
      </c>
      <c r="S302">
        <v>49.2</v>
      </c>
      <c r="T302" t="s">
        <v>1118</v>
      </c>
      <c r="AA302">
        <v>16.5</v>
      </c>
      <c r="AG302">
        <v>7.9</v>
      </c>
    </row>
    <row r="303" spans="1:80">
      <c r="A303" t="s">
        <v>333</v>
      </c>
      <c r="B303" t="s">
        <v>2272</v>
      </c>
      <c r="F303" t="s">
        <v>7</v>
      </c>
    </row>
    <row r="304" spans="1:80">
      <c r="B304" t="s">
        <v>2273</v>
      </c>
      <c r="C304" t="s">
        <v>2274</v>
      </c>
      <c r="D304" t="s">
        <v>1848</v>
      </c>
      <c r="E304" t="s">
        <v>2117</v>
      </c>
      <c r="F304" t="s">
        <v>11</v>
      </c>
      <c r="J304" s="32">
        <v>2.1009837962962963</v>
      </c>
      <c r="K304" t="s">
        <v>1118</v>
      </c>
      <c r="L304" t="s">
        <v>1709</v>
      </c>
      <c r="M304" t="s">
        <v>1693</v>
      </c>
      <c r="W304">
        <v>18</v>
      </c>
      <c r="X304" t="s">
        <v>1118</v>
      </c>
      <c r="Y304">
        <v>0.35</v>
      </c>
      <c r="Z304" t="s">
        <v>1118</v>
      </c>
      <c r="AA304">
        <v>51</v>
      </c>
      <c r="AG304">
        <v>5.66</v>
      </c>
      <c r="CB304" t="s">
        <v>2275</v>
      </c>
    </row>
    <row r="305" spans="1:80">
      <c r="B305" t="s">
        <v>2276</v>
      </c>
      <c r="C305" t="s">
        <v>2277</v>
      </c>
      <c r="D305" t="s">
        <v>1848</v>
      </c>
      <c r="E305" t="s">
        <v>2117</v>
      </c>
      <c r="F305" t="s">
        <v>11</v>
      </c>
      <c r="J305" s="32">
        <v>1.0766782407407407</v>
      </c>
      <c r="K305" t="s">
        <v>1118</v>
      </c>
      <c r="L305" t="s">
        <v>1709</v>
      </c>
      <c r="M305" t="s">
        <v>1693</v>
      </c>
      <c r="W305">
        <v>7.3</v>
      </c>
      <c r="X305" t="s">
        <v>1118</v>
      </c>
      <c r="Y305">
        <v>0.23</v>
      </c>
      <c r="Z305" t="s">
        <v>1118</v>
      </c>
      <c r="AA305">
        <v>32</v>
      </c>
      <c r="AG305">
        <v>5.94</v>
      </c>
      <c r="CB305" t="s">
        <v>2275</v>
      </c>
    </row>
    <row r="306" spans="1:80">
      <c r="B306" t="s">
        <v>2278</v>
      </c>
      <c r="C306" t="s">
        <v>2279</v>
      </c>
      <c r="D306" t="s">
        <v>1848</v>
      </c>
      <c r="E306" t="s">
        <v>2117</v>
      </c>
      <c r="F306" t="s">
        <v>11</v>
      </c>
      <c r="J306" t="s">
        <v>2280</v>
      </c>
      <c r="K306" t="s">
        <v>1118</v>
      </c>
      <c r="L306" t="s">
        <v>1709</v>
      </c>
      <c r="M306" t="s">
        <v>1693</v>
      </c>
      <c r="W306">
        <v>3.8</v>
      </c>
      <c r="X306" t="s">
        <v>1118</v>
      </c>
      <c r="Y306">
        <v>0.18</v>
      </c>
      <c r="Z306" t="s">
        <v>1118</v>
      </c>
      <c r="AA306">
        <v>21</v>
      </c>
      <c r="AG306">
        <v>5.99</v>
      </c>
      <c r="CB306" t="s">
        <v>2275</v>
      </c>
    </row>
    <row r="307" spans="1:80">
      <c r="A307" t="s">
        <v>644</v>
      </c>
      <c r="B307" t="s">
        <v>2281</v>
      </c>
      <c r="F307" t="s">
        <v>7</v>
      </c>
    </row>
    <row r="308" spans="1:80">
      <c r="B308" t="s">
        <v>2282</v>
      </c>
      <c r="C308" t="s">
        <v>1738</v>
      </c>
      <c r="D308" t="s">
        <v>1688</v>
      </c>
      <c r="E308" t="s">
        <v>1715</v>
      </c>
      <c r="F308" t="s">
        <v>11</v>
      </c>
      <c r="G308" t="s">
        <v>2283</v>
      </c>
    </row>
    <row r="309" spans="1:80">
      <c r="B309" t="s">
        <v>2284</v>
      </c>
      <c r="C309" t="s">
        <v>1662</v>
      </c>
      <c r="D309" t="s">
        <v>1688</v>
      </c>
      <c r="E309" t="s">
        <v>1715</v>
      </c>
      <c r="F309" t="s">
        <v>11</v>
      </c>
      <c r="G309" t="s">
        <v>2285</v>
      </c>
      <c r="J309">
        <v>10</v>
      </c>
      <c r="K309" t="s">
        <v>1118</v>
      </c>
      <c r="L309" t="s">
        <v>1709</v>
      </c>
      <c r="M309" t="s">
        <v>1693</v>
      </c>
    </row>
    <row r="310" spans="1:80">
      <c r="A310" t="s">
        <v>634</v>
      </c>
      <c r="B310" t="s">
        <v>2286</v>
      </c>
      <c r="F310" t="s">
        <v>7</v>
      </c>
      <c r="J310">
        <v>10</v>
      </c>
      <c r="K310" t="s">
        <v>1118</v>
      </c>
      <c r="L310" t="s">
        <v>1709</v>
      </c>
      <c r="M310" t="s">
        <v>1693</v>
      </c>
    </row>
    <row r="311" spans="1:80">
      <c r="B311" t="s">
        <v>2287</v>
      </c>
      <c r="C311" t="s">
        <v>2288</v>
      </c>
      <c r="D311" t="s">
        <v>1700</v>
      </c>
      <c r="E311" t="s">
        <v>1700</v>
      </c>
      <c r="F311" t="s">
        <v>11</v>
      </c>
      <c r="G311" t="s">
        <v>2289</v>
      </c>
      <c r="J311">
        <v>5</v>
      </c>
      <c r="K311" t="s">
        <v>1118</v>
      </c>
      <c r="L311" t="s">
        <v>1709</v>
      </c>
      <c r="M311" t="s">
        <v>1693</v>
      </c>
      <c r="S311">
        <v>61</v>
      </c>
      <c r="T311" t="s">
        <v>1118</v>
      </c>
      <c r="AG311">
        <v>7.9</v>
      </c>
      <c r="AH311" t="s">
        <v>1277</v>
      </c>
      <c r="AI311" t="s">
        <v>1694</v>
      </c>
      <c r="AX311">
        <v>3150</v>
      </c>
      <c r="AY311" t="s">
        <v>1150</v>
      </c>
    </row>
    <row r="312" spans="1:80">
      <c r="A312" t="s">
        <v>622</v>
      </c>
      <c r="B312" t="s">
        <v>2290</v>
      </c>
      <c r="F312" t="s">
        <v>7</v>
      </c>
    </row>
    <row r="313" spans="1:80">
      <c r="B313" t="s">
        <v>2291</v>
      </c>
      <c r="C313" t="s">
        <v>2292</v>
      </c>
      <c r="D313" t="s">
        <v>1688</v>
      </c>
      <c r="E313" t="s">
        <v>1688</v>
      </c>
      <c r="F313" t="s">
        <v>11</v>
      </c>
      <c r="G313" t="s">
        <v>1759</v>
      </c>
      <c r="J313">
        <v>1</v>
      </c>
      <c r="K313" t="s">
        <v>1118</v>
      </c>
      <c r="L313" t="s">
        <v>1709</v>
      </c>
      <c r="M313" t="s">
        <v>2293</v>
      </c>
      <c r="O313">
        <v>341</v>
      </c>
      <c r="P313" t="s">
        <v>1104</v>
      </c>
      <c r="Q313">
        <v>10.8</v>
      </c>
      <c r="R313" t="s">
        <v>2294</v>
      </c>
      <c r="U313">
        <v>495</v>
      </c>
      <c r="V313" t="s">
        <v>1104</v>
      </c>
      <c r="AG313">
        <v>6.8</v>
      </c>
      <c r="AJ313">
        <v>357</v>
      </c>
      <c r="AK313" t="s">
        <v>1104</v>
      </c>
    </row>
    <row r="314" spans="1:80">
      <c r="A314" t="s">
        <v>618</v>
      </c>
      <c r="B314" t="s">
        <v>2295</v>
      </c>
      <c r="F314" t="s">
        <v>7</v>
      </c>
    </row>
    <row r="315" spans="1:80">
      <c r="B315" t="s">
        <v>2296</v>
      </c>
      <c r="C315" t="s">
        <v>1800</v>
      </c>
      <c r="D315" t="s">
        <v>1688</v>
      </c>
      <c r="E315" t="s">
        <v>1688</v>
      </c>
      <c r="F315" t="s">
        <v>11</v>
      </c>
      <c r="G315" t="s">
        <v>1787</v>
      </c>
      <c r="J315">
        <v>2</v>
      </c>
      <c r="K315" t="s">
        <v>1118</v>
      </c>
      <c r="L315" t="s">
        <v>1709</v>
      </c>
      <c r="M315" t="s">
        <v>1693</v>
      </c>
      <c r="Q315">
        <v>9.1999999999999993</v>
      </c>
      <c r="R315" t="s">
        <v>1118</v>
      </c>
      <c r="W315">
        <v>28</v>
      </c>
      <c r="X315" t="s">
        <v>1118</v>
      </c>
      <c r="Y315">
        <v>2.2999999999999998</v>
      </c>
      <c r="Z315" t="s">
        <v>1118</v>
      </c>
      <c r="AG315">
        <v>8.6</v>
      </c>
      <c r="AH315" t="s">
        <v>1277</v>
      </c>
      <c r="AI315" t="s">
        <v>1972</v>
      </c>
      <c r="AR315">
        <v>1.2</v>
      </c>
      <c r="AS315" t="s">
        <v>1733</v>
      </c>
    </row>
    <row r="316" spans="1:80">
      <c r="B316" t="s">
        <v>2297</v>
      </c>
      <c r="C316" t="s">
        <v>1704</v>
      </c>
      <c r="D316" t="s">
        <v>1705</v>
      </c>
      <c r="E316" t="s">
        <v>1706</v>
      </c>
      <c r="F316" t="s">
        <v>11</v>
      </c>
      <c r="G316" t="s">
        <v>2298</v>
      </c>
      <c r="H316" t="s">
        <v>1783</v>
      </c>
      <c r="I316">
        <v>400</v>
      </c>
      <c r="J316">
        <v>3</v>
      </c>
      <c r="K316" t="s">
        <v>1118</v>
      </c>
      <c r="L316" t="s">
        <v>1709</v>
      </c>
      <c r="M316" t="s">
        <v>1693</v>
      </c>
      <c r="Q316">
        <v>4.4000000000000004</v>
      </c>
      <c r="R316" t="s">
        <v>1118</v>
      </c>
      <c r="W316">
        <v>30</v>
      </c>
      <c r="X316" t="s">
        <v>1118</v>
      </c>
      <c r="Y316">
        <v>1.8</v>
      </c>
      <c r="Z316" t="s">
        <v>1118</v>
      </c>
      <c r="AG316">
        <v>9.8000000000000007</v>
      </c>
      <c r="AH316" t="s">
        <v>1277</v>
      </c>
      <c r="AI316" t="s">
        <v>1972</v>
      </c>
      <c r="AR316">
        <v>0.3</v>
      </c>
      <c r="AS316" t="s">
        <v>1733</v>
      </c>
    </row>
    <row r="317" spans="1:80">
      <c r="A317" t="s">
        <v>610</v>
      </c>
      <c r="B317" t="s">
        <v>2299</v>
      </c>
      <c r="F317" t="s">
        <v>7</v>
      </c>
    </row>
    <row r="318" spans="1:80">
      <c r="B318" t="s">
        <v>2300</v>
      </c>
      <c r="C318" t="s">
        <v>1842</v>
      </c>
      <c r="D318" t="s">
        <v>1700</v>
      </c>
      <c r="E318" t="s">
        <v>1700</v>
      </c>
      <c r="F318" t="s">
        <v>11</v>
      </c>
      <c r="G318" t="s">
        <v>2301</v>
      </c>
      <c r="J318">
        <v>1</v>
      </c>
      <c r="K318" t="s">
        <v>1118</v>
      </c>
      <c r="L318" t="s">
        <v>1709</v>
      </c>
      <c r="M318" t="s">
        <v>1693</v>
      </c>
    </row>
    <row r="319" spans="1:80">
      <c r="B319" t="s">
        <v>2302</v>
      </c>
      <c r="C319" t="s">
        <v>1842</v>
      </c>
      <c r="D319" t="s">
        <v>1700</v>
      </c>
      <c r="E319" t="s">
        <v>1700</v>
      </c>
      <c r="F319" t="s">
        <v>11</v>
      </c>
      <c r="G319" t="s">
        <v>2301</v>
      </c>
      <c r="J319">
        <v>2.5</v>
      </c>
      <c r="K319" t="s">
        <v>1118</v>
      </c>
      <c r="L319" t="s">
        <v>1709</v>
      </c>
      <c r="M319" t="s">
        <v>1693</v>
      </c>
    </row>
    <row r="320" spans="1:80">
      <c r="B320" t="s">
        <v>2303</v>
      </c>
      <c r="C320" t="s">
        <v>1842</v>
      </c>
      <c r="D320" t="s">
        <v>1700</v>
      </c>
      <c r="E320" t="s">
        <v>1700</v>
      </c>
      <c r="F320" t="s">
        <v>11</v>
      </c>
      <c r="G320" t="s">
        <v>2301</v>
      </c>
      <c r="J320">
        <v>5</v>
      </c>
      <c r="K320" t="s">
        <v>1118</v>
      </c>
      <c r="L320" t="s">
        <v>1709</v>
      </c>
      <c r="M320" t="s">
        <v>1693</v>
      </c>
    </row>
    <row r="321" spans="1:51">
      <c r="A321" t="s">
        <v>586</v>
      </c>
      <c r="B321" t="s">
        <v>2304</v>
      </c>
      <c r="F321" t="s">
        <v>7</v>
      </c>
    </row>
    <row r="322" spans="1:51">
      <c r="B322" t="s">
        <v>2305</v>
      </c>
      <c r="C322" t="s">
        <v>2306</v>
      </c>
      <c r="D322" t="s">
        <v>1705</v>
      </c>
      <c r="E322" t="s">
        <v>1706</v>
      </c>
      <c r="F322" t="s">
        <v>11</v>
      </c>
      <c r="G322" t="s">
        <v>2307</v>
      </c>
      <c r="H322" t="s">
        <v>2308</v>
      </c>
      <c r="I322">
        <v>500</v>
      </c>
      <c r="J322">
        <v>2</v>
      </c>
      <c r="K322" t="s">
        <v>1118</v>
      </c>
      <c r="L322" t="s">
        <v>1709</v>
      </c>
      <c r="M322" t="s">
        <v>1693</v>
      </c>
      <c r="AR322">
        <v>22.45</v>
      </c>
      <c r="AS322" t="s">
        <v>1733</v>
      </c>
    </row>
    <row r="323" spans="1:51">
      <c r="A323" t="s">
        <v>556</v>
      </c>
      <c r="B323" t="s">
        <v>2309</v>
      </c>
      <c r="F323" t="s">
        <v>7</v>
      </c>
    </row>
    <row r="324" spans="1:51">
      <c r="B324" t="s">
        <v>2310</v>
      </c>
      <c r="C324" t="s">
        <v>2311</v>
      </c>
      <c r="D324" t="s">
        <v>1721</v>
      </c>
      <c r="E324" t="s">
        <v>1721</v>
      </c>
      <c r="F324" t="s">
        <v>11</v>
      </c>
      <c r="G324" t="s">
        <v>2311</v>
      </c>
      <c r="J324">
        <v>5</v>
      </c>
      <c r="K324" t="s">
        <v>1118</v>
      </c>
      <c r="L324" t="s">
        <v>1709</v>
      </c>
      <c r="M324" t="s">
        <v>1693</v>
      </c>
      <c r="O324">
        <v>41.5</v>
      </c>
      <c r="P324" t="s">
        <v>1118</v>
      </c>
      <c r="AG324">
        <v>5</v>
      </c>
    </row>
    <row r="325" spans="1:51">
      <c r="B325" t="s">
        <v>2312</v>
      </c>
      <c r="C325" t="s">
        <v>2313</v>
      </c>
      <c r="D325" t="s">
        <v>1721</v>
      </c>
      <c r="E325" t="s">
        <v>1721</v>
      </c>
      <c r="F325" t="s">
        <v>11</v>
      </c>
      <c r="G325" t="s">
        <v>2313</v>
      </c>
      <c r="J325">
        <v>5</v>
      </c>
      <c r="K325" t="s">
        <v>1118</v>
      </c>
      <c r="L325" t="s">
        <v>1709</v>
      </c>
      <c r="M325" t="s">
        <v>1693</v>
      </c>
      <c r="O325">
        <v>38.5</v>
      </c>
      <c r="P325" t="s">
        <v>1118</v>
      </c>
      <c r="AG325">
        <v>4</v>
      </c>
    </row>
    <row r="326" spans="1:51">
      <c r="A326" t="s">
        <v>614</v>
      </c>
      <c r="B326" t="s">
        <v>2314</v>
      </c>
      <c r="F326" t="s">
        <v>7</v>
      </c>
    </row>
    <row r="327" spans="1:51">
      <c r="B327" t="s">
        <v>2315</v>
      </c>
      <c r="C327" t="s">
        <v>1706</v>
      </c>
      <c r="D327" t="s">
        <v>1705</v>
      </c>
      <c r="E327" t="s">
        <v>1706</v>
      </c>
      <c r="F327" t="s">
        <v>11</v>
      </c>
      <c r="G327" t="s">
        <v>2307</v>
      </c>
      <c r="H327" t="s">
        <v>2308</v>
      </c>
      <c r="I327">
        <v>500</v>
      </c>
      <c r="J327">
        <v>2</v>
      </c>
      <c r="K327" t="s">
        <v>1118</v>
      </c>
      <c r="L327" t="s">
        <v>1709</v>
      </c>
      <c r="M327" t="s">
        <v>1693</v>
      </c>
      <c r="W327">
        <v>492.4</v>
      </c>
      <c r="X327" t="s">
        <v>1108</v>
      </c>
      <c r="Y327">
        <v>5.6</v>
      </c>
      <c r="Z327" t="s">
        <v>1108</v>
      </c>
      <c r="AB327">
        <v>18.3</v>
      </c>
      <c r="AC327" t="s">
        <v>1108</v>
      </c>
      <c r="AG327">
        <v>8.6</v>
      </c>
      <c r="AH327" t="s">
        <v>1277</v>
      </c>
      <c r="AI327" t="s">
        <v>1784</v>
      </c>
      <c r="AJ327">
        <v>36.5</v>
      </c>
      <c r="AK327" t="s">
        <v>1118</v>
      </c>
      <c r="AN327">
        <v>4.2999999999999997E-2</v>
      </c>
      <c r="AO327" t="s">
        <v>1732</v>
      </c>
      <c r="AR327">
        <v>12.4</v>
      </c>
      <c r="AS327" t="s">
        <v>1733</v>
      </c>
      <c r="AV327">
        <v>4.2</v>
      </c>
      <c r="AW327" t="s">
        <v>1119</v>
      </c>
      <c r="AX327">
        <v>0.23</v>
      </c>
      <c r="AY327" t="s">
        <v>1164</v>
      </c>
    </row>
    <row r="328" spans="1:51">
      <c r="A328" t="s">
        <v>346</v>
      </c>
      <c r="B328" t="s">
        <v>2316</v>
      </c>
      <c r="F328" t="s">
        <v>7</v>
      </c>
    </row>
    <row r="329" spans="1:51">
      <c r="B329" t="s">
        <v>2317</v>
      </c>
      <c r="C329" t="s">
        <v>2318</v>
      </c>
      <c r="D329" t="s">
        <v>1721</v>
      </c>
      <c r="E329" t="s">
        <v>1721</v>
      </c>
      <c r="F329" t="s">
        <v>11</v>
      </c>
      <c r="J329">
        <v>1.75</v>
      </c>
      <c r="K329" t="s">
        <v>1118</v>
      </c>
      <c r="L329" t="s">
        <v>1709</v>
      </c>
      <c r="M329" t="s">
        <v>1693</v>
      </c>
      <c r="W329">
        <v>1.78</v>
      </c>
      <c r="X329" t="s">
        <v>1118</v>
      </c>
      <c r="Y329">
        <v>0.14000000000000001</v>
      </c>
      <c r="Z329" t="s">
        <v>1118</v>
      </c>
      <c r="AA329">
        <v>12.7</v>
      </c>
      <c r="AG329">
        <v>6.9</v>
      </c>
    </row>
    <row r="330" spans="1:51">
      <c r="A330" t="s">
        <v>578</v>
      </c>
      <c r="B330" t="s">
        <v>2319</v>
      </c>
      <c r="F330" t="s">
        <v>7</v>
      </c>
    </row>
    <row r="331" spans="1:51">
      <c r="B331" t="s">
        <v>2320</v>
      </c>
      <c r="C331" t="s">
        <v>2321</v>
      </c>
      <c r="D331" t="s">
        <v>1705</v>
      </c>
      <c r="E331" t="s">
        <v>1706</v>
      </c>
      <c r="F331" t="s">
        <v>11</v>
      </c>
      <c r="G331" t="s">
        <v>2322</v>
      </c>
      <c r="H331" t="s">
        <v>1750</v>
      </c>
      <c r="I331">
        <v>800</v>
      </c>
      <c r="J331">
        <v>0.1</v>
      </c>
      <c r="K331" t="s">
        <v>1118</v>
      </c>
      <c r="L331" t="s">
        <v>1709</v>
      </c>
      <c r="M331" t="s">
        <v>1693</v>
      </c>
      <c r="W331">
        <v>46.49</v>
      </c>
      <c r="X331" t="s">
        <v>1118</v>
      </c>
      <c r="Y331">
        <v>1.66</v>
      </c>
      <c r="Z331" t="s">
        <v>1118</v>
      </c>
      <c r="AB331">
        <v>2.06</v>
      </c>
      <c r="AC331" t="s">
        <v>1118</v>
      </c>
      <c r="AD331">
        <v>0.04</v>
      </c>
      <c r="AE331">
        <v>13.35</v>
      </c>
      <c r="AF331" t="s">
        <v>1118</v>
      </c>
      <c r="AN331">
        <v>0.38</v>
      </c>
      <c r="AO331" t="s">
        <v>1740</v>
      </c>
      <c r="AP331">
        <v>2.4500000000000002</v>
      </c>
      <c r="AQ331" t="s">
        <v>1741</v>
      </c>
      <c r="AR331">
        <v>677</v>
      </c>
      <c r="AS331" t="s">
        <v>1733</v>
      </c>
    </row>
    <row r="332" spans="1:51">
      <c r="B332" t="s">
        <v>2323</v>
      </c>
      <c r="C332" t="s">
        <v>2324</v>
      </c>
      <c r="D332" t="s">
        <v>1705</v>
      </c>
      <c r="E332" t="s">
        <v>1706</v>
      </c>
      <c r="F332" t="s">
        <v>11</v>
      </c>
      <c r="G332" t="s">
        <v>2322</v>
      </c>
      <c r="H332" t="s">
        <v>1750</v>
      </c>
      <c r="I332">
        <v>800</v>
      </c>
      <c r="J332">
        <v>0.5</v>
      </c>
      <c r="K332" t="s">
        <v>1118</v>
      </c>
      <c r="L332" t="s">
        <v>1709</v>
      </c>
      <c r="M332" t="s">
        <v>1693</v>
      </c>
      <c r="W332">
        <v>46.49</v>
      </c>
      <c r="X332" t="s">
        <v>1118</v>
      </c>
      <c r="Y332">
        <v>1.66</v>
      </c>
      <c r="Z332" t="s">
        <v>1118</v>
      </c>
      <c r="AB332">
        <v>2.06</v>
      </c>
      <c r="AC332" t="s">
        <v>1118</v>
      </c>
      <c r="AD332">
        <v>0.04</v>
      </c>
      <c r="AE332">
        <v>13.35</v>
      </c>
      <c r="AF332" t="s">
        <v>1118</v>
      </c>
      <c r="AN332">
        <v>0.38</v>
      </c>
      <c r="AO332" t="s">
        <v>1740</v>
      </c>
      <c r="AP332">
        <v>2.4500000000000002</v>
      </c>
      <c r="AQ332" t="s">
        <v>1741</v>
      </c>
      <c r="AR332">
        <v>677</v>
      </c>
      <c r="AS332" t="s">
        <v>1733</v>
      </c>
    </row>
    <row r="333" spans="1:51">
      <c r="A333" t="s">
        <v>662</v>
      </c>
      <c r="B333" t="s">
        <v>2325</v>
      </c>
      <c r="F333" t="s">
        <v>7</v>
      </c>
    </row>
    <row r="334" spans="1:51">
      <c r="B334" t="s">
        <v>2326</v>
      </c>
      <c r="C334" t="s">
        <v>2327</v>
      </c>
      <c r="D334" t="s">
        <v>1705</v>
      </c>
      <c r="E334" t="s">
        <v>1706</v>
      </c>
      <c r="F334" t="s">
        <v>11</v>
      </c>
      <c r="G334" t="s">
        <v>2328</v>
      </c>
      <c r="J334">
        <v>1</v>
      </c>
      <c r="K334" t="s">
        <v>1118</v>
      </c>
      <c r="L334" t="s">
        <v>1709</v>
      </c>
      <c r="M334" t="s">
        <v>1693</v>
      </c>
      <c r="W334">
        <v>64.7</v>
      </c>
      <c r="X334" t="s">
        <v>1118</v>
      </c>
      <c r="Y334">
        <v>0.87</v>
      </c>
      <c r="Z334" t="s">
        <v>1118</v>
      </c>
      <c r="AA334">
        <v>74</v>
      </c>
      <c r="AB334">
        <v>2.46</v>
      </c>
      <c r="AC334" t="s">
        <v>1118</v>
      </c>
      <c r="AG334">
        <v>7.8</v>
      </c>
      <c r="AH334" t="s">
        <v>1277</v>
      </c>
    </row>
    <row r="335" spans="1:51">
      <c r="B335" t="s">
        <v>2329</v>
      </c>
      <c r="C335" t="s">
        <v>2330</v>
      </c>
      <c r="D335" t="s">
        <v>1705</v>
      </c>
      <c r="E335" t="s">
        <v>1706</v>
      </c>
      <c r="F335" t="s">
        <v>11</v>
      </c>
      <c r="G335" t="s">
        <v>2331</v>
      </c>
      <c r="J335">
        <v>1</v>
      </c>
      <c r="K335" t="s">
        <v>1118</v>
      </c>
      <c r="L335" t="s">
        <v>1709</v>
      </c>
      <c r="M335" t="s">
        <v>1693</v>
      </c>
      <c r="W335">
        <v>52.2</v>
      </c>
      <c r="X335" t="s">
        <v>1118</v>
      </c>
      <c r="Y335">
        <v>1.72</v>
      </c>
      <c r="Z335" t="s">
        <v>1118</v>
      </c>
      <c r="AA335">
        <v>30</v>
      </c>
      <c r="AB335">
        <v>3.97</v>
      </c>
      <c r="AC335" t="s">
        <v>1118</v>
      </c>
      <c r="AG335">
        <v>4.5</v>
      </c>
      <c r="AH335" t="s">
        <v>1277</v>
      </c>
    </row>
    <row r="336" spans="1:51">
      <c r="B336" t="s">
        <v>2332</v>
      </c>
      <c r="C336" t="s">
        <v>1688</v>
      </c>
      <c r="D336" t="s">
        <v>1688</v>
      </c>
      <c r="E336" t="s">
        <v>1688</v>
      </c>
      <c r="F336" t="s">
        <v>11</v>
      </c>
      <c r="G336" t="s">
        <v>2333</v>
      </c>
      <c r="J336">
        <v>1</v>
      </c>
      <c r="K336" t="s">
        <v>1118</v>
      </c>
      <c r="L336" t="s">
        <v>1709</v>
      </c>
      <c r="M336" t="s">
        <v>1693</v>
      </c>
      <c r="W336">
        <v>23.9</v>
      </c>
      <c r="X336" t="s">
        <v>1118</v>
      </c>
      <c r="Y336">
        <v>1.1399999999999999</v>
      </c>
      <c r="Z336" t="s">
        <v>1118</v>
      </c>
      <c r="AA336">
        <v>21</v>
      </c>
      <c r="AB336">
        <v>2.9</v>
      </c>
      <c r="AC336" t="s">
        <v>1118</v>
      </c>
      <c r="AG336">
        <v>8.8000000000000007</v>
      </c>
      <c r="AH336" t="s">
        <v>1277</v>
      </c>
    </row>
    <row r="337" spans="1:79">
      <c r="B337" t="s">
        <v>2334</v>
      </c>
      <c r="C337" t="s">
        <v>1748</v>
      </c>
      <c r="D337" t="s">
        <v>1748</v>
      </c>
      <c r="E337" t="s">
        <v>1748</v>
      </c>
      <c r="F337" t="s">
        <v>11</v>
      </c>
      <c r="G337" t="s">
        <v>2335</v>
      </c>
      <c r="J337">
        <v>1</v>
      </c>
      <c r="K337" t="s">
        <v>1118</v>
      </c>
      <c r="L337" t="s">
        <v>1709</v>
      </c>
      <c r="M337" t="s">
        <v>1693</v>
      </c>
      <c r="W337">
        <v>42.7</v>
      </c>
      <c r="X337" t="s">
        <v>1118</v>
      </c>
      <c r="Y337">
        <v>0.45</v>
      </c>
      <c r="Z337" t="s">
        <v>1118</v>
      </c>
      <c r="AA337">
        <v>95</v>
      </c>
      <c r="AB337">
        <v>6.15</v>
      </c>
      <c r="AC337" t="s">
        <v>1118</v>
      </c>
      <c r="AG337">
        <v>5.5</v>
      </c>
      <c r="AH337" t="s">
        <v>1277</v>
      </c>
    </row>
    <row r="338" spans="1:79">
      <c r="A338" t="s">
        <v>350</v>
      </c>
      <c r="B338" t="s">
        <v>2336</v>
      </c>
      <c r="F338" t="s">
        <v>7</v>
      </c>
    </row>
    <row r="339" spans="1:79">
      <c r="B339" t="s">
        <v>2337</v>
      </c>
      <c r="C339" t="s">
        <v>2338</v>
      </c>
      <c r="D339" t="s">
        <v>1848</v>
      </c>
      <c r="E339" t="s">
        <v>2339</v>
      </c>
      <c r="F339" t="s">
        <v>11</v>
      </c>
      <c r="G339" t="s">
        <v>2340</v>
      </c>
      <c r="J339">
        <v>5.0000000000000001E-3</v>
      </c>
      <c r="K339" t="s">
        <v>1118</v>
      </c>
      <c r="L339" t="s">
        <v>1709</v>
      </c>
      <c r="M339" t="s">
        <v>1693</v>
      </c>
      <c r="AG339">
        <v>7.2</v>
      </c>
      <c r="BZ339" t="s">
        <v>2341</v>
      </c>
      <c r="CA339" t="s">
        <v>2342</v>
      </c>
    </row>
    <row r="340" spans="1:79">
      <c r="A340" t="s">
        <v>535</v>
      </c>
      <c r="B340" t="s">
        <v>2343</v>
      </c>
      <c r="F340" t="s">
        <v>7</v>
      </c>
    </row>
    <row r="341" spans="1:79">
      <c r="B341" t="s">
        <v>2344</v>
      </c>
      <c r="C341" t="s">
        <v>2345</v>
      </c>
      <c r="D341" t="s">
        <v>1705</v>
      </c>
      <c r="E341" t="s">
        <v>1706</v>
      </c>
      <c r="F341" t="s">
        <v>11</v>
      </c>
      <c r="G341" t="s">
        <v>2346</v>
      </c>
      <c r="I341">
        <v>500</v>
      </c>
      <c r="J341">
        <v>1</v>
      </c>
      <c r="K341" t="s">
        <v>1118</v>
      </c>
      <c r="L341" t="s">
        <v>1709</v>
      </c>
      <c r="M341" t="s">
        <v>1693</v>
      </c>
      <c r="W341">
        <v>68.5</v>
      </c>
      <c r="X341" t="s">
        <v>1118</v>
      </c>
      <c r="Y341">
        <v>1.04</v>
      </c>
      <c r="Z341" t="s">
        <v>1118</v>
      </c>
      <c r="AB341">
        <v>2.5299999999999998</v>
      </c>
      <c r="AC341" t="s">
        <v>1118</v>
      </c>
      <c r="AG341">
        <v>9.83</v>
      </c>
      <c r="AN341">
        <v>0.02</v>
      </c>
      <c r="AO341" t="s">
        <v>1732</v>
      </c>
      <c r="AR341">
        <v>11.4</v>
      </c>
      <c r="AS341" t="s">
        <v>1733</v>
      </c>
      <c r="BJ341">
        <v>2.93</v>
      </c>
      <c r="BK341" t="s">
        <v>1118</v>
      </c>
    </row>
    <row r="342" spans="1:79">
      <c r="B342" t="s">
        <v>2347</v>
      </c>
      <c r="C342" t="s">
        <v>2348</v>
      </c>
      <c r="D342" t="s">
        <v>1705</v>
      </c>
      <c r="E342" t="s">
        <v>1706</v>
      </c>
      <c r="F342" t="s">
        <v>11</v>
      </c>
      <c r="G342" t="s">
        <v>2349</v>
      </c>
      <c r="I342">
        <v>500</v>
      </c>
      <c r="J342">
        <v>1</v>
      </c>
      <c r="K342" t="s">
        <v>1118</v>
      </c>
      <c r="L342" t="s">
        <v>1709</v>
      </c>
      <c r="M342" t="s">
        <v>1693</v>
      </c>
      <c r="W342">
        <v>41.67</v>
      </c>
      <c r="X342" t="s">
        <v>1118</v>
      </c>
      <c r="Y342">
        <v>1.37</v>
      </c>
      <c r="Z342" t="s">
        <v>1118</v>
      </c>
      <c r="AB342">
        <v>1.42</v>
      </c>
      <c r="AC342" t="s">
        <v>1118</v>
      </c>
      <c r="AG342">
        <v>9.93</v>
      </c>
      <c r="AN342">
        <v>0.02</v>
      </c>
      <c r="AO342" t="s">
        <v>1732</v>
      </c>
      <c r="AR342">
        <v>14.14</v>
      </c>
      <c r="AS342" t="s">
        <v>1733</v>
      </c>
      <c r="BJ342">
        <v>2.04</v>
      </c>
      <c r="BK342" t="s">
        <v>1118</v>
      </c>
    </row>
    <row r="343" spans="1:79">
      <c r="B343" t="s">
        <v>2350</v>
      </c>
      <c r="C343" t="s">
        <v>2351</v>
      </c>
      <c r="D343" t="s">
        <v>1705</v>
      </c>
      <c r="E343" t="s">
        <v>1706</v>
      </c>
      <c r="F343" t="s">
        <v>11</v>
      </c>
      <c r="G343" t="s">
        <v>2352</v>
      </c>
      <c r="H343" t="s">
        <v>1793</v>
      </c>
      <c r="I343">
        <v>500</v>
      </c>
      <c r="J343">
        <v>1</v>
      </c>
      <c r="K343" t="s">
        <v>1118</v>
      </c>
      <c r="L343" t="s">
        <v>1709</v>
      </c>
      <c r="M343" t="s">
        <v>1693</v>
      </c>
      <c r="W343">
        <v>23.4</v>
      </c>
      <c r="X343" t="s">
        <v>1118</v>
      </c>
      <c r="Y343">
        <v>0.4</v>
      </c>
      <c r="Z343" t="s">
        <v>1118</v>
      </c>
      <c r="AB343">
        <v>4.03</v>
      </c>
      <c r="AC343" t="s">
        <v>1118</v>
      </c>
      <c r="AG343">
        <v>7.34</v>
      </c>
      <c r="AN343">
        <v>0.04</v>
      </c>
      <c r="AO343" t="s">
        <v>1732</v>
      </c>
      <c r="AR343">
        <v>54.95</v>
      </c>
      <c r="AS343" t="s">
        <v>1733</v>
      </c>
      <c r="BJ343">
        <v>0.6</v>
      </c>
      <c r="BK343" t="s">
        <v>1118</v>
      </c>
    </row>
    <row r="344" spans="1:79">
      <c r="A344" t="s">
        <v>526</v>
      </c>
      <c r="B344" t="s">
        <v>2353</v>
      </c>
      <c r="F344" t="s">
        <v>7</v>
      </c>
    </row>
    <row r="345" spans="1:79">
      <c r="B345" t="s">
        <v>2354</v>
      </c>
      <c r="C345" t="s">
        <v>1706</v>
      </c>
      <c r="D345" t="s">
        <v>1705</v>
      </c>
      <c r="E345" t="s">
        <v>1706</v>
      </c>
      <c r="F345" t="s">
        <v>11</v>
      </c>
      <c r="G345" t="s">
        <v>2355</v>
      </c>
      <c r="H345" t="s">
        <v>1890</v>
      </c>
      <c r="I345">
        <v>450</v>
      </c>
      <c r="J345">
        <v>5</v>
      </c>
      <c r="K345" t="s">
        <v>1118</v>
      </c>
      <c r="L345" t="s">
        <v>1709</v>
      </c>
      <c r="M345" t="s">
        <v>1693</v>
      </c>
      <c r="O345">
        <v>58.42</v>
      </c>
      <c r="P345" t="s">
        <v>1104</v>
      </c>
      <c r="AE345">
        <v>7.16</v>
      </c>
      <c r="AF345" t="s">
        <v>1118</v>
      </c>
      <c r="AG345">
        <v>8.6199999999999992</v>
      </c>
      <c r="AR345">
        <v>31.42</v>
      </c>
      <c r="AS345" t="s">
        <v>1733</v>
      </c>
      <c r="AV345">
        <v>38.81</v>
      </c>
      <c r="AW345" t="s">
        <v>1119</v>
      </c>
      <c r="BH345">
        <v>0.78</v>
      </c>
      <c r="BI345" t="s">
        <v>1118</v>
      </c>
      <c r="BJ345">
        <v>1.68</v>
      </c>
      <c r="BK345" t="s">
        <v>1118</v>
      </c>
    </row>
    <row r="346" spans="1:79">
      <c r="B346" t="s">
        <v>2356</v>
      </c>
      <c r="C346" t="s">
        <v>1688</v>
      </c>
      <c r="D346" t="s">
        <v>1688</v>
      </c>
      <c r="E346" t="s">
        <v>1688</v>
      </c>
      <c r="F346" t="s">
        <v>11</v>
      </c>
      <c r="G346" t="s">
        <v>2357</v>
      </c>
      <c r="J346">
        <v>5</v>
      </c>
      <c r="K346" t="s">
        <v>1118</v>
      </c>
      <c r="L346" t="s">
        <v>1709</v>
      </c>
      <c r="M346" t="s">
        <v>1693</v>
      </c>
      <c r="O346">
        <v>67.290000000000006</v>
      </c>
      <c r="P346" t="s">
        <v>1104</v>
      </c>
      <c r="AE346">
        <v>9.25</v>
      </c>
      <c r="AF346" t="s">
        <v>1118</v>
      </c>
      <c r="AG346">
        <v>7.46</v>
      </c>
      <c r="AR346">
        <v>19.36</v>
      </c>
      <c r="AS346" t="s">
        <v>1733</v>
      </c>
      <c r="AV346">
        <v>29.37</v>
      </c>
      <c r="AW346" t="s">
        <v>1119</v>
      </c>
      <c r="BH346">
        <v>1.1200000000000001</v>
      </c>
      <c r="BI346" t="s">
        <v>1118</v>
      </c>
      <c r="BJ346">
        <v>3.31</v>
      </c>
      <c r="BK346" t="s">
        <v>1118</v>
      </c>
    </row>
    <row r="347" spans="1:79">
      <c r="A347" t="s">
        <v>518</v>
      </c>
      <c r="B347" t="s">
        <v>2358</v>
      </c>
      <c r="F347" t="s">
        <v>7</v>
      </c>
    </row>
    <row r="348" spans="1:79">
      <c r="B348" t="s">
        <v>2359</v>
      </c>
      <c r="C348" t="s">
        <v>2360</v>
      </c>
      <c r="D348" t="s">
        <v>1688</v>
      </c>
      <c r="E348" t="s">
        <v>1715</v>
      </c>
      <c r="F348" t="s">
        <v>11</v>
      </c>
      <c r="G348" t="s">
        <v>2361</v>
      </c>
      <c r="J348">
        <v>5</v>
      </c>
      <c r="K348" t="s">
        <v>1118</v>
      </c>
      <c r="L348" t="s">
        <v>1709</v>
      </c>
      <c r="M348" t="s">
        <v>1693</v>
      </c>
      <c r="O348">
        <v>475</v>
      </c>
      <c r="P348" t="s">
        <v>1104</v>
      </c>
      <c r="Q348">
        <v>33</v>
      </c>
      <c r="R348" t="s">
        <v>1104</v>
      </c>
      <c r="AA348">
        <v>25</v>
      </c>
      <c r="AG348">
        <v>6.4</v>
      </c>
    </row>
    <row r="349" spans="1:79">
      <c r="B349" t="s">
        <v>2362</v>
      </c>
      <c r="C349" t="s">
        <v>2363</v>
      </c>
      <c r="D349" t="s">
        <v>1688</v>
      </c>
      <c r="E349" t="s">
        <v>1715</v>
      </c>
      <c r="F349" t="s">
        <v>11</v>
      </c>
      <c r="G349" t="s">
        <v>2364</v>
      </c>
      <c r="J349">
        <v>5</v>
      </c>
      <c r="K349" t="s">
        <v>1118</v>
      </c>
      <c r="L349" t="s">
        <v>1709</v>
      </c>
      <c r="M349" t="s">
        <v>1693</v>
      </c>
      <c r="O349">
        <v>482</v>
      </c>
      <c r="P349" t="s">
        <v>1104</v>
      </c>
      <c r="Q349">
        <v>64</v>
      </c>
      <c r="R349" t="s">
        <v>1104</v>
      </c>
      <c r="AA349">
        <v>17</v>
      </c>
      <c r="AG349">
        <v>6.3</v>
      </c>
    </row>
    <row r="350" spans="1:79">
      <c r="A350" t="s">
        <v>370</v>
      </c>
      <c r="B350" t="s">
        <v>2365</v>
      </c>
      <c r="C350" t="s">
        <v>2366</v>
      </c>
      <c r="F350" t="s">
        <v>7</v>
      </c>
    </row>
    <row r="351" spans="1:79">
      <c r="B351" t="s">
        <v>2367</v>
      </c>
      <c r="C351" t="s">
        <v>2368</v>
      </c>
      <c r="D351" t="s">
        <v>1824</v>
      </c>
      <c r="E351" t="s">
        <v>1721</v>
      </c>
      <c r="F351" t="s">
        <v>11</v>
      </c>
      <c r="G351" t="s">
        <v>2369</v>
      </c>
      <c r="J351">
        <v>1</v>
      </c>
      <c r="K351" t="s">
        <v>1118</v>
      </c>
      <c r="L351" t="s">
        <v>1709</v>
      </c>
      <c r="M351" t="s">
        <v>1693</v>
      </c>
      <c r="Q351">
        <v>115.4</v>
      </c>
      <c r="R351" t="s">
        <v>1104</v>
      </c>
      <c r="S351">
        <v>508.3</v>
      </c>
      <c r="T351" t="s">
        <v>1104</v>
      </c>
      <c r="Y351">
        <v>20.37</v>
      </c>
      <c r="Z351" t="s">
        <v>1104</v>
      </c>
      <c r="BD351">
        <v>19.97</v>
      </c>
      <c r="BE351" t="s">
        <v>1104</v>
      </c>
    </row>
    <row r="352" spans="1:79">
      <c r="B352" t="s">
        <v>2370</v>
      </c>
      <c r="C352" t="s">
        <v>2368</v>
      </c>
      <c r="D352" t="s">
        <v>1824</v>
      </c>
      <c r="E352" t="s">
        <v>1721</v>
      </c>
      <c r="F352" t="s">
        <v>11</v>
      </c>
      <c r="G352" t="s">
        <v>2369</v>
      </c>
      <c r="J352">
        <v>2</v>
      </c>
      <c r="K352" t="s">
        <v>1118</v>
      </c>
      <c r="L352" t="s">
        <v>1709</v>
      </c>
      <c r="M352" t="s">
        <v>1693</v>
      </c>
      <c r="Q352">
        <v>115.4</v>
      </c>
      <c r="R352" t="s">
        <v>1104</v>
      </c>
      <c r="S352">
        <v>508.3</v>
      </c>
      <c r="T352" t="s">
        <v>1104</v>
      </c>
      <c r="Y352">
        <v>20.37</v>
      </c>
      <c r="Z352" t="s">
        <v>1104</v>
      </c>
      <c r="BD352">
        <v>19.97</v>
      </c>
      <c r="BE352" t="s">
        <v>1104</v>
      </c>
    </row>
    <row r="353" spans="1:63">
      <c r="B353" t="s">
        <v>2371</v>
      </c>
      <c r="C353" t="s">
        <v>2368</v>
      </c>
      <c r="D353" t="s">
        <v>1824</v>
      </c>
      <c r="E353" t="s">
        <v>1721</v>
      </c>
      <c r="F353" t="s">
        <v>11</v>
      </c>
      <c r="G353" t="s">
        <v>2369</v>
      </c>
      <c r="J353">
        <v>5</v>
      </c>
      <c r="K353" t="s">
        <v>1118</v>
      </c>
      <c r="L353" t="s">
        <v>1709</v>
      </c>
      <c r="M353" t="s">
        <v>1693</v>
      </c>
      <c r="Q353">
        <v>115.4</v>
      </c>
      <c r="R353" t="s">
        <v>1104</v>
      </c>
      <c r="S353">
        <v>508.3</v>
      </c>
      <c r="T353" t="s">
        <v>1104</v>
      </c>
      <c r="Y353">
        <v>20.37</v>
      </c>
      <c r="Z353" t="s">
        <v>1104</v>
      </c>
      <c r="BD353">
        <v>19.97</v>
      </c>
      <c r="BE353" t="s">
        <v>1104</v>
      </c>
    </row>
    <row r="354" spans="1:63">
      <c r="A354" t="s">
        <v>508</v>
      </c>
      <c r="B354" t="s">
        <v>2372</v>
      </c>
      <c r="F354" t="s">
        <v>7</v>
      </c>
    </row>
    <row r="355" spans="1:63">
      <c r="B355" t="s">
        <v>2373</v>
      </c>
      <c r="C355" t="s">
        <v>2374</v>
      </c>
      <c r="D355" t="s">
        <v>1700</v>
      </c>
      <c r="E355" t="s">
        <v>1721</v>
      </c>
      <c r="F355" t="s">
        <v>11</v>
      </c>
      <c r="G355" t="s">
        <v>2375</v>
      </c>
      <c r="J355">
        <v>0.5</v>
      </c>
      <c r="K355" t="s">
        <v>1118</v>
      </c>
      <c r="L355" t="s">
        <v>1709</v>
      </c>
      <c r="M355" t="s">
        <v>1693</v>
      </c>
      <c r="S355">
        <v>780.11</v>
      </c>
      <c r="T355" t="s">
        <v>1104</v>
      </c>
      <c r="Y355">
        <v>1.95</v>
      </c>
      <c r="Z355" t="s">
        <v>1104</v>
      </c>
      <c r="AG355">
        <v>8.8800000000000008</v>
      </c>
      <c r="AH355" t="s">
        <v>1277</v>
      </c>
      <c r="AI355" t="s">
        <v>1784</v>
      </c>
      <c r="BD355">
        <v>1.62</v>
      </c>
      <c r="BE355" t="s">
        <v>1104</v>
      </c>
      <c r="BJ355">
        <v>1.94</v>
      </c>
      <c r="BK355" t="s">
        <v>1104</v>
      </c>
    </row>
    <row r="356" spans="1:63">
      <c r="B356" t="s">
        <v>2376</v>
      </c>
      <c r="C356" t="s">
        <v>1706</v>
      </c>
      <c r="D356" t="s">
        <v>1705</v>
      </c>
      <c r="E356" t="s">
        <v>1706</v>
      </c>
      <c r="F356" t="s">
        <v>11</v>
      </c>
      <c r="G356" t="s">
        <v>2377</v>
      </c>
      <c r="H356" t="s">
        <v>2374</v>
      </c>
      <c r="I356">
        <v>500</v>
      </c>
      <c r="J356">
        <v>0.5</v>
      </c>
      <c r="K356" t="s">
        <v>1118</v>
      </c>
      <c r="L356" t="s">
        <v>1709</v>
      </c>
      <c r="M356" t="s">
        <v>1693</v>
      </c>
      <c r="S356" t="s">
        <v>1323</v>
      </c>
      <c r="T356" t="s">
        <v>1104</v>
      </c>
      <c r="AG356">
        <v>10.59</v>
      </c>
      <c r="AH356" t="s">
        <v>1277</v>
      </c>
      <c r="AI356" t="s">
        <v>1694</v>
      </c>
      <c r="AR356">
        <v>9.8000000000000007</v>
      </c>
      <c r="AS356" t="s">
        <v>1733</v>
      </c>
    </row>
    <row r="357" spans="1:63">
      <c r="A357" t="s">
        <v>504</v>
      </c>
      <c r="B357" t="s">
        <v>2378</v>
      </c>
      <c r="F357" t="s">
        <v>7</v>
      </c>
    </row>
    <row r="358" spans="1:63">
      <c r="B358" t="s">
        <v>2379</v>
      </c>
      <c r="C358" t="s">
        <v>1704</v>
      </c>
      <c r="D358" t="s">
        <v>1824</v>
      </c>
      <c r="E358" t="s">
        <v>1825</v>
      </c>
      <c r="F358" t="s">
        <v>11</v>
      </c>
      <c r="G358" t="s">
        <v>2380</v>
      </c>
      <c r="J358">
        <v>5</v>
      </c>
      <c r="K358" t="s">
        <v>1118</v>
      </c>
      <c r="L358" t="s">
        <v>1709</v>
      </c>
      <c r="M358" t="s">
        <v>1693</v>
      </c>
    </row>
    <row r="359" spans="1:63">
      <c r="B359" t="s">
        <v>2381</v>
      </c>
      <c r="C359" t="s">
        <v>2382</v>
      </c>
      <c r="D359" t="s">
        <v>1688</v>
      </c>
      <c r="E359" t="s">
        <v>1688</v>
      </c>
      <c r="F359" t="s">
        <v>11</v>
      </c>
      <c r="G359" t="s">
        <v>2383</v>
      </c>
      <c r="J359">
        <v>6</v>
      </c>
      <c r="K359" t="s">
        <v>1118</v>
      </c>
      <c r="L359" t="s">
        <v>1709</v>
      </c>
      <c r="M359" t="s">
        <v>1693</v>
      </c>
    </row>
    <row r="360" spans="1:63">
      <c r="B360" t="s">
        <v>2384</v>
      </c>
      <c r="C360" t="s">
        <v>2385</v>
      </c>
      <c r="D360" t="s">
        <v>1688</v>
      </c>
      <c r="E360" t="s">
        <v>1688</v>
      </c>
      <c r="F360" t="s">
        <v>11</v>
      </c>
      <c r="G360" t="s">
        <v>2089</v>
      </c>
      <c r="J360">
        <v>7</v>
      </c>
      <c r="K360" t="s">
        <v>1118</v>
      </c>
      <c r="L360" t="s">
        <v>1709</v>
      </c>
      <c r="M360" t="s">
        <v>1693</v>
      </c>
    </row>
    <row r="361" spans="1:63">
      <c r="B361" t="s">
        <v>2386</v>
      </c>
      <c r="C361" t="s">
        <v>1833</v>
      </c>
      <c r="D361" t="s">
        <v>1688</v>
      </c>
      <c r="E361" t="s">
        <v>1688</v>
      </c>
      <c r="F361" t="s">
        <v>11</v>
      </c>
      <c r="G361" t="s">
        <v>2087</v>
      </c>
      <c r="J361">
        <v>8</v>
      </c>
      <c r="K361" t="s">
        <v>1118</v>
      </c>
      <c r="L361" t="s">
        <v>1709</v>
      </c>
      <c r="M361" t="s">
        <v>1693</v>
      </c>
    </row>
    <row r="362" spans="1:63">
      <c r="A362" t="s">
        <v>378</v>
      </c>
      <c r="B362" t="s">
        <v>2387</v>
      </c>
      <c r="F362" t="s">
        <v>7</v>
      </c>
    </row>
    <row r="363" spans="1:63">
      <c r="B363" t="s">
        <v>2388</v>
      </c>
      <c r="C363" t="s">
        <v>1704</v>
      </c>
      <c r="D363" t="s">
        <v>1705</v>
      </c>
      <c r="E363" t="s">
        <v>1706</v>
      </c>
      <c r="F363" t="s">
        <v>11</v>
      </c>
      <c r="G363" t="s">
        <v>2389</v>
      </c>
      <c r="J363">
        <v>1</v>
      </c>
      <c r="K363" t="s">
        <v>1118</v>
      </c>
      <c r="L363" t="s">
        <v>1709</v>
      </c>
      <c r="M363" t="s">
        <v>1693</v>
      </c>
      <c r="N363">
        <v>5</v>
      </c>
      <c r="O363">
        <v>75.900000000000006</v>
      </c>
      <c r="P363" t="s">
        <v>1118</v>
      </c>
      <c r="Q363">
        <v>3.97</v>
      </c>
      <c r="R363" t="s">
        <v>1412</v>
      </c>
      <c r="Y363">
        <v>0.53600000000000003</v>
      </c>
      <c r="Z363" t="s">
        <v>1118</v>
      </c>
      <c r="AG363">
        <v>7.8</v>
      </c>
      <c r="AH363" t="s">
        <v>2390</v>
      </c>
      <c r="AI363" t="s">
        <v>2391</v>
      </c>
      <c r="AR363">
        <v>634</v>
      </c>
      <c r="AS363" t="s">
        <v>2392</v>
      </c>
    </row>
    <row r="364" spans="1:63">
      <c r="B364" t="s">
        <v>2393</v>
      </c>
      <c r="C364" t="s">
        <v>1704</v>
      </c>
      <c r="D364" t="s">
        <v>1705</v>
      </c>
      <c r="E364" t="s">
        <v>1706</v>
      </c>
      <c r="F364" t="s">
        <v>11</v>
      </c>
      <c r="G364" t="s">
        <v>2389</v>
      </c>
      <c r="J364">
        <v>5</v>
      </c>
      <c r="K364" t="s">
        <v>1118</v>
      </c>
      <c r="L364" t="s">
        <v>1709</v>
      </c>
      <c r="M364" t="s">
        <v>1693</v>
      </c>
      <c r="N364">
        <v>5</v>
      </c>
      <c r="O364">
        <v>75.900000000000006</v>
      </c>
      <c r="P364" t="s">
        <v>1118</v>
      </c>
      <c r="Q364">
        <v>3.97</v>
      </c>
      <c r="R364" t="s">
        <v>1412</v>
      </c>
      <c r="Y364">
        <v>0.53600000000000003</v>
      </c>
      <c r="Z364" t="s">
        <v>1118</v>
      </c>
      <c r="AG364">
        <v>7.8</v>
      </c>
      <c r="AH364" t="s">
        <v>2390</v>
      </c>
      <c r="AI364" t="s">
        <v>2391</v>
      </c>
      <c r="AR364">
        <v>634</v>
      </c>
      <c r="AS364" t="s">
        <v>2392</v>
      </c>
    </row>
    <row r="365" spans="1:63">
      <c r="B365" t="s">
        <v>2394</v>
      </c>
      <c r="C365" t="s">
        <v>2395</v>
      </c>
      <c r="D365" t="s">
        <v>1848</v>
      </c>
      <c r="E365" t="s">
        <v>2396</v>
      </c>
      <c r="F365" t="s">
        <v>11</v>
      </c>
      <c r="G365" t="s">
        <v>2397</v>
      </c>
      <c r="J365">
        <v>5</v>
      </c>
      <c r="K365" t="s">
        <v>1118</v>
      </c>
      <c r="L365" t="s">
        <v>1709</v>
      </c>
      <c r="M365" t="s">
        <v>1693</v>
      </c>
      <c r="N365">
        <v>5</v>
      </c>
      <c r="O365">
        <v>40</v>
      </c>
      <c r="P365" t="s">
        <v>1118</v>
      </c>
      <c r="Q365">
        <v>1301</v>
      </c>
      <c r="R365" t="s">
        <v>1412</v>
      </c>
      <c r="Y365">
        <v>6.51</v>
      </c>
      <c r="Z365" t="s">
        <v>1118</v>
      </c>
      <c r="AG365">
        <v>8.6999999999999993</v>
      </c>
      <c r="AH365" t="s">
        <v>2390</v>
      </c>
      <c r="AI365" t="s">
        <v>2391</v>
      </c>
    </row>
    <row r="366" spans="1:63">
      <c r="B366" t="s">
        <v>2398</v>
      </c>
      <c r="C366" t="s">
        <v>2395</v>
      </c>
      <c r="D366" t="s">
        <v>1848</v>
      </c>
      <c r="E366" t="s">
        <v>2396</v>
      </c>
      <c r="F366" t="s">
        <v>11</v>
      </c>
      <c r="G366" t="s">
        <v>2397</v>
      </c>
      <c r="J366">
        <v>30</v>
      </c>
      <c r="K366" t="s">
        <v>1118</v>
      </c>
      <c r="L366" t="s">
        <v>1709</v>
      </c>
      <c r="M366" t="s">
        <v>1693</v>
      </c>
      <c r="N366">
        <v>5</v>
      </c>
      <c r="O366">
        <v>40</v>
      </c>
      <c r="P366" t="s">
        <v>1118</v>
      </c>
      <c r="Q366">
        <v>1301</v>
      </c>
      <c r="R366" t="s">
        <v>1412</v>
      </c>
      <c r="Y366">
        <v>6.51</v>
      </c>
      <c r="Z366" t="s">
        <v>1118</v>
      </c>
      <c r="AG366">
        <v>8.6999999999999993</v>
      </c>
      <c r="AH366" t="s">
        <v>2390</v>
      </c>
      <c r="AI366" t="s">
        <v>2391</v>
      </c>
    </row>
    <row r="367" spans="1:63">
      <c r="B367" t="s">
        <v>2399</v>
      </c>
      <c r="C367" t="s">
        <v>2400</v>
      </c>
      <c r="D367" t="s">
        <v>1848</v>
      </c>
      <c r="E367" t="s">
        <v>2117</v>
      </c>
      <c r="F367" t="s">
        <v>11</v>
      </c>
      <c r="J367" s="35"/>
      <c r="L367" t="s">
        <v>1709</v>
      </c>
      <c r="M367" t="s">
        <v>1693</v>
      </c>
      <c r="N367">
        <v>5</v>
      </c>
    </row>
    <row r="368" spans="1:63">
      <c r="B368" t="s">
        <v>2401</v>
      </c>
      <c r="C368" t="s">
        <v>2402</v>
      </c>
      <c r="D368" t="s">
        <v>1848</v>
      </c>
      <c r="E368" t="s">
        <v>2117</v>
      </c>
      <c r="F368" t="s">
        <v>11</v>
      </c>
      <c r="L368" t="s">
        <v>1709</v>
      </c>
      <c r="M368" t="s">
        <v>1693</v>
      </c>
      <c r="N368">
        <v>5</v>
      </c>
    </row>
    <row r="369" spans="1:67">
      <c r="B369" t="s">
        <v>2403</v>
      </c>
      <c r="C369" t="s">
        <v>2404</v>
      </c>
      <c r="D369" t="s">
        <v>1848</v>
      </c>
      <c r="E369" t="s">
        <v>2117</v>
      </c>
      <c r="F369" t="s">
        <v>11</v>
      </c>
      <c r="L369" t="s">
        <v>1709</v>
      </c>
      <c r="M369" t="s">
        <v>1693</v>
      </c>
      <c r="N369">
        <v>5</v>
      </c>
    </row>
    <row r="370" spans="1:67">
      <c r="A370" t="s">
        <v>382</v>
      </c>
      <c r="B370" t="s">
        <v>2405</v>
      </c>
      <c r="C370" t="s">
        <v>1681</v>
      </c>
      <c r="F370" t="s">
        <v>7</v>
      </c>
    </row>
    <row r="371" spans="1:67">
      <c r="B371" t="s">
        <v>2406</v>
      </c>
      <c r="C371" t="s">
        <v>2407</v>
      </c>
      <c r="D371" t="s">
        <v>1688</v>
      </c>
      <c r="E371" t="s">
        <v>1688</v>
      </c>
      <c r="F371" t="s">
        <v>11</v>
      </c>
      <c r="G371" t="s">
        <v>2408</v>
      </c>
      <c r="J371">
        <v>10</v>
      </c>
      <c r="K371" t="s">
        <v>1118</v>
      </c>
      <c r="L371" t="s">
        <v>1709</v>
      </c>
      <c r="M371" t="s">
        <v>1693</v>
      </c>
      <c r="O371">
        <v>0.59</v>
      </c>
      <c r="P371" t="s">
        <v>1118</v>
      </c>
      <c r="Q371">
        <v>1.22</v>
      </c>
      <c r="R371" t="s">
        <v>1118</v>
      </c>
      <c r="S371">
        <v>51.7</v>
      </c>
      <c r="T371" t="s">
        <v>1118</v>
      </c>
      <c r="AA371">
        <v>11.9</v>
      </c>
      <c r="AG371">
        <v>7.5</v>
      </c>
      <c r="AH371" t="s">
        <v>1277</v>
      </c>
      <c r="AI371" t="s">
        <v>1972</v>
      </c>
      <c r="AJ371">
        <v>48.3</v>
      </c>
      <c r="AK371" t="s">
        <v>1118</v>
      </c>
    </row>
    <row r="372" spans="1:67">
      <c r="B372" t="s">
        <v>2409</v>
      </c>
      <c r="C372" t="s">
        <v>2410</v>
      </c>
      <c r="D372" t="s">
        <v>1688</v>
      </c>
      <c r="E372" t="s">
        <v>1688</v>
      </c>
      <c r="F372" t="s">
        <v>11</v>
      </c>
      <c r="G372" t="s">
        <v>2411</v>
      </c>
      <c r="J372">
        <v>10</v>
      </c>
      <c r="K372" t="s">
        <v>1118</v>
      </c>
      <c r="L372" t="s">
        <v>1709</v>
      </c>
      <c r="M372" t="s">
        <v>1693</v>
      </c>
      <c r="O372">
        <v>31.2</v>
      </c>
      <c r="P372" t="s">
        <v>1118</v>
      </c>
      <c r="Q372">
        <v>10.8</v>
      </c>
      <c r="R372" t="s">
        <v>1118</v>
      </c>
      <c r="S372">
        <v>67.3</v>
      </c>
      <c r="T372" t="s">
        <v>1118</v>
      </c>
      <c r="AA372">
        <v>17.899999999999999</v>
      </c>
      <c r="AG372">
        <v>4.5</v>
      </c>
      <c r="AH372" t="s">
        <v>1277</v>
      </c>
      <c r="AI372" t="s">
        <v>1972</v>
      </c>
      <c r="AJ372">
        <v>32.5</v>
      </c>
      <c r="AK372" t="s">
        <v>1118</v>
      </c>
    </row>
    <row r="373" spans="1:67">
      <c r="A373" t="s">
        <v>405</v>
      </c>
      <c r="B373" t="s">
        <v>2412</v>
      </c>
      <c r="F373" t="s">
        <v>7</v>
      </c>
    </row>
    <row r="374" spans="1:67" ht="54">
      <c r="B374" t="s">
        <v>2413</v>
      </c>
      <c r="D374" t="s">
        <v>1705</v>
      </c>
      <c r="E374" t="s">
        <v>1706</v>
      </c>
      <c r="F374" t="s">
        <v>11</v>
      </c>
      <c r="G374" s="5" t="s">
        <v>2414</v>
      </c>
      <c r="H374" s="5" t="s">
        <v>2415</v>
      </c>
      <c r="I374" s="5" t="s">
        <v>2416</v>
      </c>
      <c r="J374">
        <v>1</v>
      </c>
      <c r="K374" t="s">
        <v>1118</v>
      </c>
      <c r="L374" t="s">
        <v>1709</v>
      </c>
      <c r="M374" t="s">
        <v>1693</v>
      </c>
      <c r="W374">
        <v>83.5</v>
      </c>
      <c r="X374" t="s">
        <v>1118</v>
      </c>
      <c r="Y374">
        <v>0.56999999999999995</v>
      </c>
      <c r="Z374" t="s">
        <v>1118</v>
      </c>
      <c r="AA374">
        <v>3.6999999999999998E-2</v>
      </c>
      <c r="AB374">
        <v>2.7</v>
      </c>
      <c r="AC374" t="s">
        <v>1118</v>
      </c>
      <c r="AD374">
        <v>0.38</v>
      </c>
      <c r="AE374">
        <v>4.0999999999999996</v>
      </c>
      <c r="AF374" t="s">
        <v>1118</v>
      </c>
      <c r="AG374">
        <v>8.4</v>
      </c>
      <c r="AH374" t="s">
        <v>1277</v>
      </c>
      <c r="AJ374">
        <v>9.8000000000000007</v>
      </c>
      <c r="AK374" t="s">
        <v>1118</v>
      </c>
      <c r="AR374">
        <v>161.30000000000001</v>
      </c>
      <c r="AS374" t="s">
        <v>1884</v>
      </c>
    </row>
    <row r="375" spans="1:67" ht="54">
      <c r="B375" t="s">
        <v>2417</v>
      </c>
      <c r="D375" t="s">
        <v>1705</v>
      </c>
      <c r="E375" t="s">
        <v>1706</v>
      </c>
      <c r="F375" t="s">
        <v>11</v>
      </c>
      <c r="G375" s="5" t="s">
        <v>2414</v>
      </c>
      <c r="H375" s="5" t="s">
        <v>2415</v>
      </c>
      <c r="I375" s="5" t="s">
        <v>2416</v>
      </c>
      <c r="J375">
        <v>10</v>
      </c>
      <c r="K375" t="s">
        <v>1118</v>
      </c>
      <c r="L375" t="s">
        <v>1709</v>
      </c>
      <c r="M375" t="s">
        <v>1693</v>
      </c>
      <c r="W375">
        <v>83.5</v>
      </c>
      <c r="X375" t="s">
        <v>1118</v>
      </c>
      <c r="Y375">
        <v>0.56999999999999995</v>
      </c>
      <c r="Z375" t="s">
        <v>1118</v>
      </c>
      <c r="AA375">
        <v>3.6999999999999998E-2</v>
      </c>
      <c r="AB375">
        <v>2.7</v>
      </c>
      <c r="AC375" t="s">
        <v>1118</v>
      </c>
      <c r="AD375">
        <v>0.38</v>
      </c>
      <c r="AE375">
        <v>4.0999999999999996</v>
      </c>
      <c r="AF375" t="s">
        <v>1118</v>
      </c>
      <c r="AG375">
        <v>8.4</v>
      </c>
      <c r="AH375" t="s">
        <v>1277</v>
      </c>
      <c r="AJ375">
        <v>9.8000000000000007</v>
      </c>
      <c r="AK375" t="s">
        <v>1118</v>
      </c>
      <c r="AR375">
        <v>161.30000000000001</v>
      </c>
      <c r="AS375" t="s">
        <v>1884</v>
      </c>
    </row>
    <row r="376" spans="1:67" ht="54">
      <c r="B376" t="s">
        <v>2418</v>
      </c>
      <c r="D376" t="s">
        <v>1705</v>
      </c>
      <c r="E376" t="s">
        <v>1706</v>
      </c>
      <c r="F376" t="s">
        <v>11</v>
      </c>
      <c r="G376" s="5" t="s">
        <v>2414</v>
      </c>
      <c r="H376" s="5" t="s">
        <v>2415</v>
      </c>
      <c r="I376" s="5" t="s">
        <v>2416</v>
      </c>
      <c r="J376">
        <v>20</v>
      </c>
      <c r="K376" t="s">
        <v>1118</v>
      </c>
      <c r="L376" t="s">
        <v>1709</v>
      </c>
      <c r="M376" t="s">
        <v>1693</v>
      </c>
      <c r="W376">
        <v>83.5</v>
      </c>
      <c r="X376" t="s">
        <v>1118</v>
      </c>
      <c r="Y376">
        <v>0.56999999999999995</v>
      </c>
      <c r="Z376" t="s">
        <v>1118</v>
      </c>
      <c r="AA376">
        <v>3.6999999999999998E-2</v>
      </c>
      <c r="AB376">
        <v>2.7</v>
      </c>
      <c r="AC376" t="s">
        <v>1118</v>
      </c>
      <c r="AD376">
        <v>0.38</v>
      </c>
      <c r="AE376">
        <v>4.0999999999999996</v>
      </c>
      <c r="AF376" t="s">
        <v>1118</v>
      </c>
      <c r="AG376">
        <v>8.4</v>
      </c>
      <c r="AH376" t="s">
        <v>1277</v>
      </c>
      <c r="AJ376">
        <v>9.8000000000000007</v>
      </c>
      <c r="AK376" t="s">
        <v>1118</v>
      </c>
      <c r="AR376">
        <v>161.30000000000001</v>
      </c>
      <c r="AS376" t="s">
        <v>1884</v>
      </c>
    </row>
    <row r="377" spans="1:67" ht="54">
      <c r="B377" t="s">
        <v>2419</v>
      </c>
      <c r="D377" t="s">
        <v>1705</v>
      </c>
      <c r="E377" t="s">
        <v>1706</v>
      </c>
      <c r="F377" t="s">
        <v>11</v>
      </c>
      <c r="G377" s="5" t="s">
        <v>2414</v>
      </c>
      <c r="H377" s="5" t="s">
        <v>2415</v>
      </c>
      <c r="I377" s="5" t="s">
        <v>2416</v>
      </c>
      <c r="J377">
        <v>30</v>
      </c>
      <c r="K377" t="s">
        <v>1118</v>
      </c>
      <c r="L377" t="s">
        <v>1709</v>
      </c>
      <c r="M377" t="s">
        <v>1693</v>
      </c>
      <c r="W377">
        <v>83.5</v>
      </c>
      <c r="X377" t="s">
        <v>1118</v>
      </c>
      <c r="Y377">
        <v>0.56999999999999995</v>
      </c>
      <c r="Z377" t="s">
        <v>1118</v>
      </c>
      <c r="AA377">
        <v>3.6999999999999998E-2</v>
      </c>
      <c r="AB377">
        <v>2.7</v>
      </c>
      <c r="AC377" t="s">
        <v>1118</v>
      </c>
      <c r="AD377">
        <v>0.38</v>
      </c>
      <c r="AE377">
        <v>4.0999999999999996</v>
      </c>
      <c r="AF377" t="s">
        <v>1118</v>
      </c>
      <c r="AG377">
        <v>8.4</v>
      </c>
      <c r="AH377" t="s">
        <v>1277</v>
      </c>
      <c r="AJ377">
        <v>9.8000000000000007</v>
      </c>
      <c r="AK377" t="s">
        <v>1118</v>
      </c>
      <c r="AR377">
        <v>161.30000000000001</v>
      </c>
      <c r="AS377" t="s">
        <v>1884</v>
      </c>
    </row>
    <row r="378" spans="1:67">
      <c r="A378" t="s">
        <v>414</v>
      </c>
      <c r="B378" t="s">
        <v>2420</v>
      </c>
      <c r="F378" t="s">
        <v>7</v>
      </c>
      <c r="G378" s="5"/>
      <c r="H378" s="5"/>
      <c r="I378" s="5"/>
    </row>
    <row r="379" spans="1:67" ht="36">
      <c r="B379" t="s">
        <v>2421</v>
      </c>
      <c r="C379" t="s">
        <v>2109</v>
      </c>
      <c r="D379" t="s">
        <v>1688</v>
      </c>
      <c r="E379" t="s">
        <v>1688</v>
      </c>
      <c r="F379" t="s">
        <v>11</v>
      </c>
      <c r="G379" s="5" t="s">
        <v>2422</v>
      </c>
      <c r="H379" s="5"/>
      <c r="I379" s="5"/>
      <c r="J379">
        <v>2.5</v>
      </c>
      <c r="K379" t="s">
        <v>1118</v>
      </c>
      <c r="L379" t="s">
        <v>1709</v>
      </c>
      <c r="M379" t="s">
        <v>1693</v>
      </c>
      <c r="O379">
        <v>31</v>
      </c>
      <c r="P379" t="s">
        <v>1118</v>
      </c>
      <c r="W379">
        <v>34.200000000000003</v>
      </c>
      <c r="X379" t="s">
        <v>1118</v>
      </c>
      <c r="Y379">
        <v>1.71</v>
      </c>
      <c r="Z379" t="s">
        <v>1118</v>
      </c>
      <c r="AA379">
        <f>W379/Y379</f>
        <v>20.000000000000004</v>
      </c>
      <c r="AB379">
        <v>8.6999999999999993</v>
      </c>
      <c r="AC379" t="s">
        <v>1118</v>
      </c>
      <c r="AG379">
        <v>7.6</v>
      </c>
      <c r="AH379" t="s">
        <v>1277</v>
      </c>
      <c r="AI379" t="s">
        <v>2423</v>
      </c>
    </row>
    <row r="380" spans="1:67" ht="36">
      <c r="B380" t="s">
        <v>2424</v>
      </c>
      <c r="C380" t="s">
        <v>2113</v>
      </c>
      <c r="D380" t="s">
        <v>1688</v>
      </c>
      <c r="E380" t="s">
        <v>1688</v>
      </c>
      <c r="F380" t="s">
        <v>11</v>
      </c>
      <c r="G380" s="5" t="s">
        <v>2422</v>
      </c>
      <c r="H380" s="5"/>
      <c r="I380" s="5"/>
      <c r="J380">
        <v>5</v>
      </c>
      <c r="K380" t="s">
        <v>1118</v>
      </c>
      <c r="L380" t="s">
        <v>1709</v>
      </c>
      <c r="M380" t="s">
        <v>1693</v>
      </c>
      <c r="O380">
        <v>31</v>
      </c>
      <c r="P380" t="s">
        <v>1118</v>
      </c>
      <c r="W380">
        <v>34.200000000000003</v>
      </c>
      <c r="X380" t="s">
        <v>1118</v>
      </c>
      <c r="Y380">
        <v>1.71</v>
      </c>
      <c r="Z380" t="s">
        <v>1118</v>
      </c>
      <c r="AA380">
        <f>W380/Y380</f>
        <v>20.000000000000004</v>
      </c>
      <c r="AB380">
        <v>8.6999999999999993</v>
      </c>
      <c r="AC380" t="s">
        <v>1118</v>
      </c>
      <c r="AG380">
        <v>7.6</v>
      </c>
      <c r="AH380" t="s">
        <v>1277</v>
      </c>
      <c r="AI380" t="s">
        <v>2423</v>
      </c>
    </row>
    <row r="381" spans="1:67">
      <c r="A381" t="s">
        <v>422</v>
      </c>
      <c r="B381" t="s">
        <v>2425</v>
      </c>
      <c r="F381" t="s">
        <v>7</v>
      </c>
    </row>
    <row r="382" spans="1:67">
      <c r="B382" t="s">
        <v>2426</v>
      </c>
      <c r="C382" t="s">
        <v>487</v>
      </c>
      <c r="D382" t="s">
        <v>1848</v>
      </c>
      <c r="E382" t="s">
        <v>1700</v>
      </c>
      <c r="F382" t="s">
        <v>11</v>
      </c>
      <c r="G382" t="s">
        <v>2427</v>
      </c>
      <c r="J382" s="50">
        <v>7</v>
      </c>
      <c r="K382" s="50" t="s">
        <v>1118</v>
      </c>
      <c r="L382" s="50" t="s">
        <v>1709</v>
      </c>
      <c r="Q382">
        <v>2140</v>
      </c>
      <c r="R382" t="s">
        <v>1412</v>
      </c>
      <c r="S382">
        <v>0.74</v>
      </c>
      <c r="T382" t="s">
        <v>1104</v>
      </c>
      <c r="W382">
        <f>AA382*Y382</f>
        <v>424.2</v>
      </c>
      <c r="X382" t="s">
        <v>1104</v>
      </c>
      <c r="Y382">
        <v>30.3</v>
      </c>
      <c r="Z382" t="s">
        <v>1104</v>
      </c>
      <c r="AA382">
        <v>14</v>
      </c>
      <c r="AG382">
        <v>7.2</v>
      </c>
      <c r="AL382">
        <v>30.2</v>
      </c>
      <c r="AM382" t="s">
        <v>2428</v>
      </c>
      <c r="AX382">
        <v>10.7</v>
      </c>
      <c r="AY382" t="s">
        <v>1164</v>
      </c>
      <c r="BD382">
        <v>8</v>
      </c>
      <c r="BE382" t="s">
        <v>1104</v>
      </c>
      <c r="BF382">
        <v>37</v>
      </c>
      <c r="BG382" t="s">
        <v>1104</v>
      </c>
      <c r="BJ382">
        <v>32.299999999999997</v>
      </c>
      <c r="BK382" t="s">
        <v>1104</v>
      </c>
      <c r="BL382">
        <v>8.6999999999999993</v>
      </c>
      <c r="BM382" t="s">
        <v>1104</v>
      </c>
      <c r="BN382">
        <v>8.1</v>
      </c>
      <c r="BO382" t="s">
        <v>1104</v>
      </c>
    </row>
    <row r="383" spans="1:67">
      <c r="B383" t="s">
        <v>2429</v>
      </c>
      <c r="C383" t="s">
        <v>914</v>
      </c>
      <c r="D383" t="s">
        <v>1848</v>
      </c>
      <c r="E383" t="s">
        <v>1700</v>
      </c>
      <c r="F383" t="s">
        <v>11</v>
      </c>
      <c r="G383" t="s">
        <v>2427</v>
      </c>
      <c r="J383" s="50">
        <v>14</v>
      </c>
      <c r="K383" s="50" t="s">
        <v>1118</v>
      </c>
      <c r="L383" s="50" t="s">
        <v>1709</v>
      </c>
      <c r="Q383">
        <v>2140</v>
      </c>
      <c r="R383" t="s">
        <v>1412</v>
      </c>
      <c r="S383">
        <v>0.74</v>
      </c>
      <c r="T383" t="s">
        <v>1104</v>
      </c>
      <c r="W383">
        <f t="shared" ref="W383:W384" si="2">AA383*Y383</f>
        <v>424.2</v>
      </c>
      <c r="X383" t="s">
        <v>1104</v>
      </c>
      <c r="Y383">
        <v>30.3</v>
      </c>
      <c r="Z383" t="s">
        <v>1104</v>
      </c>
      <c r="AA383">
        <v>14</v>
      </c>
      <c r="AG383">
        <v>7.2</v>
      </c>
      <c r="AL383">
        <v>30.2</v>
      </c>
      <c r="AM383" t="s">
        <v>2428</v>
      </c>
      <c r="AX383">
        <v>10.7</v>
      </c>
      <c r="AY383" t="s">
        <v>1164</v>
      </c>
      <c r="BD383">
        <v>8</v>
      </c>
      <c r="BE383" t="s">
        <v>1104</v>
      </c>
      <c r="BF383">
        <v>37</v>
      </c>
      <c r="BG383" t="s">
        <v>1104</v>
      </c>
      <c r="BJ383">
        <v>32.299999999999997</v>
      </c>
      <c r="BK383" t="s">
        <v>1104</v>
      </c>
      <c r="BL383">
        <v>8.6999999999999993</v>
      </c>
      <c r="BM383" t="s">
        <v>1104</v>
      </c>
      <c r="BN383">
        <v>8.1</v>
      </c>
      <c r="BO383" t="s">
        <v>1104</v>
      </c>
    </row>
    <row r="384" spans="1:67">
      <c r="B384" t="s">
        <v>2430</v>
      </c>
      <c r="C384" t="s">
        <v>2431</v>
      </c>
      <c r="D384" t="s">
        <v>1848</v>
      </c>
      <c r="E384" t="s">
        <v>1700</v>
      </c>
      <c r="F384" t="s">
        <v>11</v>
      </c>
      <c r="G384" t="s">
        <v>2427</v>
      </c>
      <c r="J384" s="50">
        <v>21</v>
      </c>
      <c r="K384" s="50" t="s">
        <v>1118</v>
      </c>
      <c r="L384" s="50" t="s">
        <v>1709</v>
      </c>
      <c r="Q384">
        <v>2140</v>
      </c>
      <c r="R384" t="s">
        <v>1412</v>
      </c>
      <c r="S384">
        <v>0.74</v>
      </c>
      <c r="T384" t="s">
        <v>1104</v>
      </c>
      <c r="W384">
        <f t="shared" si="2"/>
        <v>424.2</v>
      </c>
      <c r="X384" t="s">
        <v>1104</v>
      </c>
      <c r="Y384">
        <v>30.3</v>
      </c>
      <c r="Z384" t="s">
        <v>1104</v>
      </c>
      <c r="AA384">
        <v>14</v>
      </c>
      <c r="AG384">
        <v>7.2</v>
      </c>
      <c r="AL384">
        <v>30.2</v>
      </c>
      <c r="AM384" t="s">
        <v>2428</v>
      </c>
      <c r="AX384">
        <v>10.7</v>
      </c>
      <c r="AY384" t="s">
        <v>1164</v>
      </c>
      <c r="BD384">
        <v>8</v>
      </c>
      <c r="BE384" t="s">
        <v>1104</v>
      </c>
      <c r="BF384">
        <v>37</v>
      </c>
      <c r="BG384" t="s">
        <v>1104</v>
      </c>
      <c r="BJ384">
        <v>32.299999999999997</v>
      </c>
      <c r="BK384" t="s">
        <v>1104</v>
      </c>
      <c r="BL384">
        <v>8.6999999999999993</v>
      </c>
      <c r="BM384" t="s">
        <v>1104</v>
      </c>
      <c r="BN384">
        <v>8.1</v>
      </c>
      <c r="BO384" t="s">
        <v>1104</v>
      </c>
    </row>
    <row r="385" spans="1:57">
      <c r="A385" t="s">
        <v>426</v>
      </c>
      <c r="B385" t="s">
        <v>2432</v>
      </c>
      <c r="F385" t="s">
        <v>7</v>
      </c>
      <c r="J385" s="50"/>
      <c r="K385" s="50"/>
      <c r="L385" s="50"/>
    </row>
    <row r="386" spans="1:57">
      <c r="B386" t="s">
        <v>2433</v>
      </c>
      <c r="C386" t="s">
        <v>487</v>
      </c>
      <c r="D386" t="s">
        <v>1700</v>
      </c>
      <c r="E386" t="s">
        <v>1700</v>
      </c>
      <c r="F386" t="s">
        <v>11</v>
      </c>
      <c r="G386" t="s">
        <v>2434</v>
      </c>
      <c r="J386" s="50">
        <v>7</v>
      </c>
      <c r="K386" s="50" t="s">
        <v>1118</v>
      </c>
      <c r="L386" s="50" t="s">
        <v>1709</v>
      </c>
      <c r="Q386">
        <v>2140</v>
      </c>
      <c r="R386" t="s">
        <v>1412</v>
      </c>
      <c r="S386">
        <v>71.099999999999994</v>
      </c>
      <c r="T386" t="s">
        <v>1108</v>
      </c>
      <c r="Y386">
        <v>28.6</v>
      </c>
      <c r="Z386" t="s">
        <v>1104</v>
      </c>
      <c r="AG386">
        <v>7.5</v>
      </c>
      <c r="AL386">
        <v>53</v>
      </c>
      <c r="AM386" t="s">
        <v>2428</v>
      </c>
      <c r="AX386">
        <v>5.9</v>
      </c>
      <c r="AY386" t="s">
        <v>1164</v>
      </c>
    </row>
    <row r="387" spans="1:57">
      <c r="B387" t="s">
        <v>2435</v>
      </c>
      <c r="C387" t="s">
        <v>914</v>
      </c>
      <c r="D387" t="s">
        <v>1700</v>
      </c>
      <c r="E387" t="s">
        <v>1700</v>
      </c>
      <c r="F387" t="s">
        <v>11</v>
      </c>
      <c r="G387" t="s">
        <v>2434</v>
      </c>
      <c r="J387" s="50">
        <v>14</v>
      </c>
      <c r="K387" s="50" t="s">
        <v>1118</v>
      </c>
      <c r="L387" s="50" t="s">
        <v>1709</v>
      </c>
      <c r="Q387">
        <v>2140</v>
      </c>
      <c r="R387" t="s">
        <v>1412</v>
      </c>
      <c r="S387">
        <v>71.099999999999994</v>
      </c>
      <c r="T387" t="s">
        <v>1108</v>
      </c>
      <c r="Y387">
        <v>28.6</v>
      </c>
      <c r="Z387" t="s">
        <v>1104</v>
      </c>
      <c r="AG387">
        <v>7.5</v>
      </c>
      <c r="AL387">
        <v>53</v>
      </c>
      <c r="AM387" t="s">
        <v>2428</v>
      </c>
      <c r="AX387">
        <v>5.9</v>
      </c>
      <c r="AY387" t="s">
        <v>1164</v>
      </c>
    </row>
    <row r="388" spans="1:57">
      <c r="B388" t="s">
        <v>2436</v>
      </c>
      <c r="C388" t="s">
        <v>2431</v>
      </c>
      <c r="D388" t="s">
        <v>1700</v>
      </c>
      <c r="E388" t="s">
        <v>1700</v>
      </c>
      <c r="F388" t="s">
        <v>11</v>
      </c>
      <c r="G388" t="s">
        <v>2434</v>
      </c>
      <c r="J388" s="50">
        <v>21</v>
      </c>
      <c r="K388" s="50" t="s">
        <v>1118</v>
      </c>
      <c r="L388" s="50" t="s">
        <v>1709</v>
      </c>
      <c r="Q388">
        <v>2140</v>
      </c>
      <c r="R388" t="s">
        <v>1412</v>
      </c>
      <c r="S388">
        <v>71.099999999999994</v>
      </c>
      <c r="T388" t="s">
        <v>1108</v>
      </c>
      <c r="Y388">
        <v>28.6</v>
      </c>
      <c r="Z388" t="s">
        <v>1104</v>
      </c>
      <c r="AG388">
        <v>7.5</v>
      </c>
      <c r="AL388">
        <v>53</v>
      </c>
      <c r="AM388" t="s">
        <v>2428</v>
      </c>
      <c r="AX388">
        <v>5.9</v>
      </c>
      <c r="AY388" t="s">
        <v>1164</v>
      </c>
    </row>
    <row r="389" spans="1:57">
      <c r="A389" t="s">
        <v>430</v>
      </c>
      <c r="B389" t="s">
        <v>2437</v>
      </c>
      <c r="F389" t="s">
        <v>7</v>
      </c>
    </row>
    <row r="390" spans="1:57">
      <c r="B390" t="s">
        <v>2438</v>
      </c>
      <c r="C390" t="s">
        <v>1460</v>
      </c>
      <c r="D390" t="s">
        <v>1824</v>
      </c>
      <c r="E390" t="s">
        <v>1948</v>
      </c>
      <c r="F390" t="s">
        <v>11</v>
      </c>
      <c r="G390" t="s">
        <v>2439</v>
      </c>
      <c r="J390">
        <v>5</v>
      </c>
      <c r="K390" t="s">
        <v>1118</v>
      </c>
      <c r="L390" t="s">
        <v>1709</v>
      </c>
      <c r="M390" t="s">
        <v>1693</v>
      </c>
      <c r="N390">
        <v>5</v>
      </c>
      <c r="O390">
        <v>24.8</v>
      </c>
      <c r="P390" t="s">
        <v>1118</v>
      </c>
      <c r="Q390">
        <v>1.98</v>
      </c>
      <c r="R390" t="s">
        <v>2440</v>
      </c>
      <c r="AG390">
        <v>6.1</v>
      </c>
      <c r="AH390" t="s">
        <v>1277</v>
      </c>
      <c r="AI390" t="s">
        <v>1694</v>
      </c>
    </row>
    <row r="391" spans="1:57">
      <c r="B391" t="s">
        <v>2441</v>
      </c>
      <c r="C391" t="s">
        <v>2442</v>
      </c>
      <c r="D391" t="s">
        <v>1688</v>
      </c>
      <c r="E391" t="s">
        <v>1721</v>
      </c>
      <c r="F391" t="s">
        <v>11</v>
      </c>
      <c r="G391" t="s">
        <v>2443</v>
      </c>
      <c r="J391">
        <v>5</v>
      </c>
      <c r="K391" t="s">
        <v>1118</v>
      </c>
      <c r="L391" t="s">
        <v>1709</v>
      </c>
      <c r="M391" t="s">
        <v>1693</v>
      </c>
      <c r="N391">
        <v>5</v>
      </c>
      <c r="O391">
        <v>41.8</v>
      </c>
      <c r="P391" t="s">
        <v>1118</v>
      </c>
      <c r="Q391">
        <v>5.88</v>
      </c>
      <c r="R391" t="s">
        <v>2440</v>
      </c>
      <c r="AG391">
        <v>5</v>
      </c>
      <c r="AH391" t="s">
        <v>1277</v>
      </c>
      <c r="AI391" t="s">
        <v>1694</v>
      </c>
    </row>
    <row r="392" spans="1:57">
      <c r="B392" t="s">
        <v>2444</v>
      </c>
      <c r="C392" t="s">
        <v>1954</v>
      </c>
      <c r="D392" t="s">
        <v>1688</v>
      </c>
      <c r="E392" t="s">
        <v>1721</v>
      </c>
      <c r="F392" t="s">
        <v>11</v>
      </c>
      <c r="G392" t="s">
        <v>2445</v>
      </c>
      <c r="J392">
        <v>5</v>
      </c>
      <c r="K392" t="s">
        <v>1118</v>
      </c>
      <c r="L392" t="s">
        <v>1709</v>
      </c>
      <c r="M392" t="s">
        <v>1693</v>
      </c>
      <c r="N392">
        <v>5</v>
      </c>
      <c r="O392">
        <v>26.7</v>
      </c>
      <c r="P392" t="s">
        <v>1118</v>
      </c>
      <c r="Q392">
        <v>1.22</v>
      </c>
      <c r="R392" t="s">
        <v>2440</v>
      </c>
      <c r="AG392">
        <v>7.1</v>
      </c>
      <c r="AH392" t="s">
        <v>1277</v>
      </c>
      <c r="AI392" t="s">
        <v>1694</v>
      </c>
    </row>
    <row r="393" spans="1:57">
      <c r="A393" t="s">
        <v>456</v>
      </c>
      <c r="B393" t="s">
        <v>2446</v>
      </c>
      <c r="F393" t="s">
        <v>7</v>
      </c>
      <c r="K393" t="s">
        <v>27</v>
      </c>
    </row>
    <row r="394" spans="1:57">
      <c r="B394" t="s">
        <v>2447</v>
      </c>
      <c r="D394" t="s">
        <v>1700</v>
      </c>
      <c r="E394" t="s">
        <v>1700</v>
      </c>
      <c r="F394" t="s">
        <v>11</v>
      </c>
      <c r="G394" t="s">
        <v>2448</v>
      </c>
      <c r="J394" s="50">
        <v>11</v>
      </c>
      <c r="K394" s="50" t="s">
        <v>1118</v>
      </c>
      <c r="L394" s="50" t="s">
        <v>1709</v>
      </c>
      <c r="M394" t="s">
        <v>1693</v>
      </c>
      <c r="N394">
        <v>7.5</v>
      </c>
      <c r="W394">
        <v>4.7</v>
      </c>
      <c r="X394" t="s">
        <v>1118</v>
      </c>
      <c r="Y394">
        <v>1.6</v>
      </c>
      <c r="Z394" t="s">
        <v>1118</v>
      </c>
      <c r="AA394">
        <f>W394/Y394</f>
        <v>2.9375</v>
      </c>
      <c r="AG394">
        <v>7.2</v>
      </c>
      <c r="AX394">
        <v>12.6</v>
      </c>
      <c r="AY394" t="s">
        <v>1164</v>
      </c>
      <c r="BB394">
        <v>1.3</v>
      </c>
      <c r="BC394" t="s">
        <v>1118</v>
      </c>
      <c r="BD394">
        <v>0.21</v>
      </c>
      <c r="BE394" t="s">
        <v>1118</v>
      </c>
    </row>
    <row r="395" spans="1:57">
      <c r="A395" t="s">
        <v>460</v>
      </c>
      <c r="B395" t="s">
        <v>2449</v>
      </c>
      <c r="F395" t="s">
        <v>7</v>
      </c>
    </row>
    <row r="396" spans="1:57">
      <c r="B396" t="s">
        <v>2450</v>
      </c>
      <c r="C396" t="s">
        <v>2451</v>
      </c>
      <c r="D396" t="s">
        <v>1688</v>
      </c>
      <c r="E396" t="s">
        <v>1688</v>
      </c>
      <c r="F396" t="s">
        <v>11</v>
      </c>
      <c r="G396" t="s">
        <v>2452</v>
      </c>
      <c r="J396">
        <v>5</v>
      </c>
      <c r="K396" t="s">
        <v>1118</v>
      </c>
      <c r="L396" t="s">
        <v>1709</v>
      </c>
      <c r="M396" t="s">
        <v>1693</v>
      </c>
      <c r="O396">
        <v>23.5</v>
      </c>
      <c r="P396" t="s">
        <v>1118</v>
      </c>
      <c r="W396">
        <v>25.2</v>
      </c>
      <c r="X396" t="s">
        <v>1118</v>
      </c>
      <c r="Y396">
        <v>9.8000000000000007</v>
      </c>
      <c r="Z396" t="s">
        <v>1118</v>
      </c>
      <c r="AA396">
        <f>W396/Y396</f>
        <v>2.5714285714285712</v>
      </c>
      <c r="AB396">
        <v>2.8</v>
      </c>
      <c r="AC396" t="s">
        <v>1118</v>
      </c>
      <c r="AD396">
        <f>AB396/W396</f>
        <v>0.1111111111111111</v>
      </c>
      <c r="AG396">
        <v>6.3</v>
      </c>
      <c r="AH396" t="s">
        <v>1277</v>
      </c>
      <c r="AI396" t="s">
        <v>2423</v>
      </c>
    </row>
    <row r="397" spans="1:57">
      <c r="A397" t="s">
        <v>465</v>
      </c>
      <c r="B397" t="s">
        <v>2453</v>
      </c>
      <c r="F397" t="s">
        <v>7</v>
      </c>
    </row>
    <row r="398" spans="1:57">
      <c r="B398" t="s">
        <v>2454</v>
      </c>
      <c r="C398" t="s">
        <v>1800</v>
      </c>
      <c r="D398" t="s">
        <v>1763</v>
      </c>
      <c r="E398" t="s">
        <v>1721</v>
      </c>
      <c r="F398" t="s">
        <v>11</v>
      </c>
      <c r="G398" t="s">
        <v>1912</v>
      </c>
      <c r="J398">
        <v>2</v>
      </c>
      <c r="K398" t="s">
        <v>1118</v>
      </c>
      <c r="L398" t="s">
        <v>1709</v>
      </c>
      <c r="M398" t="s">
        <v>1693</v>
      </c>
      <c r="W398">
        <v>44</v>
      </c>
      <c r="X398" t="s">
        <v>1118</v>
      </c>
      <c r="Y398">
        <v>1.25</v>
      </c>
      <c r="Z398" t="s">
        <v>1118</v>
      </c>
      <c r="AA398">
        <f>W398/Y398</f>
        <v>35.200000000000003</v>
      </c>
      <c r="AG398">
        <v>5.4</v>
      </c>
      <c r="AH398" t="s">
        <v>1277</v>
      </c>
      <c r="AI398" t="s">
        <v>1972</v>
      </c>
    </row>
    <row r="399" spans="1:57">
      <c r="A399" t="s">
        <v>474</v>
      </c>
      <c r="B399" t="s">
        <v>2455</v>
      </c>
      <c r="C399" t="s">
        <v>2456</v>
      </c>
      <c r="F399" t="s">
        <v>7</v>
      </c>
    </row>
    <row r="400" spans="1:57">
      <c r="B400" t="s">
        <v>2457</v>
      </c>
      <c r="C400" t="s">
        <v>2458</v>
      </c>
      <c r="D400" t="s">
        <v>1700</v>
      </c>
      <c r="E400" t="s">
        <v>1700</v>
      </c>
      <c r="F400" t="s">
        <v>11</v>
      </c>
      <c r="G400" t="s">
        <v>2459</v>
      </c>
      <c r="J400">
        <v>2.5</v>
      </c>
      <c r="K400" t="s">
        <v>1118</v>
      </c>
      <c r="L400" t="s">
        <v>1709</v>
      </c>
      <c r="M400" t="s">
        <v>1693</v>
      </c>
    </row>
    <row r="401" spans="1:80">
      <c r="B401" t="s">
        <v>2460</v>
      </c>
      <c r="C401" t="s">
        <v>1750</v>
      </c>
      <c r="D401" t="s">
        <v>1721</v>
      </c>
      <c r="E401" t="s">
        <v>1721</v>
      </c>
      <c r="F401" t="s">
        <v>11</v>
      </c>
      <c r="G401" t="s">
        <v>1750</v>
      </c>
      <c r="J401">
        <v>2.5</v>
      </c>
      <c r="K401" t="s">
        <v>1118</v>
      </c>
      <c r="L401" t="s">
        <v>1709</v>
      </c>
      <c r="M401" t="s">
        <v>1693</v>
      </c>
    </row>
    <row r="402" spans="1:80">
      <c r="B402" t="s">
        <v>2461</v>
      </c>
      <c r="C402" t="s">
        <v>2462</v>
      </c>
      <c r="D402" t="s">
        <v>1721</v>
      </c>
      <c r="E402" t="s">
        <v>1721</v>
      </c>
      <c r="F402" t="s">
        <v>11</v>
      </c>
      <c r="G402" t="s">
        <v>2462</v>
      </c>
      <c r="J402">
        <v>2.5</v>
      </c>
      <c r="K402" t="s">
        <v>1118</v>
      </c>
      <c r="L402" t="s">
        <v>1709</v>
      </c>
      <c r="M402" t="s">
        <v>1693</v>
      </c>
    </row>
    <row r="403" spans="1:80">
      <c r="B403" t="s">
        <v>2463</v>
      </c>
      <c r="C403" t="s">
        <v>2464</v>
      </c>
      <c r="D403" t="s">
        <v>1705</v>
      </c>
      <c r="E403" t="s">
        <v>2464</v>
      </c>
      <c r="F403" t="s">
        <v>11</v>
      </c>
      <c r="G403" t="s">
        <v>2464</v>
      </c>
      <c r="J403">
        <v>2.5</v>
      </c>
      <c r="K403" t="s">
        <v>1118</v>
      </c>
      <c r="L403" t="s">
        <v>1709</v>
      </c>
      <c r="M403" t="s">
        <v>1693</v>
      </c>
    </row>
    <row r="404" spans="1:80">
      <c r="A404" t="s">
        <v>478</v>
      </c>
      <c r="B404" t="s">
        <v>2465</v>
      </c>
      <c r="F404" t="s">
        <v>7</v>
      </c>
    </row>
    <row r="405" spans="1:80">
      <c r="B405" t="s">
        <v>2466</v>
      </c>
      <c r="C405" t="s">
        <v>2138</v>
      </c>
      <c r="D405" t="s">
        <v>1700</v>
      </c>
      <c r="E405" t="s">
        <v>1700</v>
      </c>
      <c r="F405" t="s">
        <v>11</v>
      </c>
      <c r="G405" t="s">
        <v>2139</v>
      </c>
      <c r="J405">
        <v>1</v>
      </c>
      <c r="K405" t="s">
        <v>1118</v>
      </c>
      <c r="L405" t="s">
        <v>1709</v>
      </c>
      <c r="M405" t="s">
        <v>1693</v>
      </c>
      <c r="S405">
        <v>22.2</v>
      </c>
      <c r="T405" t="s">
        <v>1118</v>
      </c>
      <c r="W405">
        <v>10.5</v>
      </c>
      <c r="X405" t="s">
        <v>1118</v>
      </c>
      <c r="Y405">
        <v>0.27</v>
      </c>
      <c r="Z405" t="s">
        <v>1118</v>
      </c>
      <c r="AA405">
        <v>38.89</v>
      </c>
      <c r="AG405">
        <v>7.1</v>
      </c>
      <c r="AX405">
        <v>1.8</v>
      </c>
      <c r="AY405" t="s">
        <v>1164</v>
      </c>
      <c r="BD405">
        <v>0.15</v>
      </c>
      <c r="BE405" t="s">
        <v>1118</v>
      </c>
      <c r="BJ405">
        <v>0.67</v>
      </c>
      <c r="BK405" t="s">
        <v>1118</v>
      </c>
    </row>
    <row r="406" spans="1:80">
      <c r="B406" t="s">
        <v>2467</v>
      </c>
      <c r="C406" t="s">
        <v>1432</v>
      </c>
      <c r="D406" t="s">
        <v>1848</v>
      </c>
      <c r="E406" t="s">
        <v>1849</v>
      </c>
      <c r="F406" t="s">
        <v>11</v>
      </c>
      <c r="G406" t="s">
        <v>1847</v>
      </c>
      <c r="J406">
        <v>1</v>
      </c>
      <c r="K406" t="s">
        <v>1118</v>
      </c>
      <c r="L406" t="s">
        <v>1709</v>
      </c>
      <c r="M406" t="s">
        <v>1693</v>
      </c>
      <c r="S406">
        <v>23.3</v>
      </c>
      <c r="T406" t="s">
        <v>1118</v>
      </c>
      <c r="W406">
        <v>11.1</v>
      </c>
      <c r="X406" t="s">
        <v>1118</v>
      </c>
      <c r="Y406">
        <v>0.44</v>
      </c>
      <c r="Z406" t="s">
        <v>1118</v>
      </c>
      <c r="AA406">
        <v>25.23</v>
      </c>
      <c r="AG406">
        <v>7</v>
      </c>
      <c r="AX406">
        <v>0.56999999999999995</v>
      </c>
      <c r="AY406" t="s">
        <v>1164</v>
      </c>
      <c r="BD406">
        <v>0.16</v>
      </c>
      <c r="BE406" t="s">
        <v>1118</v>
      </c>
      <c r="BJ406">
        <v>0.82</v>
      </c>
      <c r="BK406" t="s">
        <v>1118</v>
      </c>
    </row>
    <row r="407" spans="1:80">
      <c r="B407" t="s">
        <v>2468</v>
      </c>
      <c r="C407" t="s">
        <v>1502</v>
      </c>
      <c r="D407" t="s">
        <v>1688</v>
      </c>
      <c r="E407" t="s">
        <v>1721</v>
      </c>
      <c r="F407" t="s">
        <v>11</v>
      </c>
      <c r="G407" t="s">
        <v>2142</v>
      </c>
      <c r="J407">
        <v>1</v>
      </c>
      <c r="K407" t="s">
        <v>1118</v>
      </c>
      <c r="L407" t="s">
        <v>1709</v>
      </c>
      <c r="M407" t="s">
        <v>1693</v>
      </c>
      <c r="S407">
        <v>25.6</v>
      </c>
      <c r="T407" t="s">
        <v>1118</v>
      </c>
      <c r="W407">
        <v>12.2</v>
      </c>
      <c r="X407" t="s">
        <v>1118</v>
      </c>
      <c r="Y407">
        <v>0.42</v>
      </c>
      <c r="Z407" t="s">
        <v>1118</v>
      </c>
      <c r="AA407">
        <v>28.93</v>
      </c>
      <c r="AG407">
        <v>6.9</v>
      </c>
      <c r="AX407">
        <v>5.99</v>
      </c>
      <c r="AY407" t="s">
        <v>1164</v>
      </c>
      <c r="BD407">
        <v>0.28999999999999998</v>
      </c>
      <c r="BE407" t="s">
        <v>1118</v>
      </c>
      <c r="BJ407">
        <v>0.13</v>
      </c>
      <c r="BK407" t="s">
        <v>1118</v>
      </c>
    </row>
    <row r="408" spans="1:80">
      <c r="B408" t="s">
        <v>2469</v>
      </c>
      <c r="C408" t="s">
        <v>2470</v>
      </c>
      <c r="D408" t="s">
        <v>1688</v>
      </c>
      <c r="E408" t="s">
        <v>1715</v>
      </c>
      <c r="F408" t="s">
        <v>11</v>
      </c>
      <c r="G408" t="s">
        <v>1715</v>
      </c>
      <c r="J408">
        <v>1</v>
      </c>
      <c r="K408" t="s">
        <v>1118</v>
      </c>
      <c r="L408" t="s">
        <v>1709</v>
      </c>
      <c r="M408" t="s">
        <v>1693</v>
      </c>
      <c r="S408">
        <v>24.1</v>
      </c>
      <c r="T408" t="s">
        <v>1118</v>
      </c>
      <c r="AA408">
        <v>10.85</v>
      </c>
      <c r="AG408">
        <v>7.4</v>
      </c>
      <c r="AX408">
        <v>0.55000000000000004</v>
      </c>
      <c r="AY408" t="s">
        <v>1164</v>
      </c>
      <c r="BD408">
        <v>0.11</v>
      </c>
      <c r="BE408" t="s">
        <v>1118</v>
      </c>
    </row>
    <row r="409" spans="1:80">
      <c r="A409" t="s">
        <v>487</v>
      </c>
      <c r="B409" t="s">
        <v>2471</v>
      </c>
      <c r="C409" t="s">
        <v>2107</v>
      </c>
      <c r="F409" t="s">
        <v>7</v>
      </c>
    </row>
    <row r="410" spans="1:80">
      <c r="B410" t="s">
        <v>2472</v>
      </c>
      <c r="C410" t="s">
        <v>2109</v>
      </c>
      <c r="D410" t="s">
        <v>1700</v>
      </c>
      <c r="E410" t="s">
        <v>1700</v>
      </c>
      <c r="F410" t="s">
        <v>11</v>
      </c>
      <c r="G410" t="s">
        <v>1757</v>
      </c>
      <c r="J410">
        <v>5</v>
      </c>
      <c r="K410" t="s">
        <v>1118</v>
      </c>
      <c r="L410" t="s">
        <v>1709</v>
      </c>
      <c r="M410" t="s">
        <v>1693</v>
      </c>
      <c r="O410">
        <v>23.5</v>
      </c>
      <c r="P410" t="s">
        <v>1118</v>
      </c>
      <c r="W410">
        <v>25.2</v>
      </c>
      <c r="X410" t="s">
        <v>1118</v>
      </c>
      <c r="Y410">
        <v>9.8000000000000007</v>
      </c>
      <c r="Z410" t="s">
        <v>1118</v>
      </c>
      <c r="AA410">
        <f>W410/Y410</f>
        <v>2.5714285714285712</v>
      </c>
      <c r="AB410">
        <v>2.8</v>
      </c>
      <c r="AC410" t="s">
        <v>1118</v>
      </c>
      <c r="AD410">
        <f>AB410/W410</f>
        <v>0.1111111111111111</v>
      </c>
      <c r="AG410">
        <v>6.3</v>
      </c>
      <c r="AH410" t="s">
        <v>1277</v>
      </c>
      <c r="AI410" t="s">
        <v>2423</v>
      </c>
    </row>
    <row r="411" spans="1:80">
      <c r="A411" t="s">
        <v>78</v>
      </c>
      <c r="B411" t="s">
        <v>2473</v>
      </c>
      <c r="F411" t="s">
        <v>7</v>
      </c>
    </row>
    <row r="412" spans="1:80">
      <c r="B412" t="s">
        <v>2474</v>
      </c>
      <c r="C412" t="s">
        <v>1704</v>
      </c>
      <c r="D412" t="s">
        <v>1705</v>
      </c>
      <c r="E412" t="s">
        <v>1706</v>
      </c>
      <c r="F412" t="s">
        <v>11</v>
      </c>
      <c r="G412" t="s">
        <v>2475</v>
      </c>
      <c r="H412" t="s">
        <v>2476</v>
      </c>
      <c r="I412">
        <v>450</v>
      </c>
      <c r="J412">
        <v>4</v>
      </c>
      <c r="K412" t="s">
        <v>1118</v>
      </c>
      <c r="L412" t="s">
        <v>1709</v>
      </c>
      <c r="M412" t="s">
        <v>1693</v>
      </c>
      <c r="O412">
        <v>29.3</v>
      </c>
      <c r="P412" t="s">
        <v>1609</v>
      </c>
      <c r="AG412">
        <v>9.8000000000000007</v>
      </c>
      <c r="AR412">
        <v>87</v>
      </c>
      <c r="AS412" t="s">
        <v>1884</v>
      </c>
      <c r="AV412">
        <v>5.01</v>
      </c>
      <c r="AW412" t="s">
        <v>1380</v>
      </c>
      <c r="AX412">
        <v>5150</v>
      </c>
      <c r="AY412" t="s">
        <v>2477</v>
      </c>
    </row>
    <row r="413" spans="1:80">
      <c r="A413" t="s">
        <v>181</v>
      </c>
      <c r="B413" t="s">
        <v>2478</v>
      </c>
      <c r="C413" t="s">
        <v>2366</v>
      </c>
      <c r="F413" t="s">
        <v>7</v>
      </c>
    </row>
    <row r="414" spans="1:80">
      <c r="B414" t="s">
        <v>2479</v>
      </c>
      <c r="C414" t="s">
        <v>1704</v>
      </c>
      <c r="D414" t="s">
        <v>1705</v>
      </c>
      <c r="E414" t="s">
        <v>1706</v>
      </c>
      <c r="F414" t="s">
        <v>11</v>
      </c>
      <c r="G414" t="s">
        <v>2480</v>
      </c>
      <c r="H414" t="s">
        <v>2480</v>
      </c>
      <c r="I414">
        <v>550</v>
      </c>
      <c r="J414">
        <v>2.5</v>
      </c>
      <c r="K414" t="s">
        <v>1118</v>
      </c>
      <c r="L414" t="s">
        <v>1709</v>
      </c>
      <c r="M414" t="s">
        <v>1693</v>
      </c>
      <c r="AG414">
        <v>8.5</v>
      </c>
      <c r="AP414">
        <v>6.96</v>
      </c>
      <c r="AQ414" t="s">
        <v>1741</v>
      </c>
      <c r="AR414">
        <v>69.31</v>
      </c>
      <c r="AS414" t="s">
        <v>1884</v>
      </c>
    </row>
    <row r="415" spans="1:80">
      <c r="B415" t="s">
        <v>2481</v>
      </c>
      <c r="C415" t="s">
        <v>2070</v>
      </c>
      <c r="D415" t="s">
        <v>1705</v>
      </c>
      <c r="E415" t="s">
        <v>1706</v>
      </c>
      <c r="F415" t="s">
        <v>11</v>
      </c>
      <c r="G415" t="s">
        <v>2482</v>
      </c>
      <c r="H415" t="s">
        <v>2480</v>
      </c>
      <c r="I415">
        <v>550</v>
      </c>
      <c r="J415">
        <v>2.5</v>
      </c>
      <c r="K415" t="s">
        <v>1118</v>
      </c>
      <c r="L415" t="s">
        <v>1709</v>
      </c>
      <c r="M415" t="s">
        <v>1693</v>
      </c>
      <c r="AG415">
        <v>8.84</v>
      </c>
      <c r="CB415" t="s">
        <v>2483</v>
      </c>
    </row>
    <row r="416" spans="1:80">
      <c r="B416" t="s">
        <v>2484</v>
      </c>
      <c r="C416" t="s">
        <v>2007</v>
      </c>
      <c r="D416" t="s">
        <v>1705</v>
      </c>
      <c r="E416" t="s">
        <v>1706</v>
      </c>
      <c r="F416" t="s">
        <v>11</v>
      </c>
      <c r="G416" t="s">
        <v>2485</v>
      </c>
      <c r="H416" t="s">
        <v>2480</v>
      </c>
      <c r="I416">
        <v>550</v>
      </c>
      <c r="J416">
        <v>2.5</v>
      </c>
      <c r="K416" t="s">
        <v>1118</v>
      </c>
      <c r="L416" t="s">
        <v>1709</v>
      </c>
      <c r="M416" t="s">
        <v>1693</v>
      </c>
      <c r="AG416">
        <v>8.86</v>
      </c>
      <c r="CB416" t="s">
        <v>2483</v>
      </c>
    </row>
    <row r="417" spans="1:80">
      <c r="B417" t="s">
        <v>2486</v>
      </c>
      <c r="C417" t="s">
        <v>2487</v>
      </c>
      <c r="D417" t="s">
        <v>1705</v>
      </c>
      <c r="E417" t="s">
        <v>1706</v>
      </c>
      <c r="F417" t="s">
        <v>11</v>
      </c>
      <c r="G417" t="s">
        <v>2488</v>
      </c>
      <c r="H417" t="s">
        <v>2480</v>
      </c>
      <c r="I417">
        <v>550</v>
      </c>
      <c r="J417">
        <v>2.5</v>
      </c>
      <c r="K417" t="s">
        <v>1118</v>
      </c>
      <c r="L417" t="s">
        <v>1709</v>
      </c>
      <c r="M417" t="s">
        <v>1693</v>
      </c>
      <c r="AG417">
        <v>9.19</v>
      </c>
      <c r="CB417" t="s">
        <v>2483</v>
      </c>
    </row>
    <row r="418" spans="1:80">
      <c r="A418" t="s">
        <v>101</v>
      </c>
      <c r="B418" t="s">
        <v>2489</v>
      </c>
      <c r="C418" t="s">
        <v>2490</v>
      </c>
      <c r="F418" t="s">
        <v>7</v>
      </c>
    </row>
    <row r="419" spans="1:80">
      <c r="B419" t="s">
        <v>2491</v>
      </c>
      <c r="C419" t="s">
        <v>2492</v>
      </c>
      <c r="D419" t="s">
        <v>1705</v>
      </c>
      <c r="E419" t="s">
        <v>1706</v>
      </c>
      <c r="F419" t="s">
        <v>11</v>
      </c>
      <c r="G419" t="s">
        <v>2493</v>
      </c>
      <c r="H419" t="s">
        <v>2493</v>
      </c>
      <c r="J419">
        <v>0.5</v>
      </c>
      <c r="K419" t="s">
        <v>1118</v>
      </c>
      <c r="L419" t="s">
        <v>1709</v>
      </c>
      <c r="M419" t="s">
        <v>1693</v>
      </c>
      <c r="AR419">
        <v>30.31</v>
      </c>
      <c r="AS419" t="s">
        <v>1884</v>
      </c>
    </row>
    <row r="420" spans="1:80">
      <c r="B420" t="s">
        <v>2494</v>
      </c>
      <c r="C420" t="s">
        <v>2495</v>
      </c>
      <c r="D420" t="s">
        <v>1705</v>
      </c>
      <c r="E420" t="s">
        <v>1706</v>
      </c>
      <c r="F420" t="s">
        <v>11</v>
      </c>
      <c r="G420" t="s">
        <v>2493</v>
      </c>
      <c r="H420" t="s">
        <v>2493</v>
      </c>
      <c r="J420">
        <v>0.5</v>
      </c>
      <c r="K420" t="s">
        <v>1118</v>
      </c>
      <c r="L420" t="s">
        <v>1709</v>
      </c>
      <c r="M420" t="s">
        <v>1693</v>
      </c>
      <c r="AR420">
        <v>34.200000000000003</v>
      </c>
      <c r="AS420" t="s">
        <v>1884</v>
      </c>
    </row>
    <row r="421" spans="1:80">
      <c r="B421" t="s">
        <v>2496</v>
      </c>
      <c r="C421" t="s">
        <v>2497</v>
      </c>
      <c r="D421" t="s">
        <v>1705</v>
      </c>
      <c r="E421" t="s">
        <v>1706</v>
      </c>
      <c r="F421" t="s">
        <v>11</v>
      </c>
      <c r="G421" t="s">
        <v>2493</v>
      </c>
      <c r="H421" t="s">
        <v>2493</v>
      </c>
      <c r="J421">
        <v>0.5</v>
      </c>
      <c r="K421" t="s">
        <v>1118</v>
      </c>
      <c r="L421" t="s">
        <v>1709</v>
      </c>
      <c r="M421" t="s">
        <v>1693</v>
      </c>
    </row>
    <row r="422" spans="1:80">
      <c r="B422" t="s">
        <v>2498</v>
      </c>
      <c r="C422" t="s">
        <v>2499</v>
      </c>
      <c r="D422" t="s">
        <v>1705</v>
      </c>
      <c r="E422" t="s">
        <v>1706</v>
      </c>
      <c r="F422" t="s">
        <v>11</v>
      </c>
      <c r="G422" t="s">
        <v>2493</v>
      </c>
      <c r="H422" t="s">
        <v>2493</v>
      </c>
      <c r="J422">
        <v>1</v>
      </c>
      <c r="K422" t="s">
        <v>1118</v>
      </c>
      <c r="L422" t="s">
        <v>1709</v>
      </c>
      <c r="M422" t="s">
        <v>1693</v>
      </c>
    </row>
    <row r="423" spans="1:80">
      <c r="A423" t="s">
        <v>395</v>
      </c>
      <c r="B423" t="s">
        <v>2500</v>
      </c>
      <c r="F423" t="s">
        <v>7</v>
      </c>
    </row>
    <row r="424" spans="1:80">
      <c r="B424" t="s">
        <v>2501</v>
      </c>
      <c r="C424" t="s">
        <v>2502</v>
      </c>
      <c r="D424" t="s">
        <v>1721</v>
      </c>
      <c r="E424" t="s">
        <v>1721</v>
      </c>
      <c r="F424" t="s">
        <v>11</v>
      </c>
      <c r="G424" t="s">
        <v>2503</v>
      </c>
      <c r="J424">
        <v>10</v>
      </c>
      <c r="K424" t="s">
        <v>1118</v>
      </c>
      <c r="L424" t="s">
        <v>1709</v>
      </c>
      <c r="M424" t="s">
        <v>1693</v>
      </c>
      <c r="O424">
        <v>44.7</v>
      </c>
      <c r="P424" t="s">
        <v>1118</v>
      </c>
      <c r="Y424">
        <v>0.6</v>
      </c>
      <c r="Z424" t="s">
        <v>1118</v>
      </c>
    </row>
    <row r="425" spans="1:80">
      <c r="A425" t="s">
        <v>443</v>
      </c>
      <c r="B425" t="s">
        <v>2504</v>
      </c>
      <c r="F425" t="s">
        <v>7</v>
      </c>
    </row>
    <row r="426" spans="1:80">
      <c r="B426" t="s">
        <v>2505</v>
      </c>
      <c r="C426" t="s">
        <v>1704</v>
      </c>
      <c r="D426" t="s">
        <v>1705</v>
      </c>
      <c r="E426" t="s">
        <v>1706</v>
      </c>
      <c r="F426" t="s">
        <v>11</v>
      </c>
      <c r="G426" t="s">
        <v>2506</v>
      </c>
      <c r="H426" t="s">
        <v>2493</v>
      </c>
      <c r="I426">
        <v>450</v>
      </c>
      <c r="W426">
        <v>77.81</v>
      </c>
      <c r="X426" t="s">
        <v>1118</v>
      </c>
      <c r="Y426">
        <v>0.9</v>
      </c>
      <c r="Z426" t="s">
        <v>1118</v>
      </c>
      <c r="AA426">
        <f>W426/Y426</f>
        <v>86.455555555555563</v>
      </c>
      <c r="AB426">
        <v>4.5599999999999996</v>
      </c>
      <c r="AC426" t="s">
        <v>1118</v>
      </c>
      <c r="AD426">
        <f>AB426/W426</f>
        <v>5.8604292507389792E-2</v>
      </c>
      <c r="AE426">
        <v>14.87</v>
      </c>
      <c r="AF426" t="s">
        <v>1118</v>
      </c>
      <c r="AN426">
        <v>5.7000000000000002E-3</v>
      </c>
      <c r="AO426" t="s">
        <v>1732</v>
      </c>
      <c r="AP426">
        <v>6.11</v>
      </c>
      <c r="AQ426" t="s">
        <v>1741</v>
      </c>
      <c r="AR426">
        <v>13.73</v>
      </c>
      <c r="AS426" t="s">
        <v>1884</v>
      </c>
    </row>
    <row r="427" spans="1:80">
      <c r="B427" t="s">
        <v>2507</v>
      </c>
      <c r="C427" t="s">
        <v>2508</v>
      </c>
      <c r="D427" t="s">
        <v>1705</v>
      </c>
      <c r="E427" t="s">
        <v>1706</v>
      </c>
      <c r="F427" t="s">
        <v>11</v>
      </c>
      <c r="G427" t="s">
        <v>2509</v>
      </c>
      <c r="H427" t="s">
        <v>2493</v>
      </c>
      <c r="I427">
        <v>450</v>
      </c>
      <c r="W427">
        <v>85.48</v>
      </c>
      <c r="X427" t="s">
        <v>1118</v>
      </c>
      <c r="Y427">
        <v>0.95</v>
      </c>
      <c r="Z427" t="s">
        <v>1118</v>
      </c>
      <c r="AA427">
        <f>W427/Y427</f>
        <v>89.978947368421061</v>
      </c>
      <c r="AB427">
        <v>3.32</v>
      </c>
      <c r="AC427" t="s">
        <v>1118</v>
      </c>
      <c r="AD427">
        <f>AB427/W427</f>
        <v>3.8839494618624237E-2</v>
      </c>
      <c r="AE427">
        <v>8.76</v>
      </c>
      <c r="AF427" t="s">
        <v>1118</v>
      </c>
      <c r="AN427">
        <v>0.12</v>
      </c>
      <c r="AO427" t="s">
        <v>1732</v>
      </c>
      <c r="AP427">
        <v>3.08</v>
      </c>
      <c r="AQ427" t="s">
        <v>1741</v>
      </c>
      <c r="AR427">
        <v>980.19</v>
      </c>
      <c r="AS427" t="s">
        <v>1884</v>
      </c>
    </row>
    <row r="428" spans="1:80">
      <c r="A428" t="s">
        <v>418</v>
      </c>
      <c r="B428" t="s">
        <v>2510</v>
      </c>
      <c r="C428" t="s">
        <v>2511</v>
      </c>
      <c r="F428" t="s">
        <v>7</v>
      </c>
    </row>
    <row r="429" spans="1:80">
      <c r="B429" t="s">
        <v>2512</v>
      </c>
      <c r="C429" t="s">
        <v>2513</v>
      </c>
      <c r="D429" t="s">
        <v>1705</v>
      </c>
      <c r="E429" t="s">
        <v>2464</v>
      </c>
      <c r="F429" t="s">
        <v>11</v>
      </c>
      <c r="G429" t="s">
        <v>2514</v>
      </c>
      <c r="J429" s="50">
        <v>1</v>
      </c>
      <c r="K429" s="50" t="s">
        <v>1118</v>
      </c>
      <c r="L429" s="50" t="s">
        <v>1709</v>
      </c>
      <c r="M429" t="s">
        <v>1693</v>
      </c>
    </row>
    <row r="430" spans="1:80">
      <c r="B430" t="s">
        <v>2515</v>
      </c>
      <c r="C430" t="s">
        <v>2516</v>
      </c>
      <c r="D430" t="s">
        <v>1705</v>
      </c>
      <c r="E430" t="s">
        <v>2464</v>
      </c>
      <c r="F430" t="s">
        <v>11</v>
      </c>
      <c r="G430" t="s">
        <v>2514</v>
      </c>
      <c r="J430" s="50">
        <v>3</v>
      </c>
      <c r="K430" s="50" t="s">
        <v>1118</v>
      </c>
      <c r="L430" s="50" t="s">
        <v>1709</v>
      </c>
      <c r="M430" t="s">
        <v>1693</v>
      </c>
    </row>
    <row r="431" spans="1:80">
      <c r="B431" t="s">
        <v>2517</v>
      </c>
      <c r="C431" t="s">
        <v>2518</v>
      </c>
      <c r="D431" t="s">
        <v>1705</v>
      </c>
      <c r="E431" t="s">
        <v>2464</v>
      </c>
      <c r="F431" t="s">
        <v>11</v>
      </c>
      <c r="G431" t="s">
        <v>2514</v>
      </c>
      <c r="J431" s="50">
        <v>5</v>
      </c>
      <c r="K431" s="50" t="s">
        <v>1118</v>
      </c>
      <c r="L431" s="50" t="s">
        <v>1709</v>
      </c>
      <c r="M431" t="s">
        <v>1693</v>
      </c>
    </row>
  </sheetData>
  <autoFilter ref="A4:CB432" xr:uid="{00000000-0001-0000-0300-000000000000}"/>
  <mergeCells count="2">
    <mergeCell ref="A2:K2"/>
    <mergeCell ref="A1:K1"/>
  </mergeCells>
  <phoneticPr fontId="6" type="noConversion"/>
  <pageMargins left="0.75" right="0.75" top="1" bottom="1" header="0.5" footer="0.5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300-000000000000}">
          <x14:formula1>
            <xm:f>lists!#REF!</xm:f>
          </x14:formula1>
          <xm:sqref>Z11:Z12 Z7:Z8 X7:X8 T9:V14 T35:V59 T61:V986</xm:sqref>
        </x14:dataValidation>
        <x14:dataValidation type="list" allowBlank="1" xr:uid="{EC7A8B3D-9219-4EF0-81E0-7E1B8ED74206}">
          <x14:formula1>
            <xm:f>lists!$D$2:$D$3</xm:f>
          </x14:formula1>
          <xm:sqref>F5:F17 G147:I147 G149:I150 F326:F410 F414:F417 E428:E431 F419:F427 F432:F1048576 F19:F193 F195:F233 F235:F323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75"/>
  <sheetViews>
    <sheetView zoomScaleNormal="100" workbookViewId="0">
      <pane ySplit="4" topLeftCell="A167" activePane="bottomLeft" state="frozen"/>
      <selection pane="bottomLeft" activeCell="C50" sqref="C50"/>
    </sheetView>
  </sheetViews>
  <sheetFormatPr defaultColWidth="8.88671875" defaultRowHeight="17.25" customHeight="1"/>
  <cols>
    <col min="1" max="1" width="11.88671875" customWidth="1"/>
    <col min="2" max="2" width="13.88671875" customWidth="1"/>
    <col min="3" max="3" width="21.88671875" customWidth="1"/>
    <col min="4" max="4" width="20.109375" customWidth="1"/>
    <col min="5" max="5" width="53.44140625" bestFit="1" customWidth="1"/>
    <col min="6" max="7" width="17.88671875" customWidth="1"/>
    <col min="8" max="8" width="19.88671875" bestFit="1" customWidth="1"/>
    <col min="9" max="10" width="19.88671875" customWidth="1"/>
    <col min="11" max="11" width="18.6640625" bestFit="1" customWidth="1"/>
    <col min="12" max="13" width="18.6640625" customWidth="1"/>
    <col min="14" max="14" width="15.88671875" customWidth="1"/>
    <col min="15" max="15" width="27.88671875" customWidth="1"/>
  </cols>
  <sheetData>
    <row r="1" spans="1:16" ht="21.9" customHeight="1">
      <c r="A1" s="55" t="s">
        <v>2519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</row>
    <row r="2" spans="1:16" ht="36" customHeight="1">
      <c r="A2" s="53" t="s">
        <v>2520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</row>
    <row r="4" spans="1:16" ht="31.2">
      <c r="A4" s="2" t="s">
        <v>19</v>
      </c>
      <c r="B4" s="2" t="s">
        <v>2521</v>
      </c>
      <c r="C4" s="2" t="s">
        <v>2522</v>
      </c>
      <c r="D4" s="2" t="s">
        <v>2523</v>
      </c>
      <c r="E4" s="2" t="s">
        <v>2524</v>
      </c>
      <c r="F4" s="2" t="s">
        <v>2525</v>
      </c>
      <c r="G4" s="2" t="s">
        <v>2526</v>
      </c>
      <c r="H4" s="2" t="s">
        <v>2527</v>
      </c>
      <c r="I4" s="2" t="s">
        <v>2528</v>
      </c>
      <c r="J4" s="2" t="s">
        <v>2529</v>
      </c>
      <c r="K4" s="2" t="s">
        <v>2530</v>
      </c>
      <c r="L4" s="2" t="s">
        <v>2531</v>
      </c>
      <c r="M4" s="2" t="s">
        <v>2532</v>
      </c>
      <c r="N4" s="2" t="s">
        <v>2533</v>
      </c>
      <c r="O4" s="2" t="s">
        <v>28</v>
      </c>
    </row>
    <row r="5" spans="1:16" ht="18">
      <c r="A5" t="s">
        <v>29</v>
      </c>
      <c r="B5" t="s">
        <v>2545</v>
      </c>
      <c r="C5" t="s">
        <v>2546</v>
      </c>
      <c r="D5" t="s">
        <v>2547</v>
      </c>
      <c r="E5" t="s">
        <v>2548</v>
      </c>
      <c r="F5" t="s">
        <v>2549</v>
      </c>
      <c r="G5">
        <v>28.8</v>
      </c>
      <c r="H5">
        <v>4.4000000000000004</v>
      </c>
      <c r="I5">
        <v>1.2</v>
      </c>
      <c r="J5">
        <v>94.6</v>
      </c>
      <c r="K5">
        <v>4.4000000000000004</v>
      </c>
      <c r="N5" t="s">
        <v>7</v>
      </c>
    </row>
    <row r="6" spans="1:16" ht="18">
      <c r="A6" t="s">
        <v>40</v>
      </c>
      <c r="B6" t="s">
        <v>2614</v>
      </c>
      <c r="C6" t="s">
        <v>2607</v>
      </c>
      <c r="E6" t="s">
        <v>2609</v>
      </c>
      <c r="F6" t="s">
        <v>2549</v>
      </c>
      <c r="G6">
        <v>29</v>
      </c>
      <c r="H6">
        <v>66</v>
      </c>
      <c r="I6">
        <v>28</v>
      </c>
      <c r="J6">
        <v>150</v>
      </c>
      <c r="K6">
        <v>75</v>
      </c>
      <c r="N6" t="s">
        <v>7</v>
      </c>
    </row>
    <row r="7" spans="1:16" ht="18">
      <c r="A7" t="s">
        <v>45</v>
      </c>
      <c r="B7" t="s">
        <v>2812</v>
      </c>
      <c r="C7" t="s">
        <v>2813</v>
      </c>
      <c r="E7" t="s">
        <v>2814</v>
      </c>
      <c r="F7" t="s">
        <v>2549</v>
      </c>
      <c r="G7">
        <v>21</v>
      </c>
      <c r="H7">
        <v>15</v>
      </c>
      <c r="I7">
        <v>8</v>
      </c>
      <c r="J7">
        <v>38</v>
      </c>
      <c r="K7">
        <v>90</v>
      </c>
      <c r="N7" t="s">
        <v>7</v>
      </c>
    </row>
    <row r="8" spans="1:16" ht="18">
      <c r="A8" t="s">
        <v>68</v>
      </c>
      <c r="B8" t="s">
        <v>2756</v>
      </c>
      <c r="C8" t="s">
        <v>2757</v>
      </c>
      <c r="E8" t="s">
        <v>2758</v>
      </c>
      <c r="F8" t="s">
        <v>2549</v>
      </c>
      <c r="G8">
        <v>232</v>
      </c>
      <c r="I8">
        <v>31</v>
      </c>
      <c r="J8">
        <v>410</v>
      </c>
      <c r="K8">
        <v>120</v>
      </c>
      <c r="N8" t="s">
        <v>7</v>
      </c>
    </row>
    <row r="9" spans="1:16" ht="18">
      <c r="A9" t="s">
        <v>73</v>
      </c>
      <c r="B9" t="s">
        <v>2927</v>
      </c>
      <c r="C9" t="s">
        <v>2928</v>
      </c>
      <c r="E9" t="s">
        <v>2929</v>
      </c>
      <c r="F9" t="s">
        <v>2549</v>
      </c>
      <c r="G9">
        <v>274</v>
      </c>
      <c r="H9">
        <v>85</v>
      </c>
      <c r="I9">
        <v>111</v>
      </c>
      <c r="J9">
        <v>437</v>
      </c>
      <c r="K9">
        <v>64</v>
      </c>
      <c r="N9" t="s">
        <v>7</v>
      </c>
    </row>
    <row r="10" spans="1:16" ht="18">
      <c r="A10" t="s">
        <v>78</v>
      </c>
      <c r="B10" t="s">
        <v>2622</v>
      </c>
      <c r="C10" t="s">
        <v>2607</v>
      </c>
      <c r="E10" s="20" t="s">
        <v>2609</v>
      </c>
      <c r="F10" t="s">
        <v>2549</v>
      </c>
      <c r="G10">
        <v>29</v>
      </c>
      <c r="H10">
        <v>66</v>
      </c>
      <c r="I10">
        <v>28</v>
      </c>
      <c r="J10">
        <v>150</v>
      </c>
      <c r="K10">
        <v>75</v>
      </c>
      <c r="N10" t="s">
        <v>7</v>
      </c>
    </row>
    <row r="11" spans="1:16" ht="18">
      <c r="A11" t="s">
        <v>82</v>
      </c>
      <c r="B11" t="s">
        <v>2652</v>
      </c>
      <c r="C11" t="s">
        <v>2653</v>
      </c>
      <c r="D11" t="s">
        <v>2654</v>
      </c>
      <c r="E11" t="s">
        <v>2655</v>
      </c>
      <c r="F11" t="s">
        <v>2549</v>
      </c>
      <c r="I11" s="31">
        <v>150</v>
      </c>
      <c r="J11" s="31">
        <v>300</v>
      </c>
      <c r="K11">
        <v>60</v>
      </c>
      <c r="N11" t="s">
        <v>7</v>
      </c>
    </row>
    <row r="12" spans="1:16" ht="18">
      <c r="B12" t="s">
        <v>2715</v>
      </c>
      <c r="C12" t="s">
        <v>2713</v>
      </c>
      <c r="D12" t="s">
        <v>2716</v>
      </c>
      <c r="E12" t="s">
        <v>2714</v>
      </c>
      <c r="F12" t="s">
        <v>2549</v>
      </c>
      <c r="G12">
        <v>229</v>
      </c>
      <c r="H12">
        <v>102.8</v>
      </c>
      <c r="I12">
        <v>27.3</v>
      </c>
      <c r="J12">
        <v>472</v>
      </c>
      <c r="K12">
        <v>102.8</v>
      </c>
      <c r="N12" t="s">
        <v>7</v>
      </c>
    </row>
    <row r="13" spans="1:16" ht="18">
      <c r="A13" t="s">
        <v>92</v>
      </c>
      <c r="B13" t="s">
        <v>2667</v>
      </c>
      <c r="C13" t="s">
        <v>2668</v>
      </c>
      <c r="D13" t="s">
        <v>2669</v>
      </c>
      <c r="E13" t="s">
        <v>2670</v>
      </c>
      <c r="F13" t="s">
        <v>2554</v>
      </c>
      <c r="G13">
        <v>18.7</v>
      </c>
      <c r="H13">
        <v>4.8</v>
      </c>
      <c r="I13">
        <v>5.7</v>
      </c>
      <c r="J13">
        <v>22.7</v>
      </c>
      <c r="K13">
        <v>4.8</v>
      </c>
      <c r="N13" t="s">
        <v>7</v>
      </c>
    </row>
    <row r="14" spans="1:16" ht="18">
      <c r="B14" t="s">
        <v>2663</v>
      </c>
      <c r="C14" t="s">
        <v>2664</v>
      </c>
      <c r="D14" t="s">
        <v>2665</v>
      </c>
      <c r="E14" t="s">
        <v>2666</v>
      </c>
      <c r="F14" t="s">
        <v>2554</v>
      </c>
      <c r="G14">
        <v>14</v>
      </c>
      <c r="H14">
        <v>12.8</v>
      </c>
      <c r="I14">
        <v>5.7</v>
      </c>
      <c r="J14">
        <v>22.7</v>
      </c>
      <c r="K14">
        <v>29</v>
      </c>
      <c r="N14" t="s">
        <v>7</v>
      </c>
    </row>
    <row r="15" spans="1:16" ht="18">
      <c r="B15" t="s">
        <v>2550</v>
      </c>
      <c r="C15" t="s">
        <v>2551</v>
      </c>
      <c r="D15" t="s">
        <v>2552</v>
      </c>
      <c r="E15" t="s">
        <v>2553</v>
      </c>
      <c r="F15" t="s">
        <v>2554</v>
      </c>
      <c r="N15" t="s">
        <v>11</v>
      </c>
      <c r="O15" t="s">
        <v>2555</v>
      </c>
    </row>
    <row r="16" spans="1:16" ht="18">
      <c r="B16" t="s">
        <v>2556</v>
      </c>
      <c r="C16" t="s">
        <v>2557</v>
      </c>
      <c r="D16" t="s">
        <v>2558</v>
      </c>
      <c r="E16" t="s">
        <v>2559</v>
      </c>
      <c r="F16" t="s">
        <v>2554</v>
      </c>
      <c r="N16" t="s">
        <v>11</v>
      </c>
      <c r="O16" t="s">
        <v>2560</v>
      </c>
    </row>
    <row r="17" spans="1:14" ht="18">
      <c r="A17" t="s">
        <v>101</v>
      </c>
      <c r="B17" t="s">
        <v>2583</v>
      </c>
      <c r="C17" t="s">
        <v>2584</v>
      </c>
      <c r="D17" t="s">
        <v>2585</v>
      </c>
      <c r="E17" s="29" t="s">
        <v>2586</v>
      </c>
      <c r="F17" t="s">
        <v>2554</v>
      </c>
      <c r="N17" t="s">
        <v>11</v>
      </c>
    </row>
    <row r="18" spans="1:14" ht="18">
      <c r="B18" t="s">
        <v>2737</v>
      </c>
      <c r="C18" t="s">
        <v>2738</v>
      </c>
      <c r="D18" t="s">
        <v>2739</v>
      </c>
      <c r="E18" s="29" t="s">
        <v>2740</v>
      </c>
      <c r="F18" t="s">
        <v>2554</v>
      </c>
      <c r="N18" t="s">
        <v>11</v>
      </c>
    </row>
    <row r="19" spans="1:14" ht="18">
      <c r="A19" t="s">
        <v>120</v>
      </c>
      <c r="B19" t="s">
        <v>2800</v>
      </c>
      <c r="C19" t="s">
        <v>2801</v>
      </c>
      <c r="E19" t="s">
        <v>2802</v>
      </c>
      <c r="F19" t="s">
        <v>2549</v>
      </c>
      <c r="G19">
        <v>5</v>
      </c>
      <c r="H19">
        <v>19.600000000000001</v>
      </c>
      <c r="I19">
        <v>4</v>
      </c>
      <c r="J19">
        <v>44.3</v>
      </c>
      <c r="K19">
        <v>19.600000000000001</v>
      </c>
      <c r="N19" t="s">
        <v>7</v>
      </c>
    </row>
    <row r="20" spans="1:14" ht="18">
      <c r="A20" t="s">
        <v>124</v>
      </c>
      <c r="B20" t="s">
        <v>2587</v>
      </c>
      <c r="C20" t="s">
        <v>2585</v>
      </c>
      <c r="E20" t="s">
        <v>2586</v>
      </c>
      <c r="F20" t="s">
        <v>2554</v>
      </c>
      <c r="N20" t="s">
        <v>7</v>
      </c>
    </row>
    <row r="21" spans="1:14" ht="18">
      <c r="B21" t="s">
        <v>2641</v>
      </c>
      <c r="C21" t="s">
        <v>2642</v>
      </c>
      <c r="E21" t="s">
        <v>2643</v>
      </c>
      <c r="F21" t="s">
        <v>2554</v>
      </c>
      <c r="N21" t="s">
        <v>7</v>
      </c>
    </row>
    <row r="22" spans="1:14" ht="18">
      <c r="B22" t="s">
        <v>2853</v>
      </c>
      <c r="C22" t="s">
        <v>2854</v>
      </c>
      <c r="E22" t="s">
        <v>2855</v>
      </c>
      <c r="F22" t="s">
        <v>2554</v>
      </c>
      <c r="H22" s="31">
        <v>2000</v>
      </c>
      <c r="I22" s="31"/>
      <c r="J22" s="31"/>
      <c r="K22" s="31">
        <v>6200</v>
      </c>
      <c r="L22" s="31"/>
      <c r="M22" s="31"/>
      <c r="N22" t="s">
        <v>11</v>
      </c>
    </row>
    <row r="23" spans="1:14" ht="18">
      <c r="B23" t="s">
        <v>2850</v>
      </c>
      <c r="C23" t="s">
        <v>2851</v>
      </c>
      <c r="E23" t="s">
        <v>2852</v>
      </c>
      <c r="F23" t="s">
        <v>2554</v>
      </c>
      <c r="N23" t="s">
        <v>11</v>
      </c>
    </row>
    <row r="24" spans="1:14" ht="18">
      <c r="B24" t="s">
        <v>2830</v>
      </c>
      <c r="C24" t="s">
        <v>2831</v>
      </c>
      <c r="E24" t="s">
        <v>2832</v>
      </c>
      <c r="F24" t="s">
        <v>2554</v>
      </c>
      <c r="H24" s="31">
        <v>2000</v>
      </c>
      <c r="I24" s="31"/>
      <c r="J24" s="31"/>
      <c r="K24" s="31">
        <v>6200</v>
      </c>
      <c r="L24" s="31"/>
      <c r="M24" s="31"/>
      <c r="N24" t="s">
        <v>11</v>
      </c>
    </row>
    <row r="25" spans="1:14" ht="18">
      <c r="B25" t="s">
        <v>2847</v>
      </c>
      <c r="C25" t="s">
        <v>2848</v>
      </c>
      <c r="E25" t="s">
        <v>2849</v>
      </c>
      <c r="F25" t="s">
        <v>2554</v>
      </c>
      <c r="H25" s="31">
        <v>160</v>
      </c>
      <c r="I25" s="31"/>
      <c r="J25" s="31"/>
      <c r="K25" s="31">
        <v>1000</v>
      </c>
      <c r="L25" s="31"/>
      <c r="M25" s="31"/>
      <c r="N25" t="s">
        <v>11</v>
      </c>
    </row>
    <row r="26" spans="1:14" ht="18">
      <c r="A26" t="s">
        <v>129</v>
      </c>
      <c r="B26" t="s">
        <v>2785</v>
      </c>
      <c r="C26" t="s">
        <v>2786</v>
      </c>
      <c r="D26" t="s">
        <v>2787</v>
      </c>
      <c r="E26" t="s">
        <v>2788</v>
      </c>
      <c r="F26" t="s">
        <v>2549</v>
      </c>
      <c r="G26">
        <v>23</v>
      </c>
      <c r="H26">
        <v>12</v>
      </c>
      <c r="I26">
        <v>7.2</v>
      </c>
      <c r="J26">
        <v>18.2</v>
      </c>
      <c r="K26">
        <v>12</v>
      </c>
      <c r="N26" t="s">
        <v>7</v>
      </c>
    </row>
    <row r="27" spans="1:14" ht="18">
      <c r="A27" t="s">
        <v>133</v>
      </c>
      <c r="B27" t="s">
        <v>2856</v>
      </c>
      <c r="C27" t="s">
        <v>2857</v>
      </c>
      <c r="E27" t="s">
        <v>2858</v>
      </c>
      <c r="F27" t="s">
        <v>2549</v>
      </c>
      <c r="H27">
        <v>8</v>
      </c>
      <c r="I27">
        <v>3</v>
      </c>
      <c r="J27">
        <v>13</v>
      </c>
      <c r="K27">
        <v>8</v>
      </c>
      <c r="N27" t="s">
        <v>7</v>
      </c>
    </row>
    <row r="28" spans="1:14" ht="18">
      <c r="A28" t="s">
        <v>137</v>
      </c>
      <c r="B28" t="s">
        <v>2862</v>
      </c>
      <c r="C28" t="s">
        <v>2863</v>
      </c>
      <c r="D28" t="s">
        <v>2864</v>
      </c>
      <c r="E28" t="s">
        <v>2865</v>
      </c>
      <c r="F28" t="s">
        <v>2549</v>
      </c>
      <c r="G28">
        <v>9.8000000000000007</v>
      </c>
      <c r="H28">
        <v>11.9</v>
      </c>
      <c r="I28">
        <v>6.3</v>
      </c>
      <c r="J28">
        <v>40.299999999999997</v>
      </c>
      <c r="K28">
        <v>11.9</v>
      </c>
      <c r="N28" t="s">
        <v>7</v>
      </c>
    </row>
    <row r="29" spans="1:14" ht="18">
      <c r="A29" t="s">
        <v>141</v>
      </c>
      <c r="B29" t="s">
        <v>2718</v>
      </c>
      <c r="C29" t="s">
        <v>2713</v>
      </c>
      <c r="E29" t="s">
        <v>2714</v>
      </c>
      <c r="F29" t="s">
        <v>2549</v>
      </c>
      <c r="G29">
        <v>229</v>
      </c>
      <c r="H29">
        <v>102.8</v>
      </c>
      <c r="I29">
        <v>27.3</v>
      </c>
      <c r="J29">
        <v>472</v>
      </c>
      <c r="K29">
        <v>102.8</v>
      </c>
      <c r="N29" t="s">
        <v>7</v>
      </c>
    </row>
    <row r="30" spans="1:14" ht="18">
      <c r="A30" t="s">
        <v>150</v>
      </c>
      <c r="B30" t="s">
        <v>2909</v>
      </c>
      <c r="C30" t="s">
        <v>2910</v>
      </c>
      <c r="E30" t="s">
        <v>2911</v>
      </c>
      <c r="F30" t="s">
        <v>2544</v>
      </c>
      <c r="G30">
        <v>47.1</v>
      </c>
      <c r="H30">
        <v>365</v>
      </c>
      <c r="I30">
        <v>365</v>
      </c>
      <c r="J30">
        <v>1000</v>
      </c>
      <c r="K30">
        <v>63</v>
      </c>
      <c r="N30" t="s">
        <v>7</v>
      </c>
    </row>
    <row r="31" spans="1:14" ht="18">
      <c r="A31" t="s">
        <v>155</v>
      </c>
      <c r="B31" t="s">
        <v>2566</v>
      </c>
      <c r="C31" t="s">
        <v>2562</v>
      </c>
      <c r="D31" t="s">
        <v>2563</v>
      </c>
      <c r="E31" t="s">
        <v>2564</v>
      </c>
      <c r="F31" t="s">
        <v>2549</v>
      </c>
      <c r="G31">
        <v>25</v>
      </c>
      <c r="H31">
        <v>12.7</v>
      </c>
      <c r="I31">
        <v>3.12</v>
      </c>
      <c r="J31">
        <v>34.9</v>
      </c>
      <c r="K31">
        <v>12.7</v>
      </c>
      <c r="N31" t="s">
        <v>7</v>
      </c>
    </row>
    <row r="32" spans="1:14" ht="18">
      <c r="A32" t="s">
        <v>160</v>
      </c>
      <c r="B32" t="s">
        <v>2889</v>
      </c>
      <c r="C32" t="s">
        <v>2887</v>
      </c>
      <c r="E32" t="s">
        <v>2888</v>
      </c>
      <c r="F32" t="s">
        <v>2549</v>
      </c>
      <c r="G32">
        <v>90</v>
      </c>
      <c r="I32">
        <v>27</v>
      </c>
      <c r="J32">
        <v>102</v>
      </c>
      <c r="K32">
        <v>60</v>
      </c>
      <c r="N32" t="s">
        <v>7</v>
      </c>
    </row>
    <row r="33" spans="1:15" ht="18">
      <c r="A33" t="s">
        <v>181</v>
      </c>
      <c r="B33" t="s">
        <v>2623</v>
      </c>
      <c r="C33" t="s">
        <v>2607</v>
      </c>
      <c r="E33" s="20" t="s">
        <v>2609</v>
      </c>
      <c r="F33" t="s">
        <v>2549</v>
      </c>
      <c r="G33">
        <v>29</v>
      </c>
      <c r="H33">
        <v>66</v>
      </c>
      <c r="I33">
        <v>28</v>
      </c>
      <c r="J33">
        <v>150</v>
      </c>
      <c r="K33">
        <v>75</v>
      </c>
      <c r="N33" t="s">
        <v>7</v>
      </c>
    </row>
    <row r="34" spans="1:15" ht="18">
      <c r="A34" t="s">
        <v>190</v>
      </c>
      <c r="B34" t="s">
        <v>2616</v>
      </c>
      <c r="C34" t="s">
        <v>2607</v>
      </c>
      <c r="E34" t="s">
        <v>2609</v>
      </c>
      <c r="F34" t="s">
        <v>2549</v>
      </c>
      <c r="G34">
        <v>29</v>
      </c>
      <c r="H34">
        <v>66</v>
      </c>
      <c r="I34">
        <v>28</v>
      </c>
      <c r="J34">
        <v>150</v>
      </c>
      <c r="K34">
        <v>75</v>
      </c>
      <c r="N34" t="s">
        <v>7</v>
      </c>
    </row>
    <row r="35" spans="1:15" ht="18">
      <c r="A35" t="s">
        <v>205</v>
      </c>
      <c r="B35" t="s">
        <v>2823</v>
      </c>
      <c r="C35" t="s">
        <v>2816</v>
      </c>
      <c r="E35" t="s">
        <v>2817</v>
      </c>
      <c r="F35" t="s">
        <v>2549</v>
      </c>
      <c r="G35">
        <v>19</v>
      </c>
      <c r="H35">
        <v>6.99</v>
      </c>
      <c r="I35">
        <v>5.98</v>
      </c>
      <c r="J35">
        <v>7.76</v>
      </c>
      <c r="K35">
        <v>6.99</v>
      </c>
      <c r="N35" t="s">
        <v>7</v>
      </c>
    </row>
    <row r="36" spans="1:15" ht="18">
      <c r="A36" t="s">
        <v>213</v>
      </c>
      <c r="B36" t="s">
        <v>2617</v>
      </c>
      <c r="C36" t="s">
        <v>2607</v>
      </c>
      <c r="E36" t="s">
        <v>2609</v>
      </c>
      <c r="F36" t="s">
        <v>2549</v>
      </c>
      <c r="G36">
        <v>29</v>
      </c>
      <c r="H36">
        <v>66</v>
      </c>
      <c r="I36">
        <v>28</v>
      </c>
      <c r="J36">
        <v>150</v>
      </c>
      <c r="K36">
        <v>75</v>
      </c>
      <c r="N36" t="s">
        <v>7</v>
      </c>
    </row>
    <row r="37" spans="1:15" ht="18">
      <c r="A37" t="s">
        <v>233</v>
      </c>
      <c r="B37" t="s">
        <v>2744</v>
      </c>
      <c r="C37" t="s">
        <v>2742</v>
      </c>
      <c r="D37" t="s">
        <v>2745</v>
      </c>
      <c r="E37" t="s">
        <v>2743</v>
      </c>
      <c r="F37" t="s">
        <v>2549</v>
      </c>
      <c r="G37">
        <v>6.45</v>
      </c>
      <c r="H37">
        <v>17.3</v>
      </c>
      <c r="I37">
        <v>0.7</v>
      </c>
      <c r="J37">
        <v>78.599999999999994</v>
      </c>
      <c r="K37">
        <v>17.3</v>
      </c>
      <c r="N37" t="s">
        <v>7</v>
      </c>
    </row>
    <row r="38" spans="1:15" ht="18">
      <c r="B38" t="s">
        <v>2946</v>
      </c>
      <c r="C38" t="s">
        <v>2944</v>
      </c>
      <c r="D38" t="s">
        <v>2947</v>
      </c>
      <c r="E38" t="s">
        <v>2945</v>
      </c>
      <c r="F38" t="s">
        <v>2544</v>
      </c>
      <c r="G38">
        <v>130</v>
      </c>
      <c r="H38">
        <v>795</v>
      </c>
      <c r="I38">
        <v>240</v>
      </c>
      <c r="J38">
        <v>842</v>
      </c>
      <c r="K38">
        <v>450</v>
      </c>
      <c r="N38" t="s">
        <v>7</v>
      </c>
    </row>
    <row r="39" spans="1:15" ht="18">
      <c r="A39" t="s">
        <v>302</v>
      </c>
      <c r="B39" t="s">
        <v>2719</v>
      </c>
      <c r="C39" t="s">
        <v>2713</v>
      </c>
      <c r="E39" t="s">
        <v>2714</v>
      </c>
      <c r="F39" t="s">
        <v>2549</v>
      </c>
      <c r="G39">
        <v>229</v>
      </c>
      <c r="H39">
        <v>102.8</v>
      </c>
      <c r="I39">
        <v>27.3</v>
      </c>
      <c r="J39">
        <v>472</v>
      </c>
      <c r="K39">
        <v>102.8</v>
      </c>
      <c r="N39" t="s">
        <v>7</v>
      </c>
    </row>
    <row r="40" spans="1:15" ht="18">
      <c r="A40" t="s">
        <v>320</v>
      </c>
      <c r="B40" t="s">
        <v>2572</v>
      </c>
      <c r="C40" t="s">
        <v>2573</v>
      </c>
      <c r="E40" t="s">
        <v>2574</v>
      </c>
      <c r="F40" t="s">
        <v>2549</v>
      </c>
      <c r="G40">
        <v>12.1</v>
      </c>
      <c r="H40">
        <v>10.6</v>
      </c>
      <c r="I40">
        <v>3.4</v>
      </c>
      <c r="J40">
        <v>29</v>
      </c>
      <c r="K40">
        <v>14</v>
      </c>
      <c r="N40" t="s">
        <v>7</v>
      </c>
    </row>
    <row r="41" spans="1:15" ht="18">
      <c r="A41" t="s">
        <v>329</v>
      </c>
      <c r="B41" t="s">
        <v>2759</v>
      </c>
      <c r="C41" t="s">
        <v>2757</v>
      </c>
      <c r="E41" t="s">
        <v>2758</v>
      </c>
      <c r="F41" t="s">
        <v>2549</v>
      </c>
      <c r="G41">
        <v>232</v>
      </c>
      <c r="I41">
        <v>31</v>
      </c>
      <c r="J41">
        <v>410</v>
      </c>
      <c r="K41">
        <v>120</v>
      </c>
      <c r="N41" t="s">
        <v>7</v>
      </c>
    </row>
    <row r="42" spans="1:15" ht="18">
      <c r="B42" t="s">
        <v>2760</v>
      </c>
      <c r="C42" t="s">
        <v>2761</v>
      </c>
      <c r="E42" t="s">
        <v>2762</v>
      </c>
      <c r="F42" t="s">
        <v>2549</v>
      </c>
      <c r="H42">
        <v>11</v>
      </c>
      <c r="I42">
        <v>5.9</v>
      </c>
      <c r="J42">
        <v>16.5</v>
      </c>
      <c r="K42">
        <v>11</v>
      </c>
      <c r="N42" t="s">
        <v>7</v>
      </c>
    </row>
    <row r="43" spans="1:15" ht="18">
      <c r="B43" t="s">
        <v>2827</v>
      </c>
      <c r="C43" t="s">
        <v>2828</v>
      </c>
      <c r="O43" t="s">
        <v>2829</v>
      </c>
    </row>
    <row r="44" spans="1:15" ht="18">
      <c r="A44" t="s">
        <v>333</v>
      </c>
      <c r="B44" t="s">
        <v>2636</v>
      </c>
      <c r="C44" t="s">
        <v>2637</v>
      </c>
      <c r="D44" t="s">
        <v>2638</v>
      </c>
      <c r="E44" s="24" t="s">
        <v>2639</v>
      </c>
      <c r="F44" t="s">
        <v>2549</v>
      </c>
      <c r="G44">
        <v>7.5</v>
      </c>
      <c r="H44">
        <v>20.100000000000001</v>
      </c>
      <c r="I44">
        <v>8</v>
      </c>
      <c r="J44">
        <v>35</v>
      </c>
      <c r="K44">
        <v>20</v>
      </c>
      <c r="N44" t="s">
        <v>7</v>
      </c>
    </row>
    <row r="45" spans="1:15" ht="18">
      <c r="B45" t="s">
        <v>2789</v>
      </c>
      <c r="C45" t="s">
        <v>2786</v>
      </c>
      <c r="D45" t="s">
        <v>2787</v>
      </c>
      <c r="E45" s="24" t="s">
        <v>2788</v>
      </c>
      <c r="F45" t="s">
        <v>2549</v>
      </c>
      <c r="G45">
        <v>23</v>
      </c>
      <c r="H45">
        <v>12</v>
      </c>
      <c r="I45">
        <v>7.2</v>
      </c>
      <c r="J45">
        <v>18.2</v>
      </c>
      <c r="K45">
        <v>12</v>
      </c>
      <c r="N45" t="s">
        <v>7</v>
      </c>
    </row>
    <row r="46" spans="1:15" ht="18">
      <c r="A46" t="s">
        <v>346</v>
      </c>
      <c r="B46" t="s">
        <v>2700</v>
      </c>
      <c r="C46" t="s">
        <v>2701</v>
      </c>
      <c r="E46" s="24" t="s">
        <v>2702</v>
      </c>
      <c r="F46" t="s">
        <v>2544</v>
      </c>
      <c r="G46">
        <v>91.8</v>
      </c>
      <c r="H46">
        <v>133</v>
      </c>
      <c r="I46">
        <v>53</v>
      </c>
      <c r="J46">
        <v>456</v>
      </c>
      <c r="K46">
        <v>133</v>
      </c>
      <c r="N46" t="s">
        <v>7</v>
      </c>
    </row>
    <row r="47" spans="1:15" ht="18">
      <c r="A47" t="s">
        <v>350</v>
      </c>
      <c r="B47" t="s">
        <v>2948</v>
      </c>
      <c r="C47" t="s">
        <v>2944</v>
      </c>
      <c r="E47" s="24" t="s">
        <v>2945</v>
      </c>
      <c r="F47" t="s">
        <v>2544</v>
      </c>
      <c r="G47">
        <v>130</v>
      </c>
      <c r="H47">
        <v>795</v>
      </c>
      <c r="I47">
        <v>240</v>
      </c>
      <c r="J47">
        <v>842</v>
      </c>
      <c r="K47">
        <v>450</v>
      </c>
      <c r="N47" t="s">
        <v>7</v>
      </c>
    </row>
    <row r="48" spans="1:15" ht="18">
      <c r="A48" t="s">
        <v>370</v>
      </c>
      <c r="B48" t="s">
        <v>2660</v>
      </c>
      <c r="C48" t="s">
        <v>2661</v>
      </c>
      <c r="E48" s="24" t="s">
        <v>2662</v>
      </c>
      <c r="F48" t="s">
        <v>2549</v>
      </c>
      <c r="G48">
        <v>11.5</v>
      </c>
      <c r="I48">
        <v>4</v>
      </c>
      <c r="J48">
        <v>18</v>
      </c>
      <c r="K48">
        <v>56</v>
      </c>
      <c r="N48" t="s">
        <v>7</v>
      </c>
    </row>
    <row r="49" spans="1:14" ht="18">
      <c r="B49" t="s">
        <v>2873</v>
      </c>
      <c r="C49" t="s">
        <v>2874</v>
      </c>
      <c r="E49" t="s">
        <v>2875</v>
      </c>
      <c r="F49" t="s">
        <v>2549</v>
      </c>
      <c r="G49">
        <v>12.1</v>
      </c>
      <c r="H49">
        <v>10.6</v>
      </c>
      <c r="I49">
        <v>3.4</v>
      </c>
      <c r="J49">
        <v>29</v>
      </c>
      <c r="K49">
        <v>14</v>
      </c>
      <c r="N49" t="s">
        <v>11</v>
      </c>
    </row>
    <row r="50" spans="1:14" ht="18">
      <c r="B50" t="s">
        <v>2594</v>
      </c>
      <c r="C50" t="s">
        <v>2595</v>
      </c>
      <c r="E50" t="s">
        <v>2596</v>
      </c>
      <c r="F50" t="s">
        <v>2549</v>
      </c>
      <c r="N50" t="s">
        <v>11</v>
      </c>
    </row>
    <row r="51" spans="1:14" ht="18">
      <c r="B51" t="s">
        <v>2603</v>
      </c>
      <c r="C51" t="s">
        <v>2604</v>
      </c>
      <c r="E51" t="s">
        <v>2605</v>
      </c>
      <c r="F51" t="s">
        <v>2549</v>
      </c>
      <c r="N51" t="s">
        <v>11</v>
      </c>
    </row>
    <row r="52" spans="1:14" ht="18">
      <c r="B52" t="s">
        <v>2876</v>
      </c>
      <c r="C52" t="s">
        <v>2877</v>
      </c>
      <c r="E52" t="s">
        <v>2878</v>
      </c>
      <c r="F52" t="s">
        <v>2549</v>
      </c>
      <c r="G52">
        <v>21</v>
      </c>
      <c r="H52">
        <v>15</v>
      </c>
      <c r="I52">
        <v>8</v>
      </c>
      <c r="J52">
        <v>38</v>
      </c>
      <c r="K52">
        <v>90</v>
      </c>
      <c r="N52" t="s">
        <v>11</v>
      </c>
    </row>
    <row r="53" spans="1:14" ht="18">
      <c r="B53" t="s">
        <v>2588</v>
      </c>
      <c r="C53" t="s">
        <v>2589</v>
      </c>
      <c r="E53" t="s">
        <v>2590</v>
      </c>
      <c r="F53" t="s">
        <v>2549</v>
      </c>
      <c r="N53" t="s">
        <v>11</v>
      </c>
    </row>
    <row r="54" spans="1:14" ht="18">
      <c r="B54" t="s">
        <v>2591</v>
      </c>
      <c r="C54" t="s">
        <v>2592</v>
      </c>
      <c r="E54" t="s">
        <v>2593</v>
      </c>
      <c r="F54" t="s">
        <v>2549</v>
      </c>
      <c r="N54" t="s">
        <v>11</v>
      </c>
    </row>
    <row r="55" spans="1:14" ht="18">
      <c r="B55" t="s">
        <v>2597</v>
      </c>
      <c r="C55" t="s">
        <v>2598</v>
      </c>
      <c r="E55" t="s">
        <v>2599</v>
      </c>
      <c r="F55" t="s">
        <v>2549</v>
      </c>
      <c r="N55" t="s">
        <v>11</v>
      </c>
    </row>
    <row r="56" spans="1:14" ht="18">
      <c r="B56" t="s">
        <v>2600</v>
      </c>
      <c r="C56" t="s">
        <v>2601</v>
      </c>
      <c r="E56" t="s">
        <v>2602</v>
      </c>
      <c r="F56" t="s">
        <v>2549</v>
      </c>
      <c r="N56" t="s">
        <v>11</v>
      </c>
    </row>
    <row r="57" spans="1:14" ht="18">
      <c r="A57" t="s">
        <v>378</v>
      </c>
      <c r="B57" t="s">
        <v>2640</v>
      </c>
      <c r="C57" t="s">
        <v>2637</v>
      </c>
      <c r="E57" s="24" t="s">
        <v>2639</v>
      </c>
      <c r="F57" t="s">
        <v>2549</v>
      </c>
      <c r="G57">
        <v>7.5</v>
      </c>
      <c r="H57">
        <v>20.100000000000001</v>
      </c>
      <c r="I57">
        <v>8</v>
      </c>
      <c r="J57">
        <v>35</v>
      </c>
      <c r="K57">
        <v>20</v>
      </c>
      <c r="N57" t="s">
        <v>7</v>
      </c>
    </row>
    <row r="58" spans="1:14" ht="18">
      <c r="B58" t="s">
        <v>2651</v>
      </c>
      <c r="C58" t="s">
        <v>2648</v>
      </c>
      <c r="E58" s="22" t="s">
        <v>2650</v>
      </c>
      <c r="F58" t="s">
        <v>2544</v>
      </c>
      <c r="G58" s="52">
        <v>254</v>
      </c>
      <c r="H58" s="52">
        <v>484.4</v>
      </c>
      <c r="I58" s="52">
        <v>103.3</v>
      </c>
      <c r="J58" s="52">
        <v>1214.4000000000001</v>
      </c>
      <c r="K58" s="52">
        <v>484.4</v>
      </c>
      <c r="L58" s="52"/>
      <c r="M58" s="52"/>
      <c r="N58" t="s">
        <v>7</v>
      </c>
    </row>
    <row r="59" spans="1:14" ht="18">
      <c r="B59" t="s">
        <v>2869</v>
      </c>
      <c r="C59" t="s">
        <v>2870</v>
      </c>
      <c r="E59" s="29" t="s">
        <v>2871</v>
      </c>
      <c r="F59" t="s">
        <v>2544</v>
      </c>
      <c r="G59">
        <v>31.4</v>
      </c>
      <c r="H59">
        <v>50.9</v>
      </c>
      <c r="I59">
        <v>26.8</v>
      </c>
      <c r="J59">
        <v>71.8</v>
      </c>
      <c r="K59">
        <v>50.9</v>
      </c>
      <c r="N59" t="s">
        <v>7</v>
      </c>
    </row>
    <row r="60" spans="1:14" ht="18">
      <c r="A60" t="s">
        <v>382</v>
      </c>
      <c r="B60" t="s">
        <v>2782</v>
      </c>
      <c r="C60" t="s">
        <v>2783</v>
      </c>
      <c r="E60" s="24" t="s">
        <v>2784</v>
      </c>
      <c r="F60" t="s">
        <v>2544</v>
      </c>
      <c r="G60">
        <v>15.5</v>
      </c>
      <c r="H60">
        <v>10.5</v>
      </c>
      <c r="I60">
        <v>2</v>
      </c>
      <c r="J60">
        <v>29.6</v>
      </c>
      <c r="K60">
        <v>15.5</v>
      </c>
      <c r="N60" t="s">
        <v>7</v>
      </c>
    </row>
    <row r="61" spans="1:14" ht="18">
      <c r="B61" t="s">
        <v>2806</v>
      </c>
      <c r="C61" t="s">
        <v>2804</v>
      </c>
      <c r="E61" s="22" t="s">
        <v>2543</v>
      </c>
      <c r="F61" t="s">
        <v>2544</v>
      </c>
      <c r="G61">
        <v>14.1</v>
      </c>
      <c r="H61">
        <v>7.1</v>
      </c>
      <c r="I61">
        <v>2.6</v>
      </c>
      <c r="J61">
        <v>73</v>
      </c>
      <c r="K61">
        <v>36</v>
      </c>
      <c r="N61" t="s">
        <v>7</v>
      </c>
    </row>
    <row r="62" spans="1:14" ht="18">
      <c r="B62" t="s">
        <v>2836</v>
      </c>
      <c r="C62" t="s">
        <v>2837</v>
      </c>
      <c r="E62" s="24" t="s">
        <v>2838</v>
      </c>
      <c r="F62" t="s">
        <v>2544</v>
      </c>
      <c r="G62">
        <v>89.7</v>
      </c>
      <c r="H62">
        <v>117.2</v>
      </c>
      <c r="I62">
        <v>55.3</v>
      </c>
      <c r="J62">
        <v>207</v>
      </c>
      <c r="K62">
        <v>117</v>
      </c>
      <c r="N62" t="s">
        <v>7</v>
      </c>
    </row>
    <row r="63" spans="1:14" ht="18">
      <c r="B63" t="s">
        <v>2872</v>
      </c>
      <c r="C63" t="s">
        <v>2870</v>
      </c>
      <c r="E63" s="29" t="s">
        <v>2871</v>
      </c>
      <c r="F63" t="s">
        <v>2544</v>
      </c>
      <c r="G63">
        <v>31.4</v>
      </c>
      <c r="H63">
        <v>50.9</v>
      </c>
      <c r="I63">
        <v>26.8</v>
      </c>
      <c r="J63">
        <v>71.8</v>
      </c>
      <c r="K63">
        <v>50.9</v>
      </c>
      <c r="N63" t="s">
        <v>7</v>
      </c>
    </row>
    <row r="64" spans="1:14" ht="18">
      <c r="A64" t="s">
        <v>395</v>
      </c>
      <c r="B64" t="s">
        <v>2581</v>
      </c>
      <c r="C64" t="s">
        <v>2579</v>
      </c>
      <c r="E64" s="24" t="s">
        <v>2582</v>
      </c>
      <c r="F64" t="s">
        <v>2549</v>
      </c>
      <c r="G64">
        <v>14</v>
      </c>
      <c r="H64">
        <v>35</v>
      </c>
      <c r="I64">
        <v>7</v>
      </c>
      <c r="J64">
        <v>21</v>
      </c>
      <c r="K64">
        <v>14</v>
      </c>
      <c r="N64" t="s">
        <v>7</v>
      </c>
    </row>
    <row r="65" spans="1:14" ht="18">
      <c r="A65" t="s">
        <v>405</v>
      </c>
      <c r="B65" t="s">
        <v>2722</v>
      </c>
      <c r="C65" t="s">
        <v>2713</v>
      </c>
      <c r="E65" s="22" t="s">
        <v>2714</v>
      </c>
      <c r="F65" t="s">
        <v>2549</v>
      </c>
      <c r="G65">
        <v>229</v>
      </c>
      <c r="H65">
        <v>102.8</v>
      </c>
      <c r="I65">
        <v>27.3</v>
      </c>
      <c r="J65">
        <v>472</v>
      </c>
      <c r="K65">
        <v>102.8</v>
      </c>
      <c r="N65" t="s">
        <v>7</v>
      </c>
    </row>
    <row r="66" spans="1:14" ht="18">
      <c r="B66" t="s">
        <v>2747</v>
      </c>
      <c r="C66" t="s">
        <v>2742</v>
      </c>
      <c r="E66" s="22" t="s">
        <v>2743</v>
      </c>
      <c r="F66" t="s">
        <v>2549</v>
      </c>
      <c r="G66">
        <v>6.45</v>
      </c>
      <c r="H66">
        <v>17.3</v>
      </c>
      <c r="I66">
        <v>0.7</v>
      </c>
      <c r="J66">
        <v>78.599999999999994</v>
      </c>
      <c r="K66">
        <v>17.3</v>
      </c>
      <c r="N66" t="s">
        <v>7</v>
      </c>
    </row>
    <row r="67" spans="1:14" ht="18">
      <c r="A67" t="s">
        <v>414</v>
      </c>
      <c r="B67" t="s">
        <v>2839</v>
      </c>
      <c r="C67" t="s">
        <v>2837</v>
      </c>
      <c r="E67" s="24" t="s">
        <v>2838</v>
      </c>
      <c r="F67" t="s">
        <v>2544</v>
      </c>
      <c r="G67">
        <v>89.7</v>
      </c>
      <c r="H67">
        <v>117.2</v>
      </c>
      <c r="I67">
        <v>55.3</v>
      </c>
      <c r="J67">
        <v>207</v>
      </c>
      <c r="K67">
        <v>117</v>
      </c>
      <c r="N67" t="s">
        <v>7</v>
      </c>
    </row>
    <row r="68" spans="1:14" ht="18">
      <c r="B68" t="s">
        <v>2859</v>
      </c>
      <c r="C68" t="s">
        <v>2860</v>
      </c>
      <c r="E68" s="24" t="s">
        <v>2861</v>
      </c>
      <c r="F68" t="s">
        <v>2544</v>
      </c>
      <c r="G68">
        <v>35.200000000000003</v>
      </c>
      <c r="H68">
        <v>71.8</v>
      </c>
      <c r="I68">
        <v>26.6</v>
      </c>
      <c r="J68">
        <v>115</v>
      </c>
      <c r="K68">
        <v>71.8</v>
      </c>
      <c r="N68" t="s">
        <v>7</v>
      </c>
    </row>
    <row r="69" spans="1:14" ht="18">
      <c r="A69" t="s">
        <v>418</v>
      </c>
      <c r="B69" t="s">
        <v>2790</v>
      </c>
      <c r="C69" t="s">
        <v>2786</v>
      </c>
      <c r="D69" t="s">
        <v>2791</v>
      </c>
      <c r="E69" s="29" t="s">
        <v>2788</v>
      </c>
      <c r="F69" t="s">
        <v>2549</v>
      </c>
      <c r="G69">
        <v>23</v>
      </c>
      <c r="H69">
        <v>12</v>
      </c>
      <c r="I69">
        <v>7.2</v>
      </c>
      <c r="J69">
        <v>18.2</v>
      </c>
      <c r="K69">
        <v>12</v>
      </c>
      <c r="N69" t="s">
        <v>7</v>
      </c>
    </row>
    <row r="70" spans="1:14" ht="18">
      <c r="A70" t="s">
        <v>422</v>
      </c>
      <c r="B70" t="s">
        <v>2619</v>
      </c>
      <c r="C70" t="s">
        <v>2607</v>
      </c>
      <c r="E70" s="20" t="s">
        <v>2609</v>
      </c>
      <c r="F70" t="s">
        <v>2549</v>
      </c>
      <c r="G70">
        <v>29</v>
      </c>
      <c r="H70">
        <v>66</v>
      </c>
      <c r="I70">
        <v>28</v>
      </c>
      <c r="J70">
        <v>150</v>
      </c>
      <c r="K70">
        <v>75</v>
      </c>
      <c r="N70" t="s">
        <v>7</v>
      </c>
    </row>
    <row r="71" spans="1:14" ht="18">
      <c r="A71" t="s">
        <v>426</v>
      </c>
      <c r="B71" t="s">
        <v>2620</v>
      </c>
      <c r="C71" t="s">
        <v>2607</v>
      </c>
      <c r="E71" s="20" t="s">
        <v>2609</v>
      </c>
      <c r="F71" t="s">
        <v>2549</v>
      </c>
      <c r="G71">
        <v>29</v>
      </c>
      <c r="H71">
        <v>66</v>
      </c>
      <c r="I71">
        <v>28</v>
      </c>
      <c r="J71">
        <v>150</v>
      </c>
      <c r="K71">
        <v>75</v>
      </c>
      <c r="N71" t="s">
        <v>7</v>
      </c>
    </row>
    <row r="72" spans="1:14" ht="18">
      <c r="A72" t="s">
        <v>430</v>
      </c>
      <c r="B72" t="s">
        <v>2799</v>
      </c>
      <c r="C72" t="s">
        <v>2797</v>
      </c>
      <c r="E72" s="22" t="s">
        <v>2798</v>
      </c>
      <c r="F72" t="s">
        <v>2549</v>
      </c>
      <c r="G72">
        <v>57.6</v>
      </c>
      <c r="H72">
        <v>87.3</v>
      </c>
      <c r="I72">
        <v>35.799999999999997</v>
      </c>
      <c r="J72">
        <v>204.5</v>
      </c>
      <c r="K72">
        <v>57.6</v>
      </c>
      <c r="N72" t="s">
        <v>7</v>
      </c>
    </row>
    <row r="73" spans="1:14" ht="18">
      <c r="B73" t="s">
        <v>2699</v>
      </c>
      <c r="C73" t="s">
        <v>2696</v>
      </c>
      <c r="E73" s="29" t="s">
        <v>2698</v>
      </c>
      <c r="F73" t="s">
        <v>2554</v>
      </c>
      <c r="G73">
        <v>18.399999999999999</v>
      </c>
      <c r="H73">
        <v>9.1</v>
      </c>
      <c r="I73">
        <v>8</v>
      </c>
      <c r="J73">
        <v>23</v>
      </c>
      <c r="K73">
        <v>9.1</v>
      </c>
      <c r="N73" t="s">
        <v>7</v>
      </c>
    </row>
    <row r="74" spans="1:14" ht="18">
      <c r="B74" t="s">
        <v>2824</v>
      </c>
      <c r="C74" t="s">
        <v>2825</v>
      </c>
      <c r="E74" s="24" t="s">
        <v>2826</v>
      </c>
      <c r="F74" t="s">
        <v>2544</v>
      </c>
      <c r="G74">
        <v>35</v>
      </c>
      <c r="H74">
        <v>365</v>
      </c>
      <c r="I74">
        <v>191</v>
      </c>
      <c r="J74">
        <v>1216</v>
      </c>
      <c r="K74">
        <v>560</v>
      </c>
      <c r="N74" t="s">
        <v>7</v>
      </c>
    </row>
    <row r="75" spans="1:14" ht="18">
      <c r="A75" t="s">
        <v>443</v>
      </c>
      <c r="B75" t="s">
        <v>2624</v>
      </c>
      <c r="C75" t="s">
        <v>2607</v>
      </c>
      <c r="E75" s="20" t="s">
        <v>2609</v>
      </c>
      <c r="F75" t="s">
        <v>2549</v>
      </c>
      <c r="G75">
        <v>29</v>
      </c>
      <c r="H75">
        <v>66</v>
      </c>
      <c r="I75">
        <v>28</v>
      </c>
      <c r="J75">
        <v>150</v>
      </c>
      <c r="K75">
        <v>75</v>
      </c>
      <c r="N75" t="s">
        <v>7</v>
      </c>
    </row>
    <row r="76" spans="1:14" ht="18">
      <c r="A76" t="s">
        <v>456</v>
      </c>
      <c r="B76" t="s">
        <v>2748</v>
      </c>
      <c r="C76" t="s">
        <v>2742</v>
      </c>
      <c r="E76" s="22" t="s">
        <v>2743</v>
      </c>
      <c r="F76" t="s">
        <v>2549</v>
      </c>
      <c r="G76">
        <v>6.45</v>
      </c>
      <c r="H76">
        <v>17.3</v>
      </c>
      <c r="I76">
        <v>0.7</v>
      </c>
      <c r="J76">
        <v>78.599999999999994</v>
      </c>
      <c r="K76">
        <v>17.3</v>
      </c>
      <c r="N76" t="s">
        <v>7</v>
      </c>
    </row>
    <row r="77" spans="1:14" ht="18">
      <c r="B77" t="s">
        <v>2952</v>
      </c>
      <c r="C77" t="s">
        <v>2950</v>
      </c>
      <c r="E77" s="22" t="s">
        <v>2951</v>
      </c>
      <c r="F77" t="s">
        <v>2549</v>
      </c>
      <c r="G77">
        <v>170</v>
      </c>
      <c r="H77">
        <v>133.69999999999999</v>
      </c>
      <c r="I77">
        <v>66.3</v>
      </c>
      <c r="J77">
        <v>161.6</v>
      </c>
      <c r="K77">
        <v>133.69999999999999</v>
      </c>
      <c r="N77" t="s">
        <v>7</v>
      </c>
    </row>
    <row r="78" spans="1:14" ht="18">
      <c r="A78" t="s">
        <v>460</v>
      </c>
      <c r="B78" t="s">
        <v>2634</v>
      </c>
      <c r="C78" t="s">
        <v>2629</v>
      </c>
      <c r="E78" s="22" t="s">
        <v>2631</v>
      </c>
      <c r="F78" t="s">
        <v>2544</v>
      </c>
      <c r="G78" s="52">
        <v>180.7</v>
      </c>
      <c r="H78" s="52">
        <v>84.5</v>
      </c>
      <c r="I78" s="52">
        <v>35.799999999999997</v>
      </c>
      <c r="J78" s="52">
        <v>248</v>
      </c>
      <c r="K78" s="52">
        <v>78</v>
      </c>
      <c r="L78" s="52"/>
      <c r="M78" s="52"/>
      <c r="N78" t="s">
        <v>7</v>
      </c>
    </row>
    <row r="79" spans="1:14" ht="18">
      <c r="A79" t="s">
        <v>465</v>
      </c>
      <c r="B79" t="s">
        <v>2893</v>
      </c>
      <c r="C79" t="s">
        <v>2891</v>
      </c>
      <c r="E79" s="36" t="s">
        <v>2892</v>
      </c>
      <c r="F79" t="s">
        <v>2544</v>
      </c>
      <c r="N79" t="s">
        <v>11</v>
      </c>
    </row>
    <row r="80" spans="1:14" ht="18">
      <c r="B80" t="s">
        <v>2881</v>
      </c>
      <c r="C80" t="s">
        <v>2880</v>
      </c>
      <c r="E80" s="29" t="s">
        <v>2810</v>
      </c>
      <c r="F80" t="s">
        <v>2544</v>
      </c>
      <c r="N80" t="s">
        <v>11</v>
      </c>
    </row>
    <row r="81" spans="1:14" ht="18">
      <c r="B81" t="s">
        <v>2541</v>
      </c>
      <c r="C81" t="s">
        <v>2542</v>
      </c>
      <c r="E81" s="22" t="s">
        <v>2543</v>
      </c>
      <c r="F81" t="s">
        <v>2544</v>
      </c>
      <c r="N81" t="s">
        <v>7</v>
      </c>
    </row>
    <row r="82" spans="1:14" ht="18">
      <c r="A82" t="s">
        <v>474</v>
      </c>
      <c r="B82" t="s">
        <v>2621</v>
      </c>
      <c r="C82" t="s">
        <v>2607</v>
      </c>
      <c r="E82" s="20" t="s">
        <v>2609</v>
      </c>
      <c r="F82" t="s">
        <v>2549</v>
      </c>
      <c r="G82">
        <v>29</v>
      </c>
      <c r="H82">
        <v>66</v>
      </c>
      <c r="I82">
        <v>28</v>
      </c>
      <c r="J82">
        <v>150</v>
      </c>
      <c r="K82">
        <v>75</v>
      </c>
      <c r="N82" t="s">
        <v>7</v>
      </c>
    </row>
    <row r="83" spans="1:14" ht="18">
      <c r="A83" t="s">
        <v>478</v>
      </c>
      <c r="B83" t="s">
        <v>2682</v>
      </c>
      <c r="C83" t="s">
        <v>2679</v>
      </c>
      <c r="D83" t="s">
        <v>2683</v>
      </c>
      <c r="E83" s="24" t="s">
        <v>2681</v>
      </c>
      <c r="F83" t="s">
        <v>2554</v>
      </c>
      <c r="G83">
        <v>27.6</v>
      </c>
      <c r="H83">
        <v>386</v>
      </c>
      <c r="I83">
        <v>19.8</v>
      </c>
      <c r="J83">
        <v>1000</v>
      </c>
      <c r="K83">
        <v>386</v>
      </c>
      <c r="N83" t="s">
        <v>7</v>
      </c>
    </row>
    <row r="84" spans="1:14" ht="18">
      <c r="A84" t="s">
        <v>487</v>
      </c>
      <c r="B84" t="s">
        <v>2635</v>
      </c>
      <c r="C84" t="s">
        <v>2629</v>
      </c>
      <c r="E84" s="22" t="s">
        <v>2631</v>
      </c>
      <c r="F84" t="s">
        <v>2544</v>
      </c>
      <c r="G84" s="52">
        <v>180.7</v>
      </c>
      <c r="H84" s="52">
        <v>84.5</v>
      </c>
      <c r="I84" s="52">
        <v>35.799999999999997</v>
      </c>
      <c r="J84" s="52">
        <v>248</v>
      </c>
      <c r="K84" s="52">
        <v>78</v>
      </c>
      <c r="L84" s="52"/>
      <c r="M84" s="52"/>
      <c r="N84" t="s">
        <v>7</v>
      </c>
    </row>
    <row r="85" spans="1:14" ht="18">
      <c r="A85" t="s">
        <v>504</v>
      </c>
      <c r="B85" t="s">
        <v>2538</v>
      </c>
      <c r="C85" t="s">
        <v>2539</v>
      </c>
      <c r="E85" s="22" t="s">
        <v>2540</v>
      </c>
      <c r="F85" t="s">
        <v>2537</v>
      </c>
      <c r="N85" t="s">
        <v>7</v>
      </c>
    </row>
    <row r="86" spans="1:14" ht="18">
      <c r="B86" t="s">
        <v>2534</v>
      </c>
      <c r="C86" t="s">
        <v>2535</v>
      </c>
      <c r="E86" s="22" t="s">
        <v>2536</v>
      </c>
      <c r="F86" t="s">
        <v>2537</v>
      </c>
      <c r="N86" t="s">
        <v>7</v>
      </c>
    </row>
    <row r="87" spans="1:14" ht="18">
      <c r="A87" t="s">
        <v>508</v>
      </c>
      <c r="B87" t="s">
        <v>2618</v>
      </c>
      <c r="C87" t="s">
        <v>2607</v>
      </c>
      <c r="E87" s="20" t="s">
        <v>2609</v>
      </c>
      <c r="F87" t="s">
        <v>2549</v>
      </c>
      <c r="G87">
        <v>29</v>
      </c>
      <c r="H87">
        <v>66</v>
      </c>
      <c r="I87">
        <v>28</v>
      </c>
      <c r="J87">
        <v>150</v>
      </c>
      <c r="K87">
        <v>75</v>
      </c>
      <c r="N87" t="s">
        <v>7</v>
      </c>
    </row>
    <row r="88" spans="1:14" ht="18">
      <c r="A88" t="s">
        <v>518</v>
      </c>
      <c r="B88" t="s">
        <v>2721</v>
      </c>
      <c r="C88" t="s">
        <v>2713</v>
      </c>
      <c r="E88" s="22" t="s">
        <v>2714</v>
      </c>
      <c r="F88" t="s">
        <v>2549</v>
      </c>
      <c r="G88">
        <v>229</v>
      </c>
      <c r="H88">
        <v>102.8</v>
      </c>
      <c r="I88">
        <v>27.3</v>
      </c>
      <c r="J88">
        <v>472</v>
      </c>
      <c r="K88">
        <v>102.8</v>
      </c>
      <c r="N88" t="s">
        <v>7</v>
      </c>
    </row>
    <row r="89" spans="1:14" ht="18">
      <c r="B89" t="s">
        <v>2777</v>
      </c>
      <c r="C89" t="s">
        <v>2771</v>
      </c>
      <c r="E89" s="22" t="s">
        <v>2775</v>
      </c>
      <c r="F89" t="s">
        <v>2554</v>
      </c>
      <c r="G89">
        <v>174</v>
      </c>
      <c r="H89">
        <v>187</v>
      </c>
      <c r="I89">
        <v>77</v>
      </c>
      <c r="J89">
        <v>425</v>
      </c>
      <c r="K89">
        <v>191</v>
      </c>
      <c r="N89" t="s">
        <v>7</v>
      </c>
    </row>
    <row r="90" spans="1:14" ht="18">
      <c r="A90" t="s">
        <v>526</v>
      </c>
      <c r="B90" t="s">
        <v>2746</v>
      </c>
      <c r="C90" t="s">
        <v>2742</v>
      </c>
      <c r="E90" s="22" t="s">
        <v>2743</v>
      </c>
      <c r="F90" t="s">
        <v>2549</v>
      </c>
      <c r="G90">
        <v>6.45</v>
      </c>
      <c r="H90">
        <v>17.3</v>
      </c>
      <c r="I90">
        <v>0.7</v>
      </c>
      <c r="J90">
        <v>78.599999999999994</v>
      </c>
      <c r="K90">
        <v>17.3</v>
      </c>
      <c r="N90" t="s">
        <v>7</v>
      </c>
    </row>
    <row r="91" spans="1:14" ht="18">
      <c r="B91" t="s">
        <v>2776</v>
      </c>
      <c r="C91" t="s">
        <v>2771</v>
      </c>
      <c r="E91" s="22" t="s">
        <v>2775</v>
      </c>
      <c r="F91" t="s">
        <v>2554</v>
      </c>
      <c r="G91">
        <v>174</v>
      </c>
      <c r="H91">
        <v>187</v>
      </c>
      <c r="I91">
        <v>77</v>
      </c>
      <c r="J91">
        <v>425</v>
      </c>
      <c r="K91">
        <v>191</v>
      </c>
      <c r="N91" t="s">
        <v>7</v>
      </c>
    </row>
    <row r="92" spans="1:14" ht="18">
      <c r="B92" t="s">
        <v>2866</v>
      </c>
      <c r="C92" t="s">
        <v>2867</v>
      </c>
      <c r="E92" s="22" t="s">
        <v>2868</v>
      </c>
      <c r="F92" t="s">
        <v>2544</v>
      </c>
      <c r="G92">
        <v>33.299999999999997</v>
      </c>
      <c r="H92">
        <v>40.9</v>
      </c>
      <c r="I92">
        <v>15.6</v>
      </c>
      <c r="J92">
        <v>94.5</v>
      </c>
      <c r="K92">
        <v>40.9</v>
      </c>
      <c r="N92" t="s">
        <v>7</v>
      </c>
    </row>
    <row r="93" spans="1:14" ht="18">
      <c r="A93" t="s">
        <v>535</v>
      </c>
      <c r="B93" t="s">
        <v>2577</v>
      </c>
      <c r="C93" t="s">
        <v>2573</v>
      </c>
      <c r="E93" s="24" t="s">
        <v>2574</v>
      </c>
      <c r="F93" t="s">
        <v>2549</v>
      </c>
      <c r="G93">
        <v>12.1</v>
      </c>
      <c r="H93">
        <v>10.6</v>
      </c>
      <c r="I93">
        <v>3.4</v>
      </c>
      <c r="J93">
        <v>29</v>
      </c>
      <c r="K93">
        <v>14</v>
      </c>
      <c r="N93" t="s">
        <v>7</v>
      </c>
    </row>
    <row r="94" spans="1:14" ht="18">
      <c r="A94" t="s">
        <v>556</v>
      </c>
      <c r="B94" t="s">
        <v>2923</v>
      </c>
      <c r="C94" t="s">
        <v>2916</v>
      </c>
      <c r="E94" s="22" t="s">
        <v>2917</v>
      </c>
      <c r="F94" t="s">
        <v>2549</v>
      </c>
      <c r="G94">
        <v>21.8</v>
      </c>
      <c r="H94">
        <v>72</v>
      </c>
      <c r="I94">
        <v>38.200000000000003</v>
      </c>
      <c r="J94">
        <v>167</v>
      </c>
      <c r="K94">
        <v>72</v>
      </c>
      <c r="N94" t="s">
        <v>7</v>
      </c>
    </row>
    <row r="95" spans="1:14" ht="18">
      <c r="A95" t="s">
        <v>578</v>
      </c>
      <c r="B95" t="s">
        <v>2575</v>
      </c>
      <c r="C95" t="s">
        <v>2573</v>
      </c>
      <c r="D95" t="s">
        <v>2576</v>
      </c>
      <c r="E95" s="24" t="s">
        <v>2574</v>
      </c>
      <c r="F95" t="s">
        <v>2549</v>
      </c>
      <c r="G95">
        <v>12.1</v>
      </c>
      <c r="H95">
        <v>10.6</v>
      </c>
      <c r="I95">
        <v>3.4</v>
      </c>
      <c r="J95">
        <v>29</v>
      </c>
      <c r="K95">
        <v>14</v>
      </c>
      <c r="N95" t="s">
        <v>7</v>
      </c>
    </row>
    <row r="96" spans="1:14" ht="18">
      <c r="A96" t="s">
        <v>586</v>
      </c>
      <c r="B96" t="s">
        <v>2924</v>
      </c>
      <c r="C96" t="s">
        <v>2925</v>
      </c>
      <c r="E96" t="s">
        <v>2926</v>
      </c>
      <c r="F96" t="s">
        <v>2554</v>
      </c>
      <c r="G96">
        <v>39</v>
      </c>
      <c r="H96">
        <v>121</v>
      </c>
      <c r="I96">
        <v>34</v>
      </c>
      <c r="J96">
        <v>233</v>
      </c>
      <c r="K96">
        <v>50</v>
      </c>
      <c r="N96" t="s">
        <v>7</v>
      </c>
    </row>
    <row r="97" spans="1:14" ht="18">
      <c r="A97" t="s">
        <v>610</v>
      </c>
      <c r="B97" t="s">
        <v>2692</v>
      </c>
      <c r="C97" t="s">
        <v>2693</v>
      </c>
      <c r="E97" t="s">
        <v>2694</v>
      </c>
      <c r="F97" t="s">
        <v>2537</v>
      </c>
      <c r="N97" t="s">
        <v>7</v>
      </c>
    </row>
    <row r="98" spans="1:14" ht="18">
      <c r="A98" t="s">
        <v>614</v>
      </c>
      <c r="B98" t="s">
        <v>2844</v>
      </c>
      <c r="C98" t="s">
        <v>2845</v>
      </c>
      <c r="E98" s="22" t="s">
        <v>2846</v>
      </c>
      <c r="F98" t="s">
        <v>2554</v>
      </c>
      <c r="G98">
        <v>63</v>
      </c>
      <c r="H98">
        <v>40</v>
      </c>
      <c r="I98">
        <v>14</v>
      </c>
      <c r="J98">
        <v>63</v>
      </c>
      <c r="K98">
        <v>63</v>
      </c>
      <c r="N98" t="s">
        <v>7</v>
      </c>
    </row>
    <row r="99" spans="1:14" ht="18">
      <c r="B99" t="s">
        <v>2912</v>
      </c>
      <c r="C99" t="s">
        <v>2913</v>
      </c>
      <c r="E99" s="22" t="s">
        <v>2914</v>
      </c>
      <c r="F99" t="s">
        <v>2554</v>
      </c>
      <c r="G99">
        <v>12</v>
      </c>
      <c r="H99">
        <v>5</v>
      </c>
      <c r="K99">
        <v>8</v>
      </c>
      <c r="N99" t="s">
        <v>7</v>
      </c>
    </row>
    <row r="100" spans="1:14" ht="18">
      <c r="A100" t="s">
        <v>618</v>
      </c>
      <c r="B100" t="s">
        <v>2890</v>
      </c>
      <c r="C100" t="s">
        <v>2891</v>
      </c>
      <c r="E100" s="22" t="s">
        <v>2892</v>
      </c>
      <c r="F100" t="s">
        <v>2544</v>
      </c>
      <c r="N100" t="s">
        <v>7</v>
      </c>
    </row>
    <row r="101" spans="1:14" ht="18">
      <c r="B101" t="s">
        <v>2879</v>
      </c>
      <c r="C101" t="s">
        <v>2880</v>
      </c>
      <c r="E101" s="22" t="s">
        <v>2810</v>
      </c>
      <c r="F101" t="s">
        <v>2544</v>
      </c>
      <c r="N101" t="s">
        <v>7</v>
      </c>
    </row>
    <row r="102" spans="1:14" ht="18">
      <c r="A102" t="s">
        <v>622</v>
      </c>
      <c r="B102" t="s">
        <v>2937</v>
      </c>
      <c r="C102" t="s">
        <v>2938</v>
      </c>
      <c r="E102" t="s">
        <v>2939</v>
      </c>
      <c r="F102" t="s">
        <v>2549</v>
      </c>
      <c r="G102">
        <v>38.5</v>
      </c>
      <c r="H102">
        <v>59.1</v>
      </c>
      <c r="I102">
        <v>20.7</v>
      </c>
      <c r="J102">
        <v>118</v>
      </c>
      <c r="K102">
        <v>59.1</v>
      </c>
      <c r="N102" t="s">
        <v>7</v>
      </c>
    </row>
    <row r="103" spans="1:14" ht="18">
      <c r="A103" t="s">
        <v>634</v>
      </c>
      <c r="B103" t="s">
        <v>2752</v>
      </c>
      <c r="C103" t="s">
        <v>2750</v>
      </c>
      <c r="D103" t="s">
        <v>2751</v>
      </c>
      <c r="E103" s="22" t="s">
        <v>2643</v>
      </c>
      <c r="F103" t="s">
        <v>2554</v>
      </c>
      <c r="N103" t="s">
        <v>7</v>
      </c>
    </row>
    <row r="104" spans="1:14" ht="18">
      <c r="A104" t="s">
        <v>644</v>
      </c>
      <c r="B104" t="s">
        <v>2774</v>
      </c>
      <c r="C104" t="s">
        <v>2771</v>
      </c>
      <c r="E104" s="22" t="s">
        <v>2775</v>
      </c>
      <c r="F104" t="s">
        <v>2554</v>
      </c>
      <c r="G104">
        <v>174</v>
      </c>
      <c r="H104">
        <v>187</v>
      </c>
      <c r="I104">
        <v>77</v>
      </c>
      <c r="J104">
        <v>425</v>
      </c>
      <c r="K104">
        <v>191</v>
      </c>
      <c r="N104" t="s">
        <v>7</v>
      </c>
    </row>
    <row r="105" spans="1:14" ht="18">
      <c r="A105" t="s">
        <v>658</v>
      </c>
      <c r="B105" t="s">
        <v>2720</v>
      </c>
      <c r="C105" t="s">
        <v>2713</v>
      </c>
      <c r="E105" s="22" t="s">
        <v>2714</v>
      </c>
      <c r="F105" t="s">
        <v>2549</v>
      </c>
      <c r="G105">
        <v>229</v>
      </c>
      <c r="H105">
        <v>102.8</v>
      </c>
      <c r="I105">
        <v>27.3</v>
      </c>
      <c r="J105">
        <v>472</v>
      </c>
      <c r="K105">
        <v>102.8</v>
      </c>
      <c r="N105" t="s">
        <v>7</v>
      </c>
    </row>
    <row r="106" spans="1:14" ht="18">
      <c r="B106" t="s">
        <v>2922</v>
      </c>
      <c r="C106" t="s">
        <v>2916</v>
      </c>
      <c r="E106" s="22" t="s">
        <v>2917</v>
      </c>
      <c r="F106" t="s">
        <v>2549</v>
      </c>
      <c r="G106">
        <v>21.8</v>
      </c>
      <c r="H106">
        <v>72</v>
      </c>
      <c r="I106">
        <v>38.200000000000003</v>
      </c>
      <c r="J106">
        <v>167</v>
      </c>
      <c r="K106">
        <v>72</v>
      </c>
      <c r="N106" t="s">
        <v>7</v>
      </c>
    </row>
    <row r="107" spans="1:14" ht="18">
      <c r="A107" t="s">
        <v>662</v>
      </c>
      <c r="B107" t="s">
        <v>2568</v>
      </c>
      <c r="C107" t="s">
        <v>2562</v>
      </c>
      <c r="D107" t="s">
        <v>2563</v>
      </c>
      <c r="E107" s="20" t="s">
        <v>2564</v>
      </c>
      <c r="F107" t="s">
        <v>2549</v>
      </c>
      <c r="G107">
        <v>25</v>
      </c>
      <c r="H107">
        <v>12.7</v>
      </c>
      <c r="I107">
        <v>3.12</v>
      </c>
      <c r="J107">
        <v>34.9</v>
      </c>
      <c r="K107">
        <v>12.7</v>
      </c>
      <c r="N107" t="s">
        <v>7</v>
      </c>
    </row>
    <row r="108" spans="1:14" ht="18">
      <c r="B108" t="s">
        <v>2811</v>
      </c>
      <c r="C108" t="s">
        <v>2808</v>
      </c>
      <c r="E108" s="22" t="s">
        <v>2810</v>
      </c>
      <c r="F108" t="s">
        <v>2544</v>
      </c>
      <c r="G108">
        <v>14.1</v>
      </c>
      <c r="H108">
        <v>6.64</v>
      </c>
      <c r="I108">
        <v>2.38</v>
      </c>
      <c r="J108">
        <v>73.099999999999994</v>
      </c>
      <c r="K108">
        <v>6.64</v>
      </c>
      <c r="N108" t="s">
        <v>7</v>
      </c>
    </row>
    <row r="109" spans="1:14" ht="18">
      <c r="A109" t="s">
        <v>670</v>
      </c>
      <c r="B109" t="s">
        <v>2633</v>
      </c>
      <c r="C109" t="s">
        <v>2629</v>
      </c>
      <c r="E109" s="22" t="s">
        <v>2631</v>
      </c>
      <c r="F109" t="s">
        <v>2544</v>
      </c>
      <c r="G109" s="52">
        <v>180.7</v>
      </c>
      <c r="H109" s="52">
        <v>84.5</v>
      </c>
      <c r="I109" s="52">
        <v>35.799999999999997</v>
      </c>
      <c r="J109" s="52">
        <v>248</v>
      </c>
      <c r="K109" s="52">
        <v>78</v>
      </c>
      <c r="L109" s="52"/>
      <c r="M109" s="52"/>
      <c r="N109" t="s">
        <v>7</v>
      </c>
    </row>
    <row r="110" spans="1:14" ht="18">
      <c r="A110" t="s">
        <v>695</v>
      </c>
      <c r="B110" t="s">
        <v>2763</v>
      </c>
      <c r="C110" t="s">
        <v>2764</v>
      </c>
      <c r="E110" t="s">
        <v>2765</v>
      </c>
      <c r="F110" t="s">
        <v>2549</v>
      </c>
      <c r="G110">
        <v>4.3</v>
      </c>
      <c r="H110">
        <v>94.3</v>
      </c>
      <c r="I110">
        <v>43</v>
      </c>
      <c r="J110">
        <v>223</v>
      </c>
      <c r="K110">
        <v>60</v>
      </c>
      <c r="N110" t="s">
        <v>7</v>
      </c>
    </row>
    <row r="111" spans="1:14" ht="18">
      <c r="A111" t="s">
        <v>705</v>
      </c>
      <c r="B111" t="s">
        <v>2900</v>
      </c>
      <c r="C111" t="s">
        <v>2895</v>
      </c>
      <c r="E111" t="s">
        <v>2899</v>
      </c>
      <c r="F111" t="s">
        <v>2549</v>
      </c>
      <c r="N111" t="s">
        <v>7</v>
      </c>
    </row>
    <row r="112" spans="1:14" ht="18">
      <c r="A112" t="s">
        <v>713</v>
      </c>
      <c r="B112" t="s">
        <v>2567</v>
      </c>
      <c r="C112" t="s">
        <v>2562</v>
      </c>
      <c r="D112" t="s">
        <v>2563</v>
      </c>
      <c r="E112" t="s">
        <v>2564</v>
      </c>
      <c r="F112" t="s">
        <v>2549</v>
      </c>
      <c r="G112">
        <v>25</v>
      </c>
      <c r="H112">
        <v>12.7</v>
      </c>
      <c r="I112">
        <v>3.12</v>
      </c>
      <c r="J112">
        <v>34.9</v>
      </c>
      <c r="K112">
        <v>12.7</v>
      </c>
      <c r="N112" t="s">
        <v>7</v>
      </c>
    </row>
    <row r="113" spans="1:14" ht="18">
      <c r="A113" t="s">
        <v>717</v>
      </c>
      <c r="B113" t="s">
        <v>2569</v>
      </c>
      <c r="C113" t="s">
        <v>2570</v>
      </c>
      <c r="E113" t="s">
        <v>2571</v>
      </c>
      <c r="F113" t="s">
        <v>2554</v>
      </c>
      <c r="G113">
        <v>3</v>
      </c>
      <c r="H113">
        <v>1.6</v>
      </c>
      <c r="I113">
        <v>0.8</v>
      </c>
      <c r="J113">
        <v>5.4</v>
      </c>
      <c r="K113">
        <v>1.6</v>
      </c>
      <c r="N113" t="s">
        <v>7</v>
      </c>
    </row>
    <row r="114" spans="1:14" ht="18">
      <c r="A114" t="s">
        <v>721</v>
      </c>
      <c r="B114" t="s">
        <v>2632</v>
      </c>
      <c r="C114" t="s">
        <v>2629</v>
      </c>
      <c r="E114" t="s">
        <v>2631</v>
      </c>
      <c r="F114" t="s">
        <v>2544</v>
      </c>
      <c r="G114" s="52">
        <v>180.7</v>
      </c>
      <c r="H114" s="52">
        <v>84.5</v>
      </c>
      <c r="I114" s="52">
        <v>35.799999999999997</v>
      </c>
      <c r="J114" s="52">
        <v>248</v>
      </c>
      <c r="K114" s="52">
        <v>78</v>
      </c>
      <c r="L114" s="52"/>
      <c r="M114" s="52"/>
      <c r="N114" t="s">
        <v>7</v>
      </c>
    </row>
    <row r="115" spans="1:14" ht="18">
      <c r="A115" t="s">
        <v>733</v>
      </c>
      <c r="B115" t="s">
        <v>2753</v>
      </c>
      <c r="C115" t="s">
        <v>2754</v>
      </c>
      <c r="E115" t="s">
        <v>2755</v>
      </c>
      <c r="F115" t="s">
        <v>2549</v>
      </c>
      <c r="H115">
        <v>90</v>
      </c>
      <c r="I115" s="31">
        <v>30</v>
      </c>
      <c r="J115" s="31">
        <v>180</v>
      </c>
      <c r="K115">
        <v>105</v>
      </c>
      <c r="N115" t="s">
        <v>7</v>
      </c>
    </row>
    <row r="116" spans="1:14" ht="18">
      <c r="A116" t="s">
        <v>741</v>
      </c>
      <c r="B116" t="s">
        <v>2949</v>
      </c>
      <c r="C116" t="s">
        <v>2950</v>
      </c>
      <c r="E116" t="s">
        <v>2951</v>
      </c>
      <c r="F116" t="s">
        <v>2549</v>
      </c>
      <c r="G116">
        <v>170</v>
      </c>
      <c r="H116">
        <v>133.69999999999999</v>
      </c>
      <c r="I116">
        <v>66.3</v>
      </c>
      <c r="J116">
        <v>161.6</v>
      </c>
      <c r="K116">
        <v>133.69999999999999</v>
      </c>
      <c r="N116" t="s">
        <v>7</v>
      </c>
    </row>
    <row r="117" spans="1:14" ht="18">
      <c r="A117" t="s">
        <v>749</v>
      </c>
      <c r="B117" t="s">
        <v>2921</v>
      </c>
      <c r="C117" t="s">
        <v>2916</v>
      </c>
      <c r="E117" t="s">
        <v>2917</v>
      </c>
      <c r="F117" t="s">
        <v>2549</v>
      </c>
      <c r="G117">
        <v>21.8</v>
      </c>
      <c r="H117">
        <v>72</v>
      </c>
      <c r="I117">
        <v>38.200000000000003</v>
      </c>
      <c r="J117">
        <v>167</v>
      </c>
      <c r="K117">
        <v>72</v>
      </c>
      <c r="N117" t="s">
        <v>7</v>
      </c>
    </row>
    <row r="118" spans="1:14" ht="18">
      <c r="A118" t="s">
        <v>753</v>
      </c>
      <c r="B118" t="s">
        <v>2920</v>
      </c>
      <c r="C118" t="s">
        <v>2916</v>
      </c>
      <c r="E118" t="s">
        <v>2917</v>
      </c>
      <c r="F118" t="s">
        <v>2549</v>
      </c>
      <c r="G118">
        <v>21.8</v>
      </c>
      <c r="H118">
        <v>72</v>
      </c>
      <c r="I118">
        <v>38.200000000000003</v>
      </c>
      <c r="J118">
        <v>167</v>
      </c>
      <c r="K118">
        <v>72</v>
      </c>
      <c r="N118" t="s">
        <v>7</v>
      </c>
    </row>
    <row r="119" spans="1:14" ht="18">
      <c r="A119" t="s">
        <v>756</v>
      </c>
      <c r="B119" t="s">
        <v>2625</v>
      </c>
      <c r="C119" t="s">
        <v>2626</v>
      </c>
      <c r="E119" t="s">
        <v>2627</v>
      </c>
      <c r="F119" t="s">
        <v>2549</v>
      </c>
      <c r="G119">
        <v>3.5</v>
      </c>
      <c r="H119">
        <v>64.2</v>
      </c>
      <c r="I119">
        <v>17.3</v>
      </c>
      <c r="J119">
        <v>133</v>
      </c>
      <c r="K119">
        <v>64</v>
      </c>
      <c r="N119" t="s">
        <v>7</v>
      </c>
    </row>
    <row r="120" spans="1:14" ht="18">
      <c r="A120" t="s">
        <v>765</v>
      </c>
      <c r="B120" t="s">
        <v>2723</v>
      </c>
      <c r="C120" t="s">
        <v>2724</v>
      </c>
      <c r="E120" t="s">
        <v>2725</v>
      </c>
      <c r="F120" t="s">
        <v>2554</v>
      </c>
      <c r="G120">
        <v>86</v>
      </c>
      <c r="H120">
        <v>39</v>
      </c>
      <c r="I120">
        <v>28</v>
      </c>
      <c r="J120">
        <v>50</v>
      </c>
      <c r="K120">
        <v>50</v>
      </c>
      <c r="N120" t="s">
        <v>7</v>
      </c>
    </row>
    <row r="121" spans="1:14" ht="18">
      <c r="A121" t="s">
        <v>768</v>
      </c>
      <c r="B121" t="s">
        <v>2578</v>
      </c>
      <c r="C121" t="s">
        <v>2579</v>
      </c>
      <c r="E121" t="s">
        <v>2580</v>
      </c>
      <c r="F121" t="s">
        <v>2549</v>
      </c>
      <c r="G121">
        <v>14</v>
      </c>
      <c r="H121">
        <v>35</v>
      </c>
      <c r="I121">
        <v>7</v>
      </c>
      <c r="J121">
        <v>21</v>
      </c>
      <c r="K121">
        <v>14</v>
      </c>
      <c r="N121" t="s">
        <v>7</v>
      </c>
    </row>
    <row r="122" spans="1:14" ht="18">
      <c r="B122" t="s">
        <v>2805</v>
      </c>
      <c r="C122" t="s">
        <v>2804</v>
      </c>
      <c r="E122" t="s">
        <v>2543</v>
      </c>
      <c r="F122" t="s">
        <v>2544</v>
      </c>
      <c r="G122">
        <v>14.1</v>
      </c>
      <c r="H122">
        <v>7.1</v>
      </c>
      <c r="I122">
        <v>2.6</v>
      </c>
      <c r="J122">
        <v>73</v>
      </c>
      <c r="K122">
        <v>36</v>
      </c>
      <c r="N122" t="s">
        <v>7</v>
      </c>
    </row>
    <row r="123" spans="1:14" ht="18">
      <c r="A123" t="s">
        <v>776</v>
      </c>
      <c r="B123" t="s">
        <v>2709</v>
      </c>
      <c r="C123" t="s">
        <v>2710</v>
      </c>
      <c r="E123" t="s">
        <v>2711</v>
      </c>
      <c r="F123" t="s">
        <v>2544</v>
      </c>
      <c r="G123">
        <v>35</v>
      </c>
      <c r="H123">
        <v>10.5</v>
      </c>
      <c r="I123">
        <v>2.6</v>
      </c>
      <c r="J123">
        <v>33.299999999999997</v>
      </c>
      <c r="K123">
        <v>10.5</v>
      </c>
      <c r="N123" t="s">
        <v>7</v>
      </c>
    </row>
    <row r="124" spans="1:14" ht="18">
      <c r="A124" t="s">
        <v>780</v>
      </c>
      <c r="B124" t="s">
        <v>2726</v>
      </c>
      <c r="C124" t="s">
        <v>2727</v>
      </c>
      <c r="D124" t="s">
        <v>2728</v>
      </c>
      <c r="E124" t="s">
        <v>2729</v>
      </c>
      <c r="F124" t="s">
        <v>2554</v>
      </c>
      <c r="H124">
        <v>2.7</v>
      </c>
      <c r="I124">
        <v>0.04</v>
      </c>
      <c r="J124">
        <v>1.98</v>
      </c>
      <c r="K124">
        <v>2.7</v>
      </c>
      <c r="N124" t="s">
        <v>7</v>
      </c>
    </row>
    <row r="125" spans="1:14" ht="18">
      <c r="B125" t="s">
        <v>2695</v>
      </c>
      <c r="C125" t="s">
        <v>2696</v>
      </c>
      <c r="D125" t="s">
        <v>2697</v>
      </c>
      <c r="E125" t="s">
        <v>2698</v>
      </c>
      <c r="F125" t="s">
        <v>2554</v>
      </c>
      <c r="G125">
        <v>18.399999999999999</v>
      </c>
      <c r="H125">
        <v>9.1</v>
      </c>
      <c r="I125">
        <v>8</v>
      </c>
      <c r="J125">
        <v>23</v>
      </c>
      <c r="K125">
        <v>9.1</v>
      </c>
      <c r="N125" t="s">
        <v>7</v>
      </c>
    </row>
    <row r="126" spans="1:14" ht="18">
      <c r="B126" t="s">
        <v>2707</v>
      </c>
      <c r="C126" t="s">
        <v>2704</v>
      </c>
      <c r="D126" t="s">
        <v>2708</v>
      </c>
      <c r="E126" t="s">
        <v>2706</v>
      </c>
      <c r="F126" t="s">
        <v>2554</v>
      </c>
      <c r="G126">
        <v>7.2</v>
      </c>
      <c r="H126">
        <v>2.5</v>
      </c>
      <c r="I126">
        <v>2.1</v>
      </c>
      <c r="J126">
        <v>4.3</v>
      </c>
      <c r="K126">
        <v>2.5</v>
      </c>
      <c r="N126" t="s">
        <v>7</v>
      </c>
    </row>
    <row r="127" spans="1:14" ht="18">
      <c r="A127" t="s">
        <v>784</v>
      </c>
      <c r="B127" t="s">
        <v>2792</v>
      </c>
      <c r="C127" t="s">
        <v>2793</v>
      </c>
      <c r="D127" t="s">
        <v>2794</v>
      </c>
      <c r="E127" t="s">
        <v>2795</v>
      </c>
      <c r="F127" t="s">
        <v>2554</v>
      </c>
      <c r="G127">
        <v>148</v>
      </c>
      <c r="H127">
        <v>980</v>
      </c>
      <c r="K127">
        <v>980</v>
      </c>
      <c r="N127" t="s">
        <v>7</v>
      </c>
    </row>
    <row r="128" spans="1:14" ht="18">
      <c r="A128" t="s">
        <v>788</v>
      </c>
      <c r="B128" t="s">
        <v>2749</v>
      </c>
      <c r="C128" t="s">
        <v>2750</v>
      </c>
      <c r="D128" t="s">
        <v>2751</v>
      </c>
      <c r="E128" t="s">
        <v>2643</v>
      </c>
      <c r="F128" t="s">
        <v>2554</v>
      </c>
      <c r="N128" t="s">
        <v>7</v>
      </c>
    </row>
    <row r="129" spans="1:14" ht="18">
      <c r="A129" t="s">
        <v>792</v>
      </c>
      <c r="B129" t="s">
        <v>2684</v>
      </c>
      <c r="C129" t="s">
        <v>2685</v>
      </c>
      <c r="D129" t="s">
        <v>2686</v>
      </c>
      <c r="E129" t="s">
        <v>2687</v>
      </c>
      <c r="F129" t="s">
        <v>2554</v>
      </c>
      <c r="H129" s="31">
        <v>10.3</v>
      </c>
      <c r="I129" s="31">
        <v>9</v>
      </c>
      <c r="J129" s="31">
        <v>14</v>
      </c>
      <c r="K129" s="31">
        <v>10.3</v>
      </c>
      <c r="L129" s="31"/>
      <c r="M129" s="31"/>
      <c r="N129" t="s">
        <v>7</v>
      </c>
    </row>
    <row r="130" spans="1:14" ht="18">
      <c r="B130" t="s">
        <v>2934</v>
      </c>
      <c r="C130" t="s">
        <v>2935</v>
      </c>
      <c r="D130" t="s">
        <v>2936</v>
      </c>
      <c r="E130" t="s">
        <v>2536</v>
      </c>
      <c r="F130" t="s">
        <v>2554</v>
      </c>
      <c r="H130" s="31">
        <v>10.3</v>
      </c>
      <c r="I130" s="31">
        <v>9</v>
      </c>
      <c r="J130" s="31">
        <v>14</v>
      </c>
      <c r="K130" s="31">
        <v>10.3</v>
      </c>
      <c r="L130" s="31"/>
      <c r="M130" s="31"/>
      <c r="N130" t="s">
        <v>7</v>
      </c>
    </row>
    <row r="131" spans="1:14" ht="18">
      <c r="B131" t="s">
        <v>2671</v>
      </c>
      <c r="C131" t="s">
        <v>2672</v>
      </c>
      <c r="D131" t="s">
        <v>2673</v>
      </c>
      <c r="E131" t="s">
        <v>2674</v>
      </c>
      <c r="F131" t="s">
        <v>2544</v>
      </c>
      <c r="N131" t="s">
        <v>7</v>
      </c>
    </row>
    <row r="132" spans="1:14" ht="18">
      <c r="A132" t="s">
        <v>796</v>
      </c>
      <c r="B132" t="s">
        <v>2688</v>
      </c>
      <c r="C132" t="s">
        <v>2689</v>
      </c>
      <c r="D132" t="s">
        <v>2690</v>
      </c>
      <c r="E132" t="s">
        <v>2691</v>
      </c>
      <c r="F132" t="s">
        <v>2554</v>
      </c>
      <c r="G132">
        <v>21.9</v>
      </c>
      <c r="H132">
        <v>22.1</v>
      </c>
      <c r="I132">
        <v>2.4</v>
      </c>
      <c r="J132">
        <v>58.3</v>
      </c>
      <c r="K132">
        <v>22.1</v>
      </c>
      <c r="N132" t="s">
        <v>7</v>
      </c>
    </row>
    <row r="133" spans="1:14" ht="18">
      <c r="B133" t="s">
        <v>2678</v>
      </c>
      <c r="C133" t="s">
        <v>2679</v>
      </c>
      <c r="D133" t="s">
        <v>2680</v>
      </c>
      <c r="E133" t="s">
        <v>2681</v>
      </c>
      <c r="F133" t="s">
        <v>2554</v>
      </c>
      <c r="G133">
        <v>27.6</v>
      </c>
      <c r="H133">
        <v>386</v>
      </c>
      <c r="I133">
        <v>19.8</v>
      </c>
      <c r="J133">
        <v>1000</v>
      </c>
      <c r="K133">
        <v>386</v>
      </c>
      <c r="N133" t="s">
        <v>7</v>
      </c>
    </row>
    <row r="134" spans="1:14" ht="18">
      <c r="A134" t="s">
        <v>801</v>
      </c>
      <c r="B134" t="s">
        <v>2644</v>
      </c>
      <c r="C134" t="s">
        <v>2645</v>
      </c>
      <c r="E134" t="s">
        <v>2646</v>
      </c>
      <c r="F134" t="s">
        <v>2549</v>
      </c>
      <c r="G134">
        <v>6.3</v>
      </c>
      <c r="H134">
        <v>12.8</v>
      </c>
      <c r="I134">
        <v>6</v>
      </c>
      <c r="J134">
        <v>19.600000000000001</v>
      </c>
      <c r="K134">
        <v>13</v>
      </c>
      <c r="N134" t="s">
        <v>7</v>
      </c>
    </row>
    <row r="135" spans="1:14" ht="18">
      <c r="A135" t="s">
        <v>809</v>
      </c>
      <c r="B135" t="s">
        <v>2821</v>
      </c>
      <c r="C135" t="s">
        <v>2816</v>
      </c>
      <c r="D135" t="s">
        <v>2822</v>
      </c>
      <c r="E135" t="s">
        <v>2817</v>
      </c>
      <c r="F135" t="s">
        <v>2549</v>
      </c>
      <c r="G135">
        <v>19</v>
      </c>
      <c r="H135">
        <v>6.99</v>
      </c>
      <c r="I135">
        <v>5.98</v>
      </c>
      <c r="J135">
        <v>7.76</v>
      </c>
      <c r="K135">
        <v>6.99</v>
      </c>
      <c r="N135" t="s">
        <v>7</v>
      </c>
    </row>
    <row r="136" spans="1:14" ht="18">
      <c r="B136" t="s">
        <v>2656</v>
      </c>
      <c r="C136" t="s">
        <v>2657</v>
      </c>
      <c r="D136" t="s">
        <v>2658</v>
      </c>
      <c r="E136" t="s">
        <v>2659</v>
      </c>
      <c r="F136" t="s">
        <v>2554</v>
      </c>
      <c r="G136">
        <v>29.1</v>
      </c>
      <c r="H136">
        <v>55.4</v>
      </c>
      <c r="I136">
        <v>24.7</v>
      </c>
      <c r="J136">
        <v>99</v>
      </c>
      <c r="K136">
        <v>55.4</v>
      </c>
      <c r="N136" t="s">
        <v>7</v>
      </c>
    </row>
    <row r="137" spans="1:14" ht="18">
      <c r="B137" t="s">
        <v>2807</v>
      </c>
      <c r="C137" t="s">
        <v>2808</v>
      </c>
      <c r="D137" t="s">
        <v>2809</v>
      </c>
      <c r="E137" t="s">
        <v>2810</v>
      </c>
      <c r="F137" t="s">
        <v>2544</v>
      </c>
      <c r="G137">
        <v>14.1</v>
      </c>
      <c r="H137">
        <v>6.64</v>
      </c>
      <c r="I137">
        <v>2.38</v>
      </c>
      <c r="J137">
        <v>73.099999999999994</v>
      </c>
      <c r="K137">
        <v>6.64</v>
      </c>
      <c r="N137" t="s">
        <v>7</v>
      </c>
    </row>
    <row r="138" spans="1:14" ht="18">
      <c r="B138" t="s">
        <v>2628</v>
      </c>
      <c r="C138" t="s">
        <v>2629</v>
      </c>
      <c r="D138" t="s">
        <v>2630</v>
      </c>
      <c r="E138" t="s">
        <v>2631</v>
      </c>
      <c r="F138" t="s">
        <v>2544</v>
      </c>
      <c r="G138" s="52">
        <v>180.7</v>
      </c>
      <c r="H138" s="52">
        <v>84.5</v>
      </c>
      <c r="I138" s="52">
        <v>35.799999999999997</v>
      </c>
      <c r="J138" s="52">
        <v>248</v>
      </c>
      <c r="K138" s="52">
        <v>78</v>
      </c>
      <c r="L138" s="52"/>
      <c r="M138" s="52"/>
      <c r="N138" t="s">
        <v>7</v>
      </c>
    </row>
    <row r="139" spans="1:14" ht="18">
      <c r="B139" t="s">
        <v>2778</v>
      </c>
      <c r="C139" t="s">
        <v>2779</v>
      </c>
      <c r="D139" t="s">
        <v>2780</v>
      </c>
      <c r="E139" t="s">
        <v>2781</v>
      </c>
      <c r="F139" t="s">
        <v>2544</v>
      </c>
      <c r="G139">
        <v>11.7</v>
      </c>
      <c r="H139">
        <v>26.2</v>
      </c>
      <c r="I139">
        <v>13.4</v>
      </c>
      <c r="J139">
        <v>36.200000000000003</v>
      </c>
      <c r="K139">
        <v>36.200000000000003</v>
      </c>
      <c r="N139" t="s">
        <v>7</v>
      </c>
    </row>
    <row r="140" spans="1:14" ht="18">
      <c r="B140" t="s">
        <v>2703</v>
      </c>
      <c r="C140" t="s">
        <v>2704</v>
      </c>
      <c r="D140" t="s">
        <v>2705</v>
      </c>
      <c r="E140" t="s">
        <v>2706</v>
      </c>
      <c r="F140" t="s">
        <v>2554</v>
      </c>
      <c r="G140">
        <v>7.2</v>
      </c>
      <c r="H140">
        <v>2.5</v>
      </c>
      <c r="I140">
        <v>2.1</v>
      </c>
      <c r="J140">
        <v>4.3</v>
      </c>
      <c r="K140">
        <v>2.5</v>
      </c>
      <c r="N140" t="s">
        <v>7</v>
      </c>
    </row>
    <row r="141" spans="1:14" ht="18">
      <c r="B141" t="s">
        <v>2918</v>
      </c>
      <c r="C141" t="s">
        <v>2916</v>
      </c>
      <c r="D141" t="s">
        <v>2919</v>
      </c>
      <c r="E141" t="s">
        <v>2917</v>
      </c>
      <c r="F141" t="s">
        <v>2549</v>
      </c>
      <c r="G141">
        <v>21.8</v>
      </c>
      <c r="H141">
        <v>72</v>
      </c>
      <c r="I141">
        <v>38.200000000000003</v>
      </c>
      <c r="J141">
        <v>167</v>
      </c>
      <c r="K141">
        <v>72</v>
      </c>
      <c r="N141" t="s">
        <v>7</v>
      </c>
    </row>
    <row r="142" spans="1:14" ht="18">
      <c r="A142" t="s">
        <v>817</v>
      </c>
      <c r="B142" t="s">
        <v>2886</v>
      </c>
      <c r="C142" t="s">
        <v>2887</v>
      </c>
      <c r="E142" t="s">
        <v>2888</v>
      </c>
      <c r="F142" t="s">
        <v>2549</v>
      </c>
      <c r="G142">
        <v>90</v>
      </c>
      <c r="I142">
        <v>27</v>
      </c>
      <c r="J142">
        <v>102</v>
      </c>
      <c r="K142">
        <v>60</v>
      </c>
      <c r="N142" t="s">
        <v>7</v>
      </c>
    </row>
    <row r="143" spans="1:14" ht="18">
      <c r="A143" t="s">
        <v>827</v>
      </c>
      <c r="B143" t="s">
        <v>2615</v>
      </c>
      <c r="C143" t="s">
        <v>2607</v>
      </c>
      <c r="D143" t="s">
        <v>2608</v>
      </c>
      <c r="E143" t="s">
        <v>2609</v>
      </c>
      <c r="F143" t="s">
        <v>2549</v>
      </c>
      <c r="G143">
        <v>29</v>
      </c>
      <c r="H143">
        <v>66</v>
      </c>
      <c r="I143">
        <v>28</v>
      </c>
      <c r="J143">
        <v>150</v>
      </c>
      <c r="K143">
        <v>75</v>
      </c>
      <c r="N143" t="s">
        <v>7</v>
      </c>
    </row>
    <row r="144" spans="1:14" ht="18">
      <c r="A144" t="s">
        <v>848</v>
      </c>
      <c r="B144" t="s">
        <v>2717</v>
      </c>
      <c r="C144" t="s">
        <v>2713</v>
      </c>
      <c r="E144" t="s">
        <v>2714</v>
      </c>
      <c r="F144" t="s">
        <v>2549</v>
      </c>
      <c r="G144">
        <v>229</v>
      </c>
      <c r="H144">
        <v>102.8</v>
      </c>
      <c r="I144">
        <v>27.3</v>
      </c>
      <c r="J144">
        <v>472</v>
      </c>
      <c r="K144">
        <v>102.8</v>
      </c>
      <c r="N144" t="s">
        <v>7</v>
      </c>
    </row>
    <row r="145" spans="1:15" ht="18">
      <c r="A145" t="s">
        <v>856</v>
      </c>
      <c r="B145" t="s">
        <v>2803</v>
      </c>
      <c r="C145" t="s">
        <v>2804</v>
      </c>
      <c r="E145" t="s">
        <v>2543</v>
      </c>
      <c r="F145" t="s">
        <v>2544</v>
      </c>
      <c r="G145">
        <v>14.1</v>
      </c>
      <c r="H145">
        <v>7.1</v>
      </c>
      <c r="I145">
        <v>2.6</v>
      </c>
      <c r="J145">
        <v>73</v>
      </c>
      <c r="K145">
        <v>36</v>
      </c>
      <c r="N145" t="s">
        <v>7</v>
      </c>
    </row>
    <row r="146" spans="1:15" ht="18">
      <c r="B146" t="s">
        <v>2943</v>
      </c>
      <c r="C146" t="s">
        <v>2944</v>
      </c>
      <c r="E146" t="s">
        <v>2945</v>
      </c>
      <c r="F146" t="s">
        <v>2544</v>
      </c>
      <c r="G146">
        <v>130</v>
      </c>
      <c r="H146">
        <v>795</v>
      </c>
      <c r="I146">
        <v>240</v>
      </c>
      <c r="J146">
        <v>842</v>
      </c>
      <c r="K146">
        <v>450</v>
      </c>
      <c r="N146" t="s">
        <v>7</v>
      </c>
    </row>
    <row r="147" spans="1:15" ht="18">
      <c r="B147" t="s">
        <v>2565</v>
      </c>
      <c r="C147" t="s">
        <v>2562</v>
      </c>
      <c r="D147" t="s">
        <v>2563</v>
      </c>
      <c r="E147" t="s">
        <v>2564</v>
      </c>
      <c r="F147" t="s">
        <v>2549</v>
      </c>
      <c r="G147">
        <v>25</v>
      </c>
      <c r="H147">
        <v>12.7</v>
      </c>
      <c r="I147">
        <v>3.12</v>
      </c>
      <c r="J147">
        <v>34.9</v>
      </c>
      <c r="K147">
        <v>12.7</v>
      </c>
      <c r="N147" t="s">
        <v>7</v>
      </c>
    </row>
    <row r="148" spans="1:15" ht="18">
      <c r="A148" t="s">
        <v>879</v>
      </c>
      <c r="B148" t="s">
        <v>2675</v>
      </c>
      <c r="C148" t="s">
        <v>2676</v>
      </c>
      <c r="E148" t="s">
        <v>2677</v>
      </c>
      <c r="F148" t="s">
        <v>2549</v>
      </c>
      <c r="G148">
        <v>12.5</v>
      </c>
      <c r="H148">
        <v>33.5</v>
      </c>
      <c r="I148">
        <v>10.3</v>
      </c>
      <c r="J148">
        <v>144</v>
      </c>
      <c r="K148">
        <v>33.5</v>
      </c>
      <c r="N148" t="s">
        <v>7</v>
      </c>
    </row>
    <row r="149" spans="1:15" ht="18">
      <c r="B149" t="s">
        <v>2730</v>
      </c>
      <c r="C149" t="s">
        <v>2731</v>
      </c>
      <c r="E149" t="s">
        <v>2732</v>
      </c>
      <c r="F149" t="s">
        <v>2549</v>
      </c>
      <c r="G149">
        <v>35.700000000000003</v>
      </c>
      <c r="H149">
        <v>12.1</v>
      </c>
      <c r="I149">
        <v>5.91</v>
      </c>
      <c r="J149">
        <v>37.4</v>
      </c>
      <c r="K149">
        <v>12.1</v>
      </c>
      <c r="N149" t="s">
        <v>7</v>
      </c>
    </row>
    <row r="150" spans="1:15" ht="30.6">
      <c r="A150" t="s">
        <v>883</v>
      </c>
      <c r="B150" t="s">
        <v>2820</v>
      </c>
      <c r="C150" t="s">
        <v>2816</v>
      </c>
      <c r="D150" t="s">
        <v>2819</v>
      </c>
      <c r="E150" t="s">
        <v>2817</v>
      </c>
      <c r="F150" t="s">
        <v>2549</v>
      </c>
      <c r="G150">
        <v>19</v>
      </c>
      <c r="H150">
        <v>6.99</v>
      </c>
      <c r="I150">
        <v>5.98</v>
      </c>
      <c r="J150">
        <v>7.76</v>
      </c>
      <c r="K150">
        <v>6.99</v>
      </c>
      <c r="N150" t="s">
        <v>7</v>
      </c>
    </row>
    <row r="151" spans="1:15" ht="18">
      <c r="A151" t="s">
        <v>902</v>
      </c>
      <c r="B151" t="s">
        <v>2770</v>
      </c>
      <c r="C151" t="s">
        <v>2771</v>
      </c>
      <c r="D151" t="s">
        <v>2772</v>
      </c>
      <c r="E151" t="s">
        <v>2773</v>
      </c>
      <c r="F151" t="s">
        <v>2554</v>
      </c>
      <c r="G151">
        <v>174</v>
      </c>
      <c r="H151">
        <v>187</v>
      </c>
      <c r="I151">
        <v>77</v>
      </c>
      <c r="J151">
        <v>425</v>
      </c>
      <c r="K151">
        <v>191</v>
      </c>
      <c r="N151" t="s">
        <v>7</v>
      </c>
    </row>
    <row r="152" spans="1:15" ht="18">
      <c r="B152" t="s">
        <v>2647</v>
      </c>
      <c r="C152" t="s">
        <v>2648</v>
      </c>
      <c r="D152" t="s">
        <v>2649</v>
      </c>
      <c r="E152" t="s">
        <v>2650</v>
      </c>
      <c r="F152" t="s">
        <v>2544</v>
      </c>
      <c r="G152" s="52">
        <v>254</v>
      </c>
      <c r="H152" s="52">
        <v>484.4</v>
      </c>
      <c r="I152" s="52">
        <v>103.3</v>
      </c>
      <c r="J152" s="52">
        <v>1214.4000000000001</v>
      </c>
      <c r="K152" s="52">
        <v>484.4</v>
      </c>
      <c r="L152" s="52"/>
      <c r="M152" s="52"/>
      <c r="N152" t="s">
        <v>7</v>
      </c>
    </row>
    <row r="153" spans="1:15" ht="18">
      <c r="B153" t="s">
        <v>2818</v>
      </c>
      <c r="C153" t="s">
        <v>2816</v>
      </c>
      <c r="D153" t="s">
        <v>2819</v>
      </c>
      <c r="E153" t="s">
        <v>2817</v>
      </c>
      <c r="F153" t="s">
        <v>2549</v>
      </c>
      <c r="G153">
        <v>19</v>
      </c>
      <c r="H153">
        <v>6.99</v>
      </c>
      <c r="I153">
        <v>5.98</v>
      </c>
      <c r="J153">
        <v>7.76</v>
      </c>
      <c r="K153">
        <v>6.99</v>
      </c>
      <c r="N153" t="s">
        <v>7</v>
      </c>
    </row>
    <row r="154" spans="1:15" ht="18">
      <c r="A154" t="s">
        <v>910</v>
      </c>
      <c r="B154" t="s">
        <v>2882</v>
      </c>
      <c r="C154" t="s">
        <v>2883</v>
      </c>
      <c r="E154" t="s">
        <v>2884</v>
      </c>
      <c r="F154" t="s">
        <v>2885</v>
      </c>
      <c r="N154" t="s">
        <v>7</v>
      </c>
    </row>
    <row r="155" spans="1:15" ht="18">
      <c r="A155" t="s">
        <v>914</v>
      </c>
      <c r="B155" t="s">
        <v>2915</v>
      </c>
      <c r="C155" t="s">
        <v>2916</v>
      </c>
      <c r="E155" t="s">
        <v>2917</v>
      </c>
      <c r="F155" t="s">
        <v>2549</v>
      </c>
      <c r="G155">
        <v>21.8</v>
      </c>
      <c r="H155">
        <v>72</v>
      </c>
      <c r="I155">
        <v>38.200000000000003</v>
      </c>
      <c r="J155">
        <v>167</v>
      </c>
      <c r="K155">
        <v>72</v>
      </c>
      <c r="N155" t="s">
        <v>7</v>
      </c>
      <c r="O155" s="5"/>
    </row>
    <row r="156" spans="1:15" ht="18">
      <c r="B156" t="s">
        <v>2796</v>
      </c>
      <c r="C156" t="s">
        <v>2797</v>
      </c>
      <c r="E156" t="s">
        <v>2798</v>
      </c>
      <c r="F156" t="s">
        <v>2549</v>
      </c>
      <c r="G156">
        <v>57.6</v>
      </c>
      <c r="H156">
        <v>87.3</v>
      </c>
      <c r="I156">
        <v>35.799999999999997</v>
      </c>
      <c r="J156">
        <v>204.5</v>
      </c>
      <c r="K156">
        <v>57.6</v>
      </c>
      <c r="N156" t="s">
        <v>7</v>
      </c>
    </row>
    <row r="157" spans="1:15" ht="18">
      <c r="A157" t="s">
        <v>918</v>
      </c>
      <c r="B157" t="s">
        <v>2953</v>
      </c>
      <c r="C157" t="s">
        <v>2954</v>
      </c>
      <c r="D157" t="s">
        <v>2955</v>
      </c>
      <c r="E157" t="s">
        <v>2956</v>
      </c>
      <c r="F157" t="s">
        <v>2957</v>
      </c>
      <c r="N157" t="s">
        <v>7</v>
      </c>
    </row>
    <row r="158" spans="1:15" ht="18">
      <c r="A158" t="s">
        <v>927</v>
      </c>
      <c r="B158" t="s">
        <v>2833</v>
      </c>
      <c r="C158" t="s">
        <v>2834</v>
      </c>
      <c r="E158" t="s">
        <v>2835</v>
      </c>
      <c r="F158" t="s">
        <v>2549</v>
      </c>
      <c r="G158">
        <v>73</v>
      </c>
      <c r="H158">
        <v>138</v>
      </c>
      <c r="I158">
        <v>62</v>
      </c>
      <c r="J158">
        <v>438</v>
      </c>
      <c r="K158">
        <v>35</v>
      </c>
      <c r="N158" t="s">
        <v>7</v>
      </c>
    </row>
    <row r="159" spans="1:15" ht="18">
      <c r="A159" t="s">
        <v>931</v>
      </c>
      <c r="B159" t="s">
        <v>2815</v>
      </c>
      <c r="C159" t="s">
        <v>2816</v>
      </c>
      <c r="E159" t="s">
        <v>2817</v>
      </c>
      <c r="F159" t="s">
        <v>2549</v>
      </c>
      <c r="G159">
        <v>19</v>
      </c>
      <c r="H159">
        <v>6.99</v>
      </c>
      <c r="I159">
        <v>5.98</v>
      </c>
      <c r="J159">
        <v>7.76</v>
      </c>
      <c r="K159">
        <v>6.99</v>
      </c>
      <c r="N159" t="s">
        <v>7</v>
      </c>
    </row>
    <row r="160" spans="1:15" ht="18">
      <c r="A160" t="s">
        <v>935</v>
      </c>
      <c r="B160" t="s">
        <v>2906</v>
      </c>
      <c r="C160" t="s">
        <v>2907</v>
      </c>
      <c r="E160" t="s">
        <v>2908</v>
      </c>
      <c r="F160" t="s">
        <v>2549</v>
      </c>
      <c r="G160">
        <v>78.5</v>
      </c>
      <c r="K160">
        <v>24</v>
      </c>
      <c r="N160" t="s">
        <v>7</v>
      </c>
    </row>
    <row r="161" spans="1:14" ht="18">
      <c r="A161" t="s">
        <v>949</v>
      </c>
      <c r="B161" t="s">
        <v>2897</v>
      </c>
      <c r="C161" t="s">
        <v>2895</v>
      </c>
      <c r="D161" t="s">
        <v>2898</v>
      </c>
      <c r="E161" t="s">
        <v>2899</v>
      </c>
      <c r="F161" t="s">
        <v>2549</v>
      </c>
      <c r="N161" t="s">
        <v>7</v>
      </c>
    </row>
    <row r="162" spans="1:14" ht="18">
      <c r="B162" t="s">
        <v>2733</v>
      </c>
      <c r="C162" t="s">
        <v>2734</v>
      </c>
      <c r="D162" t="s">
        <v>2735</v>
      </c>
      <c r="E162" t="s">
        <v>2736</v>
      </c>
      <c r="F162" t="s">
        <v>2549</v>
      </c>
      <c r="H162">
        <v>25.3</v>
      </c>
      <c r="I162">
        <v>1.8</v>
      </c>
      <c r="J162">
        <v>82</v>
      </c>
      <c r="K162">
        <v>25.4</v>
      </c>
      <c r="N162" t="s">
        <v>7</v>
      </c>
    </row>
    <row r="163" spans="1:14" ht="18">
      <c r="B163" t="s">
        <v>2930</v>
      </c>
      <c r="C163" t="s">
        <v>2931</v>
      </c>
      <c r="D163" t="s">
        <v>2932</v>
      </c>
      <c r="E163" t="s">
        <v>2933</v>
      </c>
      <c r="F163" t="s">
        <v>2549</v>
      </c>
      <c r="G163">
        <v>17</v>
      </c>
      <c r="H163">
        <v>51.5</v>
      </c>
      <c r="I163">
        <v>3.1</v>
      </c>
      <c r="J163">
        <v>38.799999999999997</v>
      </c>
      <c r="K163">
        <v>11.6</v>
      </c>
      <c r="N163" t="s">
        <v>7</v>
      </c>
    </row>
    <row r="164" spans="1:14" ht="18">
      <c r="A164" t="s">
        <v>958</v>
      </c>
      <c r="B164" t="s">
        <v>2612</v>
      </c>
      <c r="C164" t="s">
        <v>2607</v>
      </c>
      <c r="D164" t="s">
        <v>2613</v>
      </c>
      <c r="E164" t="s">
        <v>2609</v>
      </c>
      <c r="F164" t="s">
        <v>2549</v>
      </c>
      <c r="G164">
        <v>29</v>
      </c>
      <c r="H164">
        <v>66</v>
      </c>
      <c r="I164">
        <v>28</v>
      </c>
      <c r="J164">
        <v>150</v>
      </c>
      <c r="K164">
        <v>75</v>
      </c>
      <c r="N164" t="s">
        <v>7</v>
      </c>
    </row>
    <row r="165" spans="1:14" ht="18">
      <c r="A165" t="s">
        <v>962</v>
      </c>
      <c r="B165" t="s">
        <v>2611</v>
      </c>
      <c r="C165" t="s">
        <v>2607</v>
      </c>
      <c r="E165" t="s">
        <v>2609</v>
      </c>
      <c r="F165" t="s">
        <v>2549</v>
      </c>
      <c r="G165">
        <v>29</v>
      </c>
      <c r="H165">
        <v>66</v>
      </c>
      <c r="I165">
        <v>28</v>
      </c>
      <c r="J165">
        <v>150</v>
      </c>
      <c r="K165">
        <v>75</v>
      </c>
      <c r="N165" t="s">
        <v>7</v>
      </c>
    </row>
    <row r="166" spans="1:14" ht="18">
      <c r="A166" t="s">
        <v>983</v>
      </c>
      <c r="B166" t="s">
        <v>2741</v>
      </c>
      <c r="C166" t="s">
        <v>2742</v>
      </c>
      <c r="D166" s="16"/>
      <c r="E166" t="s">
        <v>2743</v>
      </c>
      <c r="F166" t="s">
        <v>2549</v>
      </c>
      <c r="G166">
        <v>6.45</v>
      </c>
      <c r="H166">
        <v>17.3</v>
      </c>
      <c r="I166">
        <v>0.7</v>
      </c>
      <c r="J166">
        <v>78.599999999999994</v>
      </c>
      <c r="K166">
        <v>17.3</v>
      </c>
      <c r="N166" t="s">
        <v>7</v>
      </c>
    </row>
    <row r="167" spans="1:14" ht="18">
      <c r="B167" t="s">
        <v>2940</v>
      </c>
      <c r="C167" t="s">
        <v>2941</v>
      </c>
      <c r="E167" t="s">
        <v>2942</v>
      </c>
      <c r="F167" t="s">
        <v>2549</v>
      </c>
      <c r="G167">
        <v>3.6</v>
      </c>
      <c r="H167">
        <v>9.1</v>
      </c>
      <c r="I167">
        <v>2.9</v>
      </c>
      <c r="J167">
        <v>23.1</v>
      </c>
      <c r="K167">
        <v>9.1</v>
      </c>
      <c r="N167" t="s">
        <v>7</v>
      </c>
    </row>
    <row r="168" spans="1:14" ht="18">
      <c r="A168" t="s">
        <v>988</v>
      </c>
      <c r="B168" t="s">
        <v>2840</v>
      </c>
      <c r="C168" t="s">
        <v>2841</v>
      </c>
      <c r="D168" t="s">
        <v>2842</v>
      </c>
      <c r="E168" t="s">
        <v>2843</v>
      </c>
      <c r="F168" t="s">
        <v>2554</v>
      </c>
      <c r="H168">
        <v>48</v>
      </c>
      <c r="I168">
        <v>46</v>
      </c>
      <c r="J168">
        <v>63</v>
      </c>
      <c r="K168">
        <v>63</v>
      </c>
      <c r="N168" t="s">
        <v>7</v>
      </c>
    </row>
    <row r="169" spans="1:14" ht="18">
      <c r="A169" t="s">
        <v>992</v>
      </c>
      <c r="B169" t="s">
        <v>2561</v>
      </c>
      <c r="C169" t="s">
        <v>2562</v>
      </c>
      <c r="D169" t="s">
        <v>2563</v>
      </c>
      <c r="E169" t="s">
        <v>2564</v>
      </c>
      <c r="F169" t="s">
        <v>2549</v>
      </c>
      <c r="G169">
        <v>25</v>
      </c>
      <c r="H169">
        <v>12.7</v>
      </c>
      <c r="I169">
        <v>3.12</v>
      </c>
      <c r="J169">
        <v>34.9</v>
      </c>
      <c r="K169">
        <v>12.7</v>
      </c>
      <c r="N169" t="s">
        <v>7</v>
      </c>
    </row>
    <row r="170" spans="1:14" ht="18">
      <c r="A170" t="s">
        <v>996</v>
      </c>
      <c r="B170" t="s">
        <v>2610</v>
      </c>
      <c r="C170" t="s">
        <v>2607</v>
      </c>
      <c r="E170" t="s">
        <v>2609</v>
      </c>
      <c r="F170" t="s">
        <v>2549</v>
      </c>
      <c r="G170">
        <v>29</v>
      </c>
      <c r="H170">
        <v>66</v>
      </c>
      <c r="I170">
        <v>28</v>
      </c>
      <c r="J170">
        <v>150</v>
      </c>
      <c r="K170">
        <v>75</v>
      </c>
      <c r="N170" t="s">
        <v>7</v>
      </c>
    </row>
    <row r="171" spans="1:14" ht="18">
      <c r="A171" t="s">
        <v>1005</v>
      </c>
      <c r="B171" t="s">
        <v>2712</v>
      </c>
      <c r="C171" t="s">
        <v>2713</v>
      </c>
      <c r="E171" t="s">
        <v>2714</v>
      </c>
      <c r="F171" t="s">
        <v>2549</v>
      </c>
      <c r="G171">
        <v>229</v>
      </c>
      <c r="H171">
        <v>102.8</v>
      </c>
      <c r="I171">
        <v>27.3</v>
      </c>
      <c r="J171">
        <v>472</v>
      </c>
      <c r="K171">
        <v>102.8</v>
      </c>
      <c r="N171" t="s">
        <v>7</v>
      </c>
    </row>
    <row r="172" spans="1:14" ht="18">
      <c r="A172" t="s">
        <v>1014</v>
      </c>
      <c r="B172" t="s">
        <v>2606</v>
      </c>
      <c r="C172" t="s">
        <v>2607</v>
      </c>
      <c r="D172" t="s">
        <v>2608</v>
      </c>
      <c r="E172" t="s">
        <v>2609</v>
      </c>
      <c r="F172" t="s">
        <v>2549</v>
      </c>
      <c r="G172">
        <v>29</v>
      </c>
      <c r="H172">
        <v>66</v>
      </c>
      <c r="I172">
        <v>28</v>
      </c>
      <c r="J172">
        <v>150</v>
      </c>
      <c r="K172">
        <v>75</v>
      </c>
      <c r="N172" t="s">
        <v>7</v>
      </c>
    </row>
    <row r="173" spans="1:14" ht="18">
      <c r="A173" t="s">
        <v>1018</v>
      </c>
      <c r="B173" t="s">
        <v>2901</v>
      </c>
      <c r="C173" t="s">
        <v>2902</v>
      </c>
      <c r="D173" t="s">
        <v>2903</v>
      </c>
      <c r="E173" t="s">
        <v>2904</v>
      </c>
      <c r="F173" t="s">
        <v>2905</v>
      </c>
      <c r="N173" t="s">
        <v>7</v>
      </c>
    </row>
    <row r="174" spans="1:14" ht="18">
      <c r="A174" t="s">
        <v>1022</v>
      </c>
      <c r="B174" t="s">
        <v>2894</v>
      </c>
      <c r="C174" t="s">
        <v>2895</v>
      </c>
      <c r="E174" t="s">
        <v>2896</v>
      </c>
      <c r="F174" t="s">
        <v>2549</v>
      </c>
      <c r="N174" t="s">
        <v>7</v>
      </c>
    </row>
    <row r="175" spans="1:14" ht="18">
      <c r="A175" t="s">
        <v>1026</v>
      </c>
      <c r="B175" t="s">
        <v>2766</v>
      </c>
      <c r="C175" t="s">
        <v>2767</v>
      </c>
      <c r="D175" t="s">
        <v>2768</v>
      </c>
      <c r="E175" t="s">
        <v>2769</v>
      </c>
      <c r="F175" t="s">
        <v>2549</v>
      </c>
      <c r="G175">
        <v>51</v>
      </c>
      <c r="H175">
        <v>513</v>
      </c>
      <c r="I175">
        <v>126</v>
      </c>
      <c r="J175">
        <v>900</v>
      </c>
      <c r="K175">
        <v>90</v>
      </c>
      <c r="N175" t="s">
        <v>7</v>
      </c>
    </row>
  </sheetData>
  <autoFilter ref="A4:O175" xr:uid="{00000000-0001-0000-0400-000000000000}">
    <sortState xmlns:xlrd2="http://schemas.microsoft.com/office/spreadsheetml/2017/richdata2" ref="A5:O175">
      <sortCondition ref="B4:B175"/>
    </sortState>
  </autoFilter>
  <mergeCells count="2">
    <mergeCell ref="A2:P2"/>
    <mergeCell ref="A1:P1"/>
  </mergeCells>
  <phoneticPr fontId="6" type="noConversion"/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36"/>
  <sheetViews>
    <sheetView zoomScale="81" zoomScaleNormal="55" workbookViewId="0">
      <pane xSplit="3" ySplit="4" topLeftCell="D128" activePane="bottomRight" state="frozen"/>
      <selection pane="topRight" activeCell="D1" sqref="D1"/>
      <selection pane="bottomLeft" activeCell="A5" sqref="A5"/>
      <selection pane="bottomRight" activeCell="A136" sqref="A136"/>
    </sheetView>
  </sheetViews>
  <sheetFormatPr defaultColWidth="8.88671875" defaultRowHeight="18"/>
  <cols>
    <col min="1" max="1" width="11.88671875" customWidth="1"/>
    <col min="2" max="2" width="15.88671875" customWidth="1"/>
    <col min="3" max="3" width="23.88671875" customWidth="1"/>
    <col min="4" max="4" width="68.6640625" bestFit="1" customWidth="1"/>
    <col min="5" max="5" width="14.33203125" customWidth="1"/>
    <col min="6" max="6" width="14.44140625" customWidth="1"/>
    <col min="7" max="7" width="11.88671875" customWidth="1"/>
    <col min="8" max="12" width="15.88671875" customWidth="1"/>
    <col min="13" max="13" width="9.88671875" customWidth="1"/>
    <col min="14" max="15" width="21.6640625" customWidth="1"/>
    <col min="16" max="16" width="29.109375" customWidth="1"/>
    <col min="17" max="17" width="23.33203125" customWidth="1"/>
    <col min="18" max="18" width="102" customWidth="1"/>
  </cols>
  <sheetData>
    <row r="1" spans="1:18" ht="21.9" customHeight="1">
      <c r="A1" s="55" t="s">
        <v>2958</v>
      </c>
      <c r="B1" s="54"/>
      <c r="C1" s="54"/>
      <c r="D1" s="54"/>
      <c r="E1" s="54"/>
      <c r="F1" s="54"/>
      <c r="G1" s="54"/>
      <c r="H1" s="54"/>
    </row>
    <row r="2" spans="1:18" ht="36" customHeight="1">
      <c r="A2" s="53" t="s">
        <v>2959</v>
      </c>
      <c r="B2" s="54"/>
      <c r="C2" s="54"/>
      <c r="D2" s="54"/>
      <c r="E2" s="54"/>
      <c r="F2" s="54"/>
      <c r="G2" s="54"/>
      <c r="H2" s="54"/>
    </row>
    <row r="4" spans="1:18" ht="31.2">
      <c r="A4" s="2" t="s">
        <v>19</v>
      </c>
      <c r="B4" s="2" t="s">
        <v>2960</v>
      </c>
      <c r="C4" s="2" t="s">
        <v>2961</v>
      </c>
      <c r="D4" s="2" t="s">
        <v>2962</v>
      </c>
      <c r="E4" s="2" t="s">
        <v>2963</v>
      </c>
      <c r="F4" s="2" t="s">
        <v>2964</v>
      </c>
      <c r="G4" s="2" t="s">
        <v>1057</v>
      </c>
      <c r="H4" s="2" t="s">
        <v>1058</v>
      </c>
      <c r="I4" s="2" t="s">
        <v>2965</v>
      </c>
      <c r="J4" s="2" t="s">
        <v>2966</v>
      </c>
      <c r="K4" s="2" t="s">
        <v>2967</v>
      </c>
      <c r="L4" s="2" t="s">
        <v>2968</v>
      </c>
      <c r="M4" s="2" t="s">
        <v>2969</v>
      </c>
      <c r="N4" s="2" t="s">
        <v>2970</v>
      </c>
      <c r="O4" s="2" t="s">
        <v>2971</v>
      </c>
      <c r="P4" s="2" t="s">
        <v>2972</v>
      </c>
      <c r="Q4" s="2" t="s">
        <v>2973</v>
      </c>
      <c r="R4" s="2" t="s">
        <v>28</v>
      </c>
    </row>
    <row r="5" spans="1:18">
      <c r="A5" t="s">
        <v>1026</v>
      </c>
      <c r="B5" t="s">
        <v>3266</v>
      </c>
      <c r="D5" t="s">
        <v>2974</v>
      </c>
      <c r="E5">
        <v>20</v>
      </c>
      <c r="F5" t="s">
        <v>2975</v>
      </c>
      <c r="G5">
        <v>60</v>
      </c>
      <c r="H5" t="s">
        <v>1118</v>
      </c>
      <c r="M5">
        <v>60</v>
      </c>
      <c r="N5" t="s">
        <v>2976</v>
      </c>
      <c r="O5" t="s">
        <v>2977</v>
      </c>
      <c r="Q5">
        <v>3</v>
      </c>
    </row>
    <row r="6" spans="1:18">
      <c r="A6" t="s">
        <v>1022</v>
      </c>
      <c r="B6" t="s">
        <v>2978</v>
      </c>
      <c r="D6" t="s">
        <v>2979</v>
      </c>
      <c r="E6">
        <v>20</v>
      </c>
      <c r="F6" t="s">
        <v>2975</v>
      </c>
      <c r="G6">
        <v>40</v>
      </c>
      <c r="H6" t="s">
        <v>1811</v>
      </c>
      <c r="M6">
        <v>60</v>
      </c>
      <c r="N6" t="s">
        <v>2976</v>
      </c>
      <c r="O6" t="s">
        <v>2977</v>
      </c>
      <c r="P6" t="s">
        <v>2980</v>
      </c>
      <c r="Q6">
        <v>2</v>
      </c>
    </row>
    <row r="7" spans="1:18">
      <c r="A7" s="8"/>
      <c r="B7" t="s">
        <v>2981</v>
      </c>
      <c r="D7" t="s">
        <v>2979</v>
      </c>
      <c r="E7">
        <v>20</v>
      </c>
      <c r="F7" t="s">
        <v>2975</v>
      </c>
      <c r="G7">
        <v>40</v>
      </c>
      <c r="H7" t="s">
        <v>1811</v>
      </c>
      <c r="M7">
        <v>60</v>
      </c>
      <c r="N7" t="s">
        <v>2976</v>
      </c>
      <c r="O7" t="s">
        <v>2982</v>
      </c>
      <c r="P7" t="s">
        <v>2980</v>
      </c>
      <c r="Q7">
        <v>2</v>
      </c>
    </row>
    <row r="8" spans="1:18">
      <c r="A8" t="s">
        <v>1018</v>
      </c>
      <c r="B8" t="s">
        <v>2983</v>
      </c>
      <c r="C8" t="s">
        <v>1181</v>
      </c>
      <c r="D8" t="s">
        <v>2979</v>
      </c>
      <c r="E8">
        <v>25</v>
      </c>
      <c r="F8" t="s">
        <v>2975</v>
      </c>
      <c r="G8">
        <v>30</v>
      </c>
      <c r="H8" t="s">
        <v>1811</v>
      </c>
      <c r="M8">
        <v>42</v>
      </c>
      <c r="N8" t="s">
        <v>2976</v>
      </c>
      <c r="O8" t="s">
        <v>2977</v>
      </c>
      <c r="Q8">
        <v>3</v>
      </c>
    </row>
    <row r="9" spans="1:18">
      <c r="A9" t="s">
        <v>1014</v>
      </c>
      <c r="B9" t="s">
        <v>2984</v>
      </c>
      <c r="D9" t="s">
        <v>2985</v>
      </c>
      <c r="E9">
        <v>20</v>
      </c>
      <c r="F9" t="s">
        <v>2975</v>
      </c>
      <c r="G9">
        <v>60</v>
      </c>
      <c r="H9" t="s">
        <v>1811</v>
      </c>
      <c r="M9">
        <v>60</v>
      </c>
      <c r="N9" t="s">
        <v>2976</v>
      </c>
      <c r="O9" t="s">
        <v>2977</v>
      </c>
      <c r="P9" t="s">
        <v>2980</v>
      </c>
      <c r="Q9">
        <v>3</v>
      </c>
    </row>
    <row r="10" spans="1:18">
      <c r="A10" t="s">
        <v>1005</v>
      </c>
      <c r="B10" t="s">
        <v>2986</v>
      </c>
      <c r="C10" t="s">
        <v>2987</v>
      </c>
      <c r="D10" t="s">
        <v>2988</v>
      </c>
      <c r="E10">
        <v>27</v>
      </c>
      <c r="F10" t="s">
        <v>2975</v>
      </c>
      <c r="M10">
        <v>112</v>
      </c>
      <c r="N10" t="s">
        <v>2976</v>
      </c>
      <c r="O10" t="s">
        <v>2977</v>
      </c>
      <c r="Q10">
        <v>3</v>
      </c>
    </row>
    <row r="11" spans="1:18">
      <c r="A11" t="s">
        <v>996</v>
      </c>
      <c r="B11" t="s">
        <v>2989</v>
      </c>
      <c r="C11" t="s">
        <v>2990</v>
      </c>
      <c r="D11" t="s">
        <v>2979</v>
      </c>
      <c r="E11">
        <v>20</v>
      </c>
      <c r="F11" t="s">
        <v>2975</v>
      </c>
      <c r="M11">
        <v>15</v>
      </c>
      <c r="N11" t="s">
        <v>2976</v>
      </c>
      <c r="O11" t="s">
        <v>2982</v>
      </c>
      <c r="Q11">
        <v>3</v>
      </c>
    </row>
    <row r="12" spans="1:18">
      <c r="B12" t="s">
        <v>2991</v>
      </c>
      <c r="C12" t="s">
        <v>2992</v>
      </c>
      <c r="D12" t="s">
        <v>2979</v>
      </c>
      <c r="E12">
        <v>20</v>
      </c>
      <c r="F12" t="s">
        <v>2975</v>
      </c>
      <c r="M12">
        <v>15</v>
      </c>
      <c r="N12" t="s">
        <v>2976</v>
      </c>
      <c r="O12" t="s">
        <v>2977</v>
      </c>
      <c r="Q12">
        <v>3</v>
      </c>
    </row>
    <row r="13" spans="1:18">
      <c r="A13" t="s">
        <v>992</v>
      </c>
      <c r="B13" t="s">
        <v>2993</v>
      </c>
      <c r="D13" t="s">
        <v>2985</v>
      </c>
      <c r="E13">
        <v>20</v>
      </c>
      <c r="F13" t="s">
        <v>2975</v>
      </c>
      <c r="G13" t="s">
        <v>2994</v>
      </c>
      <c r="H13" t="s">
        <v>1118</v>
      </c>
      <c r="M13">
        <v>100</v>
      </c>
      <c r="N13" t="s">
        <v>2976</v>
      </c>
      <c r="O13" t="s">
        <v>2977</v>
      </c>
      <c r="P13" t="s">
        <v>2995</v>
      </c>
      <c r="Q13">
        <v>3</v>
      </c>
      <c r="R13" t="s">
        <v>2996</v>
      </c>
    </row>
    <row r="14" spans="1:18">
      <c r="A14" t="s">
        <v>988</v>
      </c>
      <c r="B14" t="s">
        <v>2997</v>
      </c>
      <c r="D14" t="s">
        <v>2979</v>
      </c>
      <c r="E14" t="s">
        <v>2998</v>
      </c>
      <c r="F14" t="s">
        <v>2975</v>
      </c>
      <c r="G14" t="s">
        <v>2999</v>
      </c>
      <c r="M14">
        <v>120</v>
      </c>
      <c r="N14" t="s">
        <v>2976</v>
      </c>
      <c r="O14" t="s">
        <v>2977</v>
      </c>
      <c r="P14" t="s">
        <v>2995</v>
      </c>
      <c r="Q14">
        <v>3</v>
      </c>
    </row>
    <row r="15" spans="1:18">
      <c r="A15" t="s">
        <v>983</v>
      </c>
      <c r="B15" t="s">
        <v>3000</v>
      </c>
      <c r="D15" t="s">
        <v>2979</v>
      </c>
      <c r="E15">
        <v>25</v>
      </c>
      <c r="F15" t="s">
        <v>2975</v>
      </c>
      <c r="K15">
        <v>80</v>
      </c>
      <c r="L15" t="s">
        <v>1118</v>
      </c>
      <c r="M15">
        <v>70</v>
      </c>
      <c r="N15" t="s">
        <v>2976</v>
      </c>
      <c r="O15" t="s">
        <v>2977</v>
      </c>
      <c r="P15" t="s">
        <v>2980</v>
      </c>
      <c r="Q15">
        <v>3</v>
      </c>
    </row>
    <row r="16" spans="1:18">
      <c r="A16" t="s">
        <v>962</v>
      </c>
      <c r="B16" t="s">
        <v>3001</v>
      </c>
      <c r="D16" t="s">
        <v>2985</v>
      </c>
      <c r="E16">
        <v>15</v>
      </c>
      <c r="F16" t="s">
        <v>2975</v>
      </c>
      <c r="G16">
        <v>60</v>
      </c>
      <c r="H16" t="s">
        <v>1118</v>
      </c>
      <c r="M16">
        <v>30</v>
      </c>
      <c r="N16" t="s">
        <v>2976</v>
      </c>
      <c r="O16" t="s">
        <v>2977</v>
      </c>
      <c r="P16" t="s">
        <v>2980</v>
      </c>
      <c r="Q16">
        <v>3</v>
      </c>
    </row>
    <row r="17" spans="1:17">
      <c r="A17" t="s">
        <v>958</v>
      </c>
      <c r="B17" t="s">
        <v>3002</v>
      </c>
      <c r="D17" t="s">
        <v>2985</v>
      </c>
      <c r="E17" t="s">
        <v>3003</v>
      </c>
      <c r="F17" t="s">
        <v>2975</v>
      </c>
      <c r="K17">
        <v>60</v>
      </c>
      <c r="L17" t="s">
        <v>1118</v>
      </c>
      <c r="M17">
        <v>30</v>
      </c>
      <c r="N17" t="s">
        <v>2976</v>
      </c>
      <c r="O17" t="s">
        <v>2977</v>
      </c>
      <c r="P17" t="s">
        <v>2995</v>
      </c>
      <c r="Q17">
        <v>3</v>
      </c>
    </row>
    <row r="18" spans="1:17">
      <c r="A18" t="s">
        <v>949</v>
      </c>
      <c r="B18" t="s">
        <v>3004</v>
      </c>
      <c r="C18" t="s">
        <v>3005</v>
      </c>
      <c r="D18" t="s">
        <v>2979</v>
      </c>
      <c r="E18">
        <v>14</v>
      </c>
      <c r="F18" t="s">
        <v>2975</v>
      </c>
      <c r="G18">
        <v>40</v>
      </c>
      <c r="H18" t="s">
        <v>1118</v>
      </c>
      <c r="M18">
        <v>284</v>
      </c>
      <c r="N18" t="s">
        <v>2976</v>
      </c>
      <c r="O18" t="s">
        <v>2977</v>
      </c>
      <c r="Q18">
        <v>3</v>
      </c>
    </row>
    <row r="19" spans="1:17">
      <c r="B19" t="s">
        <v>3006</v>
      </c>
      <c r="C19" t="s">
        <v>3007</v>
      </c>
      <c r="D19" t="s">
        <v>2979</v>
      </c>
      <c r="E19">
        <v>24</v>
      </c>
      <c r="F19" t="s">
        <v>2975</v>
      </c>
      <c r="G19">
        <v>40</v>
      </c>
      <c r="H19" t="s">
        <v>1118</v>
      </c>
      <c r="M19">
        <v>284</v>
      </c>
      <c r="N19" t="s">
        <v>2976</v>
      </c>
      <c r="O19" t="s">
        <v>2977</v>
      </c>
      <c r="Q19">
        <v>3</v>
      </c>
    </row>
    <row r="20" spans="1:17">
      <c r="A20" t="s">
        <v>935</v>
      </c>
      <c r="B20" t="s">
        <v>3008</v>
      </c>
      <c r="D20" t="s">
        <v>2979</v>
      </c>
      <c r="E20">
        <v>22</v>
      </c>
      <c r="F20" t="s">
        <v>2975</v>
      </c>
      <c r="G20">
        <v>75</v>
      </c>
      <c r="H20" t="s">
        <v>1118</v>
      </c>
      <c r="M20">
        <v>80</v>
      </c>
      <c r="N20" t="s">
        <v>2976</v>
      </c>
      <c r="O20" t="s">
        <v>2977</v>
      </c>
      <c r="P20" t="s">
        <v>2980</v>
      </c>
      <c r="Q20">
        <v>3</v>
      </c>
    </row>
    <row r="21" spans="1:17">
      <c r="A21" t="s">
        <v>931</v>
      </c>
      <c r="B21" t="s">
        <v>3009</v>
      </c>
      <c r="D21" t="s">
        <v>2979</v>
      </c>
      <c r="E21">
        <v>20</v>
      </c>
      <c r="F21" t="s">
        <v>2975</v>
      </c>
      <c r="G21">
        <v>40</v>
      </c>
      <c r="H21" t="s">
        <v>1118</v>
      </c>
      <c r="M21">
        <v>62</v>
      </c>
      <c r="N21" t="s">
        <v>2976</v>
      </c>
      <c r="O21" t="s">
        <v>2977</v>
      </c>
      <c r="P21" t="s">
        <v>2980</v>
      </c>
    </row>
    <row r="22" spans="1:17">
      <c r="A22" t="s">
        <v>927</v>
      </c>
      <c r="B22" t="s">
        <v>3010</v>
      </c>
      <c r="C22" s="15"/>
      <c r="D22" t="s">
        <v>2979</v>
      </c>
      <c r="E22">
        <v>25</v>
      </c>
      <c r="F22" t="s">
        <v>2975</v>
      </c>
      <c r="K22">
        <v>60</v>
      </c>
      <c r="L22" t="s">
        <v>1118</v>
      </c>
      <c r="M22">
        <v>180</v>
      </c>
      <c r="N22" t="s">
        <v>2976</v>
      </c>
      <c r="O22" t="s">
        <v>2977</v>
      </c>
      <c r="P22" t="s">
        <v>2980</v>
      </c>
      <c r="Q22">
        <v>3</v>
      </c>
    </row>
    <row r="23" spans="1:17">
      <c r="A23" t="s">
        <v>918</v>
      </c>
      <c r="B23" t="s">
        <v>3011</v>
      </c>
      <c r="C23" s="15" t="s">
        <v>3012</v>
      </c>
      <c r="D23" t="s">
        <v>2979</v>
      </c>
      <c r="E23">
        <v>25</v>
      </c>
      <c r="F23" t="s">
        <v>2975</v>
      </c>
      <c r="O23" t="s">
        <v>2977</v>
      </c>
      <c r="P23" t="s">
        <v>2980</v>
      </c>
    </row>
    <row r="24" spans="1:17">
      <c r="B24" t="s">
        <v>3013</v>
      </c>
      <c r="C24" s="15" t="s">
        <v>3014</v>
      </c>
      <c r="D24" t="s">
        <v>2979</v>
      </c>
      <c r="E24">
        <v>40</v>
      </c>
      <c r="F24" t="s">
        <v>2975</v>
      </c>
      <c r="O24" t="s">
        <v>2977</v>
      </c>
      <c r="P24" t="s">
        <v>2980</v>
      </c>
    </row>
    <row r="25" spans="1:17">
      <c r="A25" t="s">
        <v>914</v>
      </c>
      <c r="B25" t="s">
        <v>3015</v>
      </c>
      <c r="C25" s="15" t="s">
        <v>3016</v>
      </c>
      <c r="D25" t="s">
        <v>2979</v>
      </c>
      <c r="E25">
        <v>20</v>
      </c>
      <c r="F25" t="s">
        <v>2975</v>
      </c>
      <c r="G25">
        <v>40</v>
      </c>
      <c r="H25" t="s">
        <v>1118</v>
      </c>
      <c r="M25">
        <v>120</v>
      </c>
      <c r="N25" t="s">
        <v>2976</v>
      </c>
      <c r="O25" t="s">
        <v>2977</v>
      </c>
      <c r="P25" t="s">
        <v>2980</v>
      </c>
    </row>
    <row r="26" spans="1:17">
      <c r="B26" t="s">
        <v>3017</v>
      </c>
      <c r="C26" s="15" t="s">
        <v>3014</v>
      </c>
      <c r="D26" t="s">
        <v>2979</v>
      </c>
      <c r="E26">
        <v>40</v>
      </c>
      <c r="F26" t="s">
        <v>2975</v>
      </c>
      <c r="G26">
        <v>40</v>
      </c>
      <c r="H26" t="s">
        <v>1118</v>
      </c>
      <c r="M26">
        <v>120</v>
      </c>
      <c r="N26" t="s">
        <v>2976</v>
      </c>
      <c r="O26" t="s">
        <v>2977</v>
      </c>
      <c r="P26" t="s">
        <v>2980</v>
      </c>
    </row>
    <row r="27" spans="1:17">
      <c r="B27" t="s">
        <v>3018</v>
      </c>
      <c r="C27" s="15" t="s">
        <v>3019</v>
      </c>
      <c r="D27" t="s">
        <v>2979</v>
      </c>
      <c r="E27">
        <v>60</v>
      </c>
      <c r="F27" t="s">
        <v>2975</v>
      </c>
      <c r="G27">
        <v>40</v>
      </c>
      <c r="H27" t="s">
        <v>1118</v>
      </c>
      <c r="M27">
        <v>120</v>
      </c>
      <c r="N27" t="s">
        <v>2976</v>
      </c>
      <c r="O27" t="s">
        <v>2977</v>
      </c>
      <c r="P27" t="s">
        <v>2980</v>
      </c>
    </row>
    <row r="28" spans="1:17">
      <c r="A28" t="s">
        <v>29</v>
      </c>
      <c r="B28" t="s">
        <v>3020</v>
      </c>
      <c r="D28" t="s">
        <v>3021</v>
      </c>
      <c r="E28">
        <v>20</v>
      </c>
      <c r="F28" t="s">
        <v>3022</v>
      </c>
      <c r="G28">
        <v>70</v>
      </c>
      <c r="H28" t="s">
        <v>1118</v>
      </c>
      <c r="M28">
        <v>100</v>
      </c>
      <c r="N28" t="s">
        <v>2976</v>
      </c>
      <c r="O28" t="s">
        <v>2977</v>
      </c>
    </row>
    <row r="29" spans="1:17">
      <c r="A29" t="s">
        <v>40</v>
      </c>
      <c r="B29" t="s">
        <v>3023</v>
      </c>
      <c r="D29" t="s">
        <v>3024</v>
      </c>
      <c r="E29">
        <v>25</v>
      </c>
      <c r="F29" t="s">
        <v>3022</v>
      </c>
      <c r="M29">
        <v>40</v>
      </c>
      <c r="N29" t="s">
        <v>2976</v>
      </c>
      <c r="O29" t="s">
        <v>2977</v>
      </c>
      <c r="Q29">
        <v>3</v>
      </c>
    </row>
    <row r="30" spans="1:17">
      <c r="A30" t="s">
        <v>45</v>
      </c>
      <c r="B30" t="s">
        <v>3025</v>
      </c>
      <c r="C30" t="s">
        <v>3026</v>
      </c>
      <c r="D30" t="s">
        <v>3027</v>
      </c>
      <c r="E30">
        <v>25</v>
      </c>
      <c r="F30" t="s">
        <v>3022</v>
      </c>
      <c r="G30">
        <v>64</v>
      </c>
      <c r="H30" t="s">
        <v>1118</v>
      </c>
      <c r="K30">
        <v>50</v>
      </c>
      <c r="L30" t="s">
        <v>1118</v>
      </c>
      <c r="M30">
        <v>40</v>
      </c>
      <c r="N30" t="s">
        <v>2976</v>
      </c>
      <c r="O30" t="s">
        <v>2977</v>
      </c>
      <c r="P30" t="s">
        <v>2980</v>
      </c>
    </row>
    <row r="31" spans="1:17">
      <c r="A31" t="s">
        <v>68</v>
      </c>
      <c r="B31" t="s">
        <v>3028</v>
      </c>
      <c r="D31" t="s">
        <v>3029</v>
      </c>
      <c r="E31">
        <v>25</v>
      </c>
      <c r="F31" t="s">
        <v>3022</v>
      </c>
      <c r="G31">
        <v>60</v>
      </c>
      <c r="H31" t="s">
        <v>1118</v>
      </c>
      <c r="M31">
        <v>150</v>
      </c>
      <c r="N31" t="s">
        <v>2976</v>
      </c>
      <c r="O31" t="s">
        <v>2977</v>
      </c>
      <c r="P31" t="s">
        <v>2980</v>
      </c>
      <c r="Q31">
        <v>3</v>
      </c>
    </row>
    <row r="32" spans="1:17">
      <c r="A32" t="s">
        <v>73</v>
      </c>
      <c r="B32" t="s">
        <v>3030</v>
      </c>
      <c r="C32" t="s">
        <v>2992</v>
      </c>
      <c r="D32" t="s">
        <v>3031</v>
      </c>
      <c r="E32">
        <v>25</v>
      </c>
      <c r="F32" t="s">
        <v>3022</v>
      </c>
      <c r="I32">
        <v>60</v>
      </c>
      <c r="J32" t="s">
        <v>1118</v>
      </c>
      <c r="M32">
        <v>90</v>
      </c>
      <c r="N32" t="s">
        <v>2976</v>
      </c>
      <c r="O32" t="s">
        <v>2977</v>
      </c>
      <c r="P32" t="s">
        <v>2980</v>
      </c>
      <c r="Q32">
        <v>3</v>
      </c>
    </row>
    <row r="33" spans="1:18">
      <c r="B33" t="s">
        <v>3032</v>
      </c>
      <c r="C33" t="s">
        <v>2990</v>
      </c>
      <c r="D33" t="s">
        <v>3031</v>
      </c>
      <c r="E33">
        <v>25</v>
      </c>
      <c r="F33" t="s">
        <v>3022</v>
      </c>
      <c r="I33">
        <v>60</v>
      </c>
      <c r="J33" t="s">
        <v>1118</v>
      </c>
      <c r="M33">
        <v>90</v>
      </c>
      <c r="N33" t="s">
        <v>2976</v>
      </c>
      <c r="O33" t="s">
        <v>2982</v>
      </c>
      <c r="P33" t="s">
        <v>2980</v>
      </c>
      <c r="Q33">
        <v>4</v>
      </c>
    </row>
    <row r="34" spans="1:18">
      <c r="A34" t="s">
        <v>82</v>
      </c>
      <c r="B34" t="s">
        <v>3033</v>
      </c>
      <c r="D34" t="s">
        <v>3034</v>
      </c>
      <c r="E34">
        <v>25</v>
      </c>
      <c r="F34" t="s">
        <v>3022</v>
      </c>
      <c r="G34">
        <v>40</v>
      </c>
      <c r="H34" t="s">
        <v>1118</v>
      </c>
      <c r="I34">
        <v>30</v>
      </c>
      <c r="J34" t="s">
        <v>1118</v>
      </c>
      <c r="M34">
        <v>28</v>
      </c>
      <c r="N34" t="s">
        <v>2976</v>
      </c>
      <c r="O34" t="s">
        <v>3035</v>
      </c>
      <c r="P34" t="s">
        <v>2980</v>
      </c>
      <c r="Q34">
        <v>3</v>
      </c>
    </row>
    <row r="35" spans="1:18">
      <c r="A35" t="s">
        <v>92</v>
      </c>
      <c r="B35" t="s">
        <v>3036</v>
      </c>
      <c r="C35" t="s">
        <v>3037</v>
      </c>
      <c r="E35">
        <v>25</v>
      </c>
      <c r="F35" t="s">
        <v>3022</v>
      </c>
      <c r="G35">
        <v>50</v>
      </c>
      <c r="H35" t="s">
        <v>1118</v>
      </c>
      <c r="M35">
        <v>30</v>
      </c>
      <c r="N35" t="s">
        <v>2976</v>
      </c>
      <c r="O35" t="s">
        <v>3035</v>
      </c>
      <c r="P35" t="s">
        <v>2980</v>
      </c>
      <c r="Q35">
        <v>2</v>
      </c>
    </row>
    <row r="36" spans="1:18">
      <c r="B36" t="s">
        <v>3038</v>
      </c>
      <c r="C36" t="s">
        <v>2990</v>
      </c>
      <c r="E36">
        <v>25</v>
      </c>
      <c r="F36" t="s">
        <v>3022</v>
      </c>
      <c r="G36">
        <v>50</v>
      </c>
      <c r="H36" t="s">
        <v>1118</v>
      </c>
      <c r="M36">
        <v>30</v>
      </c>
      <c r="N36" t="s">
        <v>2976</v>
      </c>
      <c r="O36" t="s">
        <v>3039</v>
      </c>
      <c r="P36" t="s">
        <v>2980</v>
      </c>
      <c r="Q36">
        <v>2</v>
      </c>
    </row>
    <row r="37" spans="1:18">
      <c r="A37" t="s">
        <v>910</v>
      </c>
      <c r="B37" t="s">
        <v>3040</v>
      </c>
      <c r="C37" t="s">
        <v>3041</v>
      </c>
      <c r="D37" t="s">
        <v>3042</v>
      </c>
      <c r="E37">
        <v>25</v>
      </c>
      <c r="F37" t="s">
        <v>3022</v>
      </c>
      <c r="G37">
        <v>30</v>
      </c>
      <c r="H37" t="s">
        <v>1118</v>
      </c>
      <c r="M37">
        <v>7</v>
      </c>
      <c r="N37" t="s">
        <v>2976</v>
      </c>
      <c r="O37" t="s">
        <v>2977</v>
      </c>
      <c r="P37" t="s">
        <v>2980</v>
      </c>
      <c r="Q37">
        <v>3</v>
      </c>
    </row>
    <row r="38" spans="1:18">
      <c r="A38" t="s">
        <v>902</v>
      </c>
      <c r="B38" t="s">
        <v>3043</v>
      </c>
      <c r="D38" t="s">
        <v>2985</v>
      </c>
      <c r="E38">
        <v>21</v>
      </c>
      <c r="F38" t="s">
        <v>3022</v>
      </c>
      <c r="G38">
        <v>60</v>
      </c>
      <c r="H38" t="s">
        <v>1118</v>
      </c>
      <c r="M38">
        <v>35</v>
      </c>
      <c r="N38" t="s">
        <v>2976</v>
      </c>
      <c r="O38" t="s">
        <v>2977</v>
      </c>
      <c r="P38" t="s">
        <v>2995</v>
      </c>
      <c r="Q38">
        <v>3</v>
      </c>
    </row>
    <row r="39" spans="1:18">
      <c r="A39" t="s">
        <v>883</v>
      </c>
      <c r="B39" t="s">
        <v>3044</v>
      </c>
      <c r="D39" t="s">
        <v>2985</v>
      </c>
      <c r="M39">
        <v>150</v>
      </c>
      <c r="N39" t="s">
        <v>2976</v>
      </c>
      <c r="O39" t="s">
        <v>2977</v>
      </c>
      <c r="Q39">
        <v>3</v>
      </c>
      <c r="R39" t="s">
        <v>3045</v>
      </c>
    </row>
    <row r="40" spans="1:18">
      <c r="A40" t="s">
        <v>120</v>
      </c>
      <c r="B40" t="s">
        <v>3046</v>
      </c>
      <c r="D40" t="s">
        <v>2979</v>
      </c>
      <c r="E40">
        <v>20</v>
      </c>
      <c r="F40" t="s">
        <v>3022</v>
      </c>
      <c r="G40">
        <v>40</v>
      </c>
      <c r="H40" t="s">
        <v>1118</v>
      </c>
      <c r="M40">
        <v>135</v>
      </c>
      <c r="N40" t="s">
        <v>2976</v>
      </c>
      <c r="O40" t="s">
        <v>2977</v>
      </c>
      <c r="P40" t="s">
        <v>2980</v>
      </c>
      <c r="Q40">
        <v>2</v>
      </c>
    </row>
    <row r="41" spans="1:18">
      <c r="B41" t="s">
        <v>3047</v>
      </c>
      <c r="D41" t="s">
        <v>2979</v>
      </c>
      <c r="E41">
        <v>20</v>
      </c>
      <c r="F41" t="s">
        <v>3022</v>
      </c>
      <c r="G41">
        <v>40</v>
      </c>
      <c r="H41" t="s">
        <v>1118</v>
      </c>
      <c r="M41">
        <v>135</v>
      </c>
      <c r="N41" t="s">
        <v>2976</v>
      </c>
      <c r="O41" t="s">
        <v>2982</v>
      </c>
      <c r="P41" t="s">
        <v>2980</v>
      </c>
      <c r="Q41">
        <v>2</v>
      </c>
    </row>
    <row r="42" spans="1:18">
      <c r="A42" t="s">
        <v>879</v>
      </c>
      <c r="B42" t="s">
        <v>3048</v>
      </c>
      <c r="C42" t="s">
        <v>3049</v>
      </c>
      <c r="D42" t="s">
        <v>2985</v>
      </c>
      <c r="E42">
        <v>6</v>
      </c>
      <c r="F42" t="s">
        <v>3022</v>
      </c>
      <c r="I42">
        <v>40</v>
      </c>
      <c r="J42" t="s">
        <v>1118</v>
      </c>
      <c r="M42">
        <v>273</v>
      </c>
      <c r="N42" t="s">
        <v>2976</v>
      </c>
      <c r="O42" t="s">
        <v>2977</v>
      </c>
      <c r="P42" t="s">
        <v>2980</v>
      </c>
    </row>
    <row r="43" spans="1:18">
      <c r="B43" t="s">
        <v>3050</v>
      </c>
      <c r="C43" t="s">
        <v>3051</v>
      </c>
      <c r="D43" t="s">
        <v>2985</v>
      </c>
      <c r="E43">
        <v>16</v>
      </c>
      <c r="F43" t="s">
        <v>3022</v>
      </c>
      <c r="I43">
        <v>40</v>
      </c>
      <c r="J43" t="s">
        <v>1118</v>
      </c>
      <c r="M43">
        <v>273</v>
      </c>
      <c r="N43" t="s">
        <v>2976</v>
      </c>
      <c r="O43" t="s">
        <v>2977</v>
      </c>
      <c r="P43" t="s">
        <v>2980</v>
      </c>
    </row>
    <row r="44" spans="1:18">
      <c r="A44" t="s">
        <v>874</v>
      </c>
      <c r="B44" t="s">
        <v>3052</v>
      </c>
      <c r="D44" t="s">
        <v>3053</v>
      </c>
      <c r="E44">
        <v>20</v>
      </c>
      <c r="F44" t="s">
        <v>3022</v>
      </c>
      <c r="I44">
        <v>28</v>
      </c>
      <c r="J44" t="s">
        <v>1811</v>
      </c>
      <c r="M44">
        <v>77</v>
      </c>
      <c r="N44" t="s">
        <v>2976</v>
      </c>
      <c r="O44" t="s">
        <v>2977</v>
      </c>
      <c r="P44" t="s">
        <v>2980</v>
      </c>
    </row>
    <row r="45" spans="1:18">
      <c r="A45" t="s">
        <v>124</v>
      </c>
      <c r="B45" t="s">
        <v>3054</v>
      </c>
      <c r="D45" t="s">
        <v>2979</v>
      </c>
      <c r="M45">
        <v>10</v>
      </c>
      <c r="N45" t="s">
        <v>2976</v>
      </c>
      <c r="O45" t="s">
        <v>2977</v>
      </c>
    </row>
    <row r="46" spans="1:18">
      <c r="A46" t="s">
        <v>856</v>
      </c>
      <c r="B46" t="s">
        <v>3055</v>
      </c>
      <c r="D46" t="s">
        <v>3056</v>
      </c>
      <c r="E46">
        <v>20</v>
      </c>
      <c r="F46" t="s">
        <v>3022</v>
      </c>
      <c r="G46">
        <v>-0.33</v>
      </c>
      <c r="H46" t="s">
        <v>3057</v>
      </c>
      <c r="M46">
        <v>35</v>
      </c>
      <c r="N46" t="s">
        <v>2976</v>
      </c>
      <c r="O46" t="s">
        <v>2977</v>
      </c>
      <c r="P46" t="s">
        <v>2980</v>
      </c>
      <c r="Q46">
        <v>3</v>
      </c>
    </row>
    <row r="47" spans="1:18">
      <c r="A47" t="s">
        <v>129</v>
      </c>
      <c r="B47" t="s">
        <v>3058</v>
      </c>
      <c r="D47" t="s">
        <v>3059</v>
      </c>
      <c r="E47">
        <v>15</v>
      </c>
      <c r="F47" t="s">
        <v>3022</v>
      </c>
      <c r="M47">
        <v>64</v>
      </c>
      <c r="N47" t="s">
        <v>2976</v>
      </c>
      <c r="O47" t="s">
        <v>2977</v>
      </c>
      <c r="P47" t="s">
        <v>2980</v>
      </c>
      <c r="Q47">
        <v>3</v>
      </c>
    </row>
    <row r="48" spans="1:18">
      <c r="A48" t="s">
        <v>848</v>
      </c>
      <c r="B48" t="s">
        <v>3060</v>
      </c>
      <c r="C48" t="s">
        <v>3061</v>
      </c>
      <c r="D48" t="s">
        <v>3062</v>
      </c>
      <c r="E48">
        <v>20</v>
      </c>
      <c r="F48" t="s">
        <v>3022</v>
      </c>
      <c r="I48">
        <v>80</v>
      </c>
      <c r="J48" t="s">
        <v>3063</v>
      </c>
      <c r="M48">
        <v>90</v>
      </c>
      <c r="N48" t="s">
        <v>2976</v>
      </c>
      <c r="O48" t="s">
        <v>2977</v>
      </c>
      <c r="P48" t="s">
        <v>2980</v>
      </c>
      <c r="Q48">
        <v>3</v>
      </c>
    </row>
    <row r="49" spans="1:18">
      <c r="B49" t="s">
        <v>3064</v>
      </c>
      <c r="C49" t="s">
        <v>3065</v>
      </c>
      <c r="D49" t="s">
        <v>3062</v>
      </c>
      <c r="E49">
        <v>20</v>
      </c>
      <c r="F49" t="s">
        <v>3022</v>
      </c>
      <c r="I49">
        <v>80</v>
      </c>
      <c r="J49" t="s">
        <v>3063</v>
      </c>
      <c r="M49">
        <v>90</v>
      </c>
      <c r="N49" t="s">
        <v>2976</v>
      </c>
      <c r="O49" t="s">
        <v>2977</v>
      </c>
      <c r="P49" t="s">
        <v>2980</v>
      </c>
      <c r="Q49">
        <v>3</v>
      </c>
      <c r="R49" t="s">
        <v>3066</v>
      </c>
    </row>
    <row r="50" spans="1:18">
      <c r="A50" t="s">
        <v>133</v>
      </c>
      <c r="B50" t="s">
        <v>3067</v>
      </c>
      <c r="D50" t="s">
        <v>3068</v>
      </c>
      <c r="E50">
        <v>25</v>
      </c>
      <c r="F50" t="s">
        <v>3022</v>
      </c>
      <c r="K50">
        <v>80</v>
      </c>
      <c r="L50" t="s">
        <v>1118</v>
      </c>
      <c r="M50">
        <v>30</v>
      </c>
      <c r="N50" t="s">
        <v>2976</v>
      </c>
      <c r="O50" t="s">
        <v>3035</v>
      </c>
      <c r="P50" t="s">
        <v>2980</v>
      </c>
      <c r="Q50">
        <v>3</v>
      </c>
      <c r="R50" t="s">
        <v>3069</v>
      </c>
    </row>
    <row r="51" spans="1:18">
      <c r="A51" t="s">
        <v>827</v>
      </c>
      <c r="B51" t="s">
        <v>3070</v>
      </c>
      <c r="D51" t="s">
        <v>3071</v>
      </c>
      <c r="E51">
        <v>28</v>
      </c>
      <c r="F51" t="s">
        <v>3022</v>
      </c>
      <c r="M51">
        <v>30</v>
      </c>
      <c r="N51" t="s">
        <v>2976</v>
      </c>
      <c r="O51" t="s">
        <v>2977</v>
      </c>
    </row>
    <row r="52" spans="1:18">
      <c r="A52" t="s">
        <v>817</v>
      </c>
      <c r="B52" t="s">
        <v>3072</v>
      </c>
      <c r="D52" t="s">
        <v>3073</v>
      </c>
      <c r="E52">
        <v>20</v>
      </c>
      <c r="F52" t="s">
        <v>3022</v>
      </c>
      <c r="G52">
        <v>-0.33</v>
      </c>
      <c r="H52" t="s">
        <v>3057</v>
      </c>
      <c r="M52">
        <v>28</v>
      </c>
      <c r="N52" t="s">
        <v>2976</v>
      </c>
      <c r="O52" t="s">
        <v>2977</v>
      </c>
      <c r="P52" t="s">
        <v>2980</v>
      </c>
    </row>
    <row r="53" spans="1:18">
      <c r="A53" t="s">
        <v>809</v>
      </c>
      <c r="B53" t="s">
        <v>3074</v>
      </c>
      <c r="D53" t="s">
        <v>3075</v>
      </c>
      <c r="E53">
        <v>25</v>
      </c>
      <c r="F53" t="s">
        <v>3022</v>
      </c>
      <c r="I53">
        <v>45</v>
      </c>
      <c r="J53" t="s">
        <v>1118</v>
      </c>
      <c r="O53" t="s">
        <v>2977</v>
      </c>
      <c r="P53" t="s">
        <v>2980</v>
      </c>
    </row>
    <row r="54" spans="1:18">
      <c r="A54" t="s">
        <v>137</v>
      </c>
      <c r="B54" t="s">
        <v>3076</v>
      </c>
      <c r="C54" t="s">
        <v>2456</v>
      </c>
      <c r="E54">
        <v>20</v>
      </c>
      <c r="F54" t="s">
        <v>3022</v>
      </c>
      <c r="I54">
        <v>40</v>
      </c>
      <c r="J54" t="s">
        <v>1118</v>
      </c>
      <c r="M54">
        <v>50</v>
      </c>
      <c r="N54" t="s">
        <v>2976</v>
      </c>
      <c r="O54" t="s">
        <v>3039</v>
      </c>
      <c r="P54" t="s">
        <v>2980</v>
      </c>
      <c r="Q54">
        <v>2</v>
      </c>
    </row>
    <row r="55" spans="1:18">
      <c r="B55" t="s">
        <v>3077</v>
      </c>
      <c r="E55">
        <v>20</v>
      </c>
      <c r="F55" t="s">
        <v>3022</v>
      </c>
      <c r="I55">
        <v>40</v>
      </c>
      <c r="J55" t="s">
        <v>1118</v>
      </c>
      <c r="M55">
        <v>50</v>
      </c>
      <c r="N55" t="s">
        <v>2976</v>
      </c>
      <c r="O55" t="s">
        <v>3035</v>
      </c>
      <c r="P55" t="s">
        <v>2980</v>
      </c>
      <c r="Q55">
        <v>2</v>
      </c>
    </row>
    <row r="56" spans="1:18">
      <c r="A56" t="s">
        <v>141</v>
      </c>
      <c r="B56" t="s">
        <v>3078</v>
      </c>
      <c r="C56" t="s">
        <v>3079</v>
      </c>
      <c r="D56" t="s">
        <v>3080</v>
      </c>
      <c r="O56" t="s">
        <v>3081</v>
      </c>
    </row>
    <row r="57" spans="1:18">
      <c r="A57" t="s">
        <v>150</v>
      </c>
      <c r="B57" t="s">
        <v>3082</v>
      </c>
      <c r="E57">
        <v>25</v>
      </c>
      <c r="F57" t="s">
        <v>3022</v>
      </c>
      <c r="G57">
        <v>60</v>
      </c>
      <c r="H57" t="s">
        <v>1118</v>
      </c>
      <c r="M57">
        <v>60</v>
      </c>
      <c r="N57" t="s">
        <v>2976</v>
      </c>
      <c r="O57" t="s">
        <v>3035</v>
      </c>
      <c r="P57" t="s">
        <v>2980</v>
      </c>
      <c r="Q57">
        <v>3</v>
      </c>
    </row>
    <row r="58" spans="1:18">
      <c r="A58" t="s">
        <v>160</v>
      </c>
      <c r="B58" t="s">
        <v>3083</v>
      </c>
      <c r="D58" t="s">
        <v>3084</v>
      </c>
      <c r="E58">
        <v>20</v>
      </c>
      <c r="F58" t="s">
        <v>3022</v>
      </c>
      <c r="G58">
        <v>40</v>
      </c>
      <c r="H58" t="s">
        <v>1118</v>
      </c>
      <c r="M58">
        <v>62</v>
      </c>
      <c r="N58" t="s">
        <v>2976</v>
      </c>
      <c r="O58" t="s">
        <v>3035</v>
      </c>
      <c r="Q58">
        <v>3</v>
      </c>
    </row>
    <row r="59" spans="1:18">
      <c r="A59" t="s">
        <v>801</v>
      </c>
      <c r="B59" t="s">
        <v>3085</v>
      </c>
      <c r="D59" t="s">
        <v>3071</v>
      </c>
      <c r="E59">
        <v>25</v>
      </c>
      <c r="F59" t="s">
        <v>3022</v>
      </c>
      <c r="I59">
        <v>60</v>
      </c>
      <c r="J59" t="s">
        <v>1118</v>
      </c>
      <c r="M59">
        <v>90</v>
      </c>
      <c r="N59" t="s">
        <v>2976</v>
      </c>
      <c r="O59" t="s">
        <v>2977</v>
      </c>
      <c r="P59" t="s">
        <v>2980</v>
      </c>
      <c r="Q59">
        <v>3</v>
      </c>
    </row>
    <row r="60" spans="1:18">
      <c r="A60" t="s">
        <v>155</v>
      </c>
      <c r="B60" t="s">
        <v>3086</v>
      </c>
      <c r="C60" t="s">
        <v>3087</v>
      </c>
      <c r="D60" t="s">
        <v>3088</v>
      </c>
      <c r="E60">
        <v>20</v>
      </c>
      <c r="F60" t="s">
        <v>3022</v>
      </c>
      <c r="G60">
        <v>40</v>
      </c>
      <c r="H60" t="s">
        <v>1118</v>
      </c>
      <c r="M60">
        <v>49</v>
      </c>
      <c r="N60" t="s">
        <v>2976</v>
      </c>
      <c r="O60" t="s">
        <v>3035</v>
      </c>
    </row>
    <row r="61" spans="1:18">
      <c r="A61" t="s">
        <v>796</v>
      </c>
      <c r="B61" t="s">
        <v>3089</v>
      </c>
      <c r="D61" t="s">
        <v>3071</v>
      </c>
      <c r="E61">
        <v>25</v>
      </c>
      <c r="F61" t="s">
        <v>3022</v>
      </c>
      <c r="I61">
        <v>13</v>
      </c>
      <c r="J61" t="s">
        <v>3063</v>
      </c>
      <c r="M61">
        <v>45</v>
      </c>
      <c r="N61" t="s">
        <v>2976</v>
      </c>
      <c r="O61" t="s">
        <v>3035</v>
      </c>
      <c r="P61" t="s">
        <v>2980</v>
      </c>
      <c r="Q61">
        <v>3</v>
      </c>
    </row>
    <row r="62" spans="1:18">
      <c r="A62" t="s">
        <v>792</v>
      </c>
      <c r="B62" t="s">
        <v>3090</v>
      </c>
      <c r="C62" t="s">
        <v>3091</v>
      </c>
      <c r="D62" t="s">
        <v>3071</v>
      </c>
      <c r="E62">
        <v>30</v>
      </c>
      <c r="F62" t="s">
        <v>3022</v>
      </c>
      <c r="I62">
        <v>10</v>
      </c>
      <c r="J62" t="s">
        <v>1118</v>
      </c>
      <c r="M62">
        <v>15</v>
      </c>
      <c r="N62" t="s">
        <v>2976</v>
      </c>
      <c r="O62" t="s">
        <v>3035</v>
      </c>
      <c r="P62" t="s">
        <v>2980</v>
      </c>
      <c r="Q62">
        <v>3</v>
      </c>
    </row>
    <row r="63" spans="1:18">
      <c r="B63" t="s">
        <v>3092</v>
      </c>
      <c r="C63" t="s">
        <v>3093</v>
      </c>
      <c r="D63" t="s">
        <v>3071</v>
      </c>
      <c r="E63">
        <v>30</v>
      </c>
      <c r="F63" t="s">
        <v>3022</v>
      </c>
      <c r="I63">
        <v>60</v>
      </c>
      <c r="J63" t="s">
        <v>3063</v>
      </c>
      <c r="M63">
        <v>15</v>
      </c>
      <c r="N63" t="s">
        <v>2976</v>
      </c>
      <c r="O63" t="s">
        <v>3035</v>
      </c>
      <c r="P63" t="s">
        <v>2980</v>
      </c>
      <c r="Q63">
        <v>3</v>
      </c>
    </row>
    <row r="64" spans="1:18">
      <c r="A64" t="s">
        <v>190</v>
      </c>
      <c r="B64" t="s">
        <v>3094</v>
      </c>
      <c r="C64" t="s">
        <v>3095</v>
      </c>
      <c r="G64">
        <v>60</v>
      </c>
      <c r="H64" t="s">
        <v>1118</v>
      </c>
      <c r="M64">
        <v>88</v>
      </c>
      <c r="N64" t="s">
        <v>2976</v>
      </c>
      <c r="O64" t="s">
        <v>3035</v>
      </c>
      <c r="Q64">
        <v>3</v>
      </c>
    </row>
    <row r="65" spans="1:18">
      <c r="B65" t="s">
        <v>3096</v>
      </c>
      <c r="C65" t="s">
        <v>3097</v>
      </c>
      <c r="M65">
        <v>88</v>
      </c>
      <c r="N65" t="s">
        <v>2976</v>
      </c>
      <c r="O65" t="s">
        <v>3035</v>
      </c>
      <c r="Q65">
        <v>3</v>
      </c>
      <c r="R65" t="s">
        <v>3097</v>
      </c>
    </row>
    <row r="66" spans="1:18">
      <c r="A66" t="s">
        <v>205</v>
      </c>
      <c r="B66" t="s">
        <v>3098</v>
      </c>
      <c r="C66" t="s">
        <v>3099</v>
      </c>
      <c r="D66" t="s">
        <v>3100</v>
      </c>
      <c r="E66">
        <v>28</v>
      </c>
      <c r="F66" t="s">
        <v>3022</v>
      </c>
      <c r="G66">
        <v>60</v>
      </c>
      <c r="H66" t="s">
        <v>1118</v>
      </c>
      <c r="O66" t="s">
        <v>3035</v>
      </c>
      <c r="P66" t="s">
        <v>2980</v>
      </c>
      <c r="Q66">
        <v>2</v>
      </c>
    </row>
    <row r="67" spans="1:18">
      <c r="A67" t="s">
        <v>788</v>
      </c>
      <c r="B67" t="s">
        <v>3101</v>
      </c>
      <c r="D67" t="s">
        <v>3102</v>
      </c>
      <c r="E67">
        <v>20</v>
      </c>
      <c r="F67" t="s">
        <v>3022</v>
      </c>
      <c r="G67">
        <v>30</v>
      </c>
      <c r="H67" t="s">
        <v>1118</v>
      </c>
      <c r="M67">
        <v>60</v>
      </c>
      <c r="N67" t="s">
        <v>2976</v>
      </c>
      <c r="O67" t="s">
        <v>3035</v>
      </c>
      <c r="Q67">
        <v>3</v>
      </c>
    </row>
    <row r="68" spans="1:18">
      <c r="A68" t="s">
        <v>784</v>
      </c>
      <c r="B68" t="s">
        <v>3103</v>
      </c>
      <c r="D68" t="s">
        <v>2985</v>
      </c>
      <c r="M68">
        <v>60</v>
      </c>
      <c r="N68" t="s">
        <v>2976</v>
      </c>
      <c r="O68" t="s">
        <v>3035</v>
      </c>
    </row>
    <row r="69" spans="1:18">
      <c r="A69" t="s">
        <v>780</v>
      </c>
      <c r="B69" t="s">
        <v>3104</v>
      </c>
      <c r="E69">
        <v>25</v>
      </c>
      <c r="F69" t="s">
        <v>3022</v>
      </c>
      <c r="K69">
        <v>80</v>
      </c>
      <c r="L69" t="s">
        <v>1118</v>
      </c>
      <c r="O69" t="s">
        <v>3035</v>
      </c>
      <c r="P69" t="s">
        <v>2980</v>
      </c>
      <c r="Q69">
        <v>3</v>
      </c>
    </row>
    <row r="70" spans="1:18">
      <c r="A70" t="s">
        <v>213</v>
      </c>
      <c r="B70" t="s">
        <v>3105</v>
      </c>
      <c r="E70">
        <v>30</v>
      </c>
      <c r="F70" t="s">
        <v>3022</v>
      </c>
      <c r="G70">
        <v>2</v>
      </c>
      <c r="H70" t="s">
        <v>1118</v>
      </c>
      <c r="M70">
        <v>21</v>
      </c>
      <c r="N70" t="s">
        <v>2976</v>
      </c>
      <c r="O70" t="s">
        <v>3035</v>
      </c>
    </row>
    <row r="71" spans="1:18">
      <c r="B71" t="s">
        <v>3106</v>
      </c>
      <c r="C71" t="s">
        <v>1464</v>
      </c>
      <c r="E71">
        <v>30</v>
      </c>
      <c r="F71" t="s">
        <v>3022</v>
      </c>
      <c r="G71">
        <v>2</v>
      </c>
      <c r="H71" t="s">
        <v>1118</v>
      </c>
      <c r="M71">
        <v>21</v>
      </c>
      <c r="N71" t="s">
        <v>2976</v>
      </c>
      <c r="O71" t="s">
        <v>3035</v>
      </c>
      <c r="R71" t="s">
        <v>3107</v>
      </c>
    </row>
    <row r="72" spans="1:18">
      <c r="A72" t="s">
        <v>233</v>
      </c>
      <c r="B72" t="s">
        <v>3108</v>
      </c>
      <c r="E72">
        <v>27</v>
      </c>
      <c r="F72" t="s">
        <v>3022</v>
      </c>
      <c r="M72">
        <v>10</v>
      </c>
      <c r="N72" t="s">
        <v>2976</v>
      </c>
      <c r="O72" t="s">
        <v>2977</v>
      </c>
      <c r="Q72">
        <v>3</v>
      </c>
    </row>
    <row r="73" spans="1:18">
      <c r="B73" t="s">
        <v>3109</v>
      </c>
      <c r="C73" t="s">
        <v>3110</v>
      </c>
      <c r="E73">
        <v>27</v>
      </c>
      <c r="F73" t="s">
        <v>3022</v>
      </c>
      <c r="M73">
        <v>10</v>
      </c>
      <c r="N73" t="s">
        <v>2976</v>
      </c>
      <c r="O73" t="s">
        <v>2977</v>
      </c>
      <c r="Q73">
        <v>3</v>
      </c>
    </row>
    <row r="74" spans="1:18">
      <c r="A74" t="s">
        <v>776</v>
      </c>
      <c r="B74" t="s">
        <v>3111</v>
      </c>
      <c r="D74" t="s">
        <v>3112</v>
      </c>
      <c r="E74">
        <v>20</v>
      </c>
      <c r="F74" t="s">
        <v>3022</v>
      </c>
      <c r="I74">
        <v>40</v>
      </c>
      <c r="J74" t="s">
        <v>1118</v>
      </c>
      <c r="M74">
        <v>64</v>
      </c>
      <c r="N74" t="s">
        <v>2976</v>
      </c>
      <c r="O74" t="s">
        <v>2977</v>
      </c>
      <c r="P74" t="s">
        <v>2980</v>
      </c>
      <c r="Q74">
        <v>3</v>
      </c>
    </row>
    <row r="75" spans="1:18">
      <c r="A75" t="s">
        <v>768</v>
      </c>
      <c r="B75" t="s">
        <v>3113</v>
      </c>
      <c r="D75" t="s">
        <v>3112</v>
      </c>
      <c r="E75">
        <v>20</v>
      </c>
      <c r="F75" t="s">
        <v>3022</v>
      </c>
      <c r="I75">
        <v>60</v>
      </c>
      <c r="J75" t="s">
        <v>1118</v>
      </c>
      <c r="M75">
        <v>98</v>
      </c>
      <c r="N75" t="s">
        <v>2976</v>
      </c>
      <c r="O75" t="s">
        <v>2977</v>
      </c>
      <c r="P75" t="s">
        <v>2980</v>
      </c>
      <c r="Q75">
        <v>2</v>
      </c>
    </row>
    <row r="76" spans="1:18">
      <c r="A76" t="s">
        <v>765</v>
      </c>
      <c r="B76" t="s">
        <v>3114</v>
      </c>
      <c r="D76" t="s">
        <v>3115</v>
      </c>
      <c r="E76">
        <v>25</v>
      </c>
      <c r="F76" t="s">
        <v>3022</v>
      </c>
      <c r="I76">
        <v>13</v>
      </c>
      <c r="J76" t="s">
        <v>3063</v>
      </c>
      <c r="M76">
        <v>60</v>
      </c>
      <c r="N76" t="s">
        <v>2976</v>
      </c>
      <c r="O76" t="s">
        <v>2977</v>
      </c>
      <c r="P76" t="s">
        <v>2980</v>
      </c>
      <c r="Q76">
        <v>3</v>
      </c>
    </row>
    <row r="77" spans="1:18">
      <c r="A77" t="s">
        <v>756</v>
      </c>
      <c r="B77" t="s">
        <v>3116</v>
      </c>
      <c r="D77" t="s">
        <v>3112</v>
      </c>
      <c r="E77">
        <v>20</v>
      </c>
      <c r="F77" t="s">
        <v>3022</v>
      </c>
      <c r="I77">
        <v>60</v>
      </c>
      <c r="J77" t="s">
        <v>1118</v>
      </c>
      <c r="M77">
        <v>43</v>
      </c>
      <c r="N77" t="s">
        <v>2976</v>
      </c>
      <c r="O77" t="s">
        <v>2977</v>
      </c>
      <c r="P77" t="s">
        <v>2980</v>
      </c>
      <c r="Q77">
        <v>3</v>
      </c>
    </row>
    <row r="78" spans="1:18">
      <c r="A78" t="s">
        <v>753</v>
      </c>
      <c r="B78" t="s">
        <v>3117</v>
      </c>
      <c r="D78" t="s">
        <v>3118</v>
      </c>
      <c r="E78">
        <v>20</v>
      </c>
      <c r="F78" t="s">
        <v>3022</v>
      </c>
      <c r="G78">
        <v>36</v>
      </c>
      <c r="H78" t="s">
        <v>3119</v>
      </c>
      <c r="M78">
        <v>60</v>
      </c>
      <c r="N78" t="s">
        <v>2976</v>
      </c>
      <c r="O78" t="s">
        <v>2977</v>
      </c>
      <c r="P78" t="s">
        <v>2980</v>
      </c>
      <c r="Q78">
        <v>3</v>
      </c>
    </row>
    <row r="79" spans="1:18">
      <c r="A79" t="s">
        <v>749</v>
      </c>
      <c r="B79" t="s">
        <v>3120</v>
      </c>
      <c r="D79" t="s">
        <v>3118</v>
      </c>
      <c r="E79">
        <v>20</v>
      </c>
      <c r="F79" t="s">
        <v>3022</v>
      </c>
      <c r="I79">
        <v>40</v>
      </c>
      <c r="J79" t="s">
        <v>1118</v>
      </c>
      <c r="M79">
        <v>64</v>
      </c>
      <c r="N79" t="s">
        <v>2976</v>
      </c>
      <c r="O79" t="s">
        <v>2977</v>
      </c>
      <c r="P79" t="s">
        <v>2980</v>
      </c>
      <c r="Q79">
        <v>3</v>
      </c>
    </row>
    <row r="80" spans="1:18">
      <c r="B80" t="s">
        <v>3121</v>
      </c>
      <c r="D80" t="s">
        <v>3118</v>
      </c>
      <c r="E80">
        <v>20</v>
      </c>
      <c r="F80" t="s">
        <v>3022</v>
      </c>
      <c r="I80">
        <v>40</v>
      </c>
      <c r="J80" t="s">
        <v>1118</v>
      </c>
      <c r="M80">
        <v>64</v>
      </c>
      <c r="N80" t="s">
        <v>2976</v>
      </c>
      <c r="O80" t="s">
        <v>2982</v>
      </c>
      <c r="P80" t="s">
        <v>2980</v>
      </c>
      <c r="Q80">
        <v>3</v>
      </c>
    </row>
    <row r="81" spans="1:17">
      <c r="A81" t="s">
        <v>741</v>
      </c>
      <c r="B81" t="s">
        <v>3122</v>
      </c>
      <c r="D81" t="s">
        <v>3102</v>
      </c>
      <c r="E81">
        <v>20</v>
      </c>
      <c r="F81" t="s">
        <v>3022</v>
      </c>
      <c r="I81">
        <v>38</v>
      </c>
      <c r="J81" t="s">
        <v>1118</v>
      </c>
      <c r="M81">
        <v>113</v>
      </c>
      <c r="N81" t="s">
        <v>2976</v>
      </c>
      <c r="O81" t="s">
        <v>2977</v>
      </c>
      <c r="Q81">
        <v>5</v>
      </c>
    </row>
    <row r="82" spans="1:17">
      <c r="A82" t="s">
        <v>733</v>
      </c>
      <c r="B82" t="s">
        <v>3123</v>
      </c>
      <c r="D82" t="s">
        <v>3112</v>
      </c>
      <c r="E82">
        <v>30</v>
      </c>
      <c r="F82" t="s">
        <v>3022</v>
      </c>
      <c r="G82">
        <v>60</v>
      </c>
      <c r="H82" t="s">
        <v>1811</v>
      </c>
      <c r="M82">
        <v>60</v>
      </c>
      <c r="N82" t="s">
        <v>2976</v>
      </c>
      <c r="O82" t="s">
        <v>2977</v>
      </c>
      <c r="P82" t="s">
        <v>2980</v>
      </c>
      <c r="Q82">
        <v>3</v>
      </c>
    </row>
    <row r="83" spans="1:17">
      <c r="A83" t="s">
        <v>721</v>
      </c>
      <c r="B83" t="s">
        <v>3124</v>
      </c>
      <c r="D83" t="s">
        <v>3059</v>
      </c>
      <c r="E83">
        <v>15</v>
      </c>
      <c r="F83" t="s">
        <v>3022</v>
      </c>
      <c r="G83">
        <v>40</v>
      </c>
      <c r="H83" t="s">
        <v>1118</v>
      </c>
      <c r="M83">
        <v>140</v>
      </c>
      <c r="N83" t="s">
        <v>2976</v>
      </c>
      <c r="O83" t="s">
        <v>2977</v>
      </c>
      <c r="P83" t="s">
        <v>2980</v>
      </c>
      <c r="Q83">
        <v>3</v>
      </c>
    </row>
    <row r="84" spans="1:17">
      <c r="A84" t="s">
        <v>302</v>
      </c>
      <c r="B84" t="s">
        <v>3125</v>
      </c>
      <c r="D84" t="s">
        <v>3084</v>
      </c>
      <c r="E84">
        <v>20</v>
      </c>
      <c r="F84" t="s">
        <v>3022</v>
      </c>
      <c r="I84">
        <v>40</v>
      </c>
      <c r="J84" t="s">
        <v>3063</v>
      </c>
      <c r="M84">
        <v>55</v>
      </c>
      <c r="N84" t="s">
        <v>2976</v>
      </c>
      <c r="O84" t="s">
        <v>3035</v>
      </c>
      <c r="Q84">
        <v>3</v>
      </c>
    </row>
    <row r="85" spans="1:17">
      <c r="A85" t="s">
        <v>717</v>
      </c>
      <c r="B85" t="s">
        <v>3126</v>
      </c>
      <c r="C85" t="s">
        <v>3127</v>
      </c>
      <c r="D85" t="s">
        <v>3128</v>
      </c>
      <c r="E85">
        <v>25</v>
      </c>
      <c r="F85" t="s">
        <v>3022</v>
      </c>
      <c r="G85">
        <v>60</v>
      </c>
      <c r="H85" t="s">
        <v>1118</v>
      </c>
      <c r="M85">
        <v>28</v>
      </c>
      <c r="N85" t="s">
        <v>2976</v>
      </c>
      <c r="O85" t="s">
        <v>2977</v>
      </c>
      <c r="P85" t="s">
        <v>2980</v>
      </c>
    </row>
    <row r="86" spans="1:17">
      <c r="A86" t="s">
        <v>713</v>
      </c>
      <c r="B86" t="s">
        <v>3129</v>
      </c>
      <c r="C86" t="s">
        <v>3130</v>
      </c>
      <c r="D86" t="s">
        <v>3128</v>
      </c>
      <c r="E86">
        <v>23</v>
      </c>
      <c r="F86" t="s">
        <v>3022</v>
      </c>
      <c r="G86">
        <v>70</v>
      </c>
      <c r="H86" t="s">
        <v>1118</v>
      </c>
      <c r="M86">
        <v>70</v>
      </c>
      <c r="N86" t="s">
        <v>2976</v>
      </c>
      <c r="O86" t="s">
        <v>2977</v>
      </c>
      <c r="P86" t="s">
        <v>2980</v>
      </c>
      <c r="Q86">
        <v>3</v>
      </c>
    </row>
    <row r="87" spans="1:17">
      <c r="A87" t="s">
        <v>705</v>
      </c>
      <c r="B87" t="s">
        <v>3131</v>
      </c>
      <c r="C87" t="s">
        <v>3132</v>
      </c>
      <c r="D87" t="s">
        <v>3084</v>
      </c>
      <c r="E87">
        <v>20</v>
      </c>
      <c r="F87" t="s">
        <v>3022</v>
      </c>
      <c r="I87">
        <v>40</v>
      </c>
      <c r="J87" t="s">
        <v>3063</v>
      </c>
      <c r="M87">
        <v>103</v>
      </c>
      <c r="N87" t="s">
        <v>2976</v>
      </c>
      <c r="O87" t="s">
        <v>2977</v>
      </c>
      <c r="P87" t="s">
        <v>2980</v>
      </c>
      <c r="Q87">
        <v>3</v>
      </c>
    </row>
    <row r="88" spans="1:17">
      <c r="A88" t="s">
        <v>320</v>
      </c>
      <c r="B88" t="s">
        <v>3133</v>
      </c>
      <c r="E88">
        <v>20</v>
      </c>
      <c r="F88" t="s">
        <v>3022</v>
      </c>
      <c r="I88">
        <v>60</v>
      </c>
      <c r="J88" t="s">
        <v>3063</v>
      </c>
      <c r="M88">
        <v>28</v>
      </c>
      <c r="N88" t="s">
        <v>2976</v>
      </c>
      <c r="O88" t="s">
        <v>3035</v>
      </c>
      <c r="P88" t="s">
        <v>2980</v>
      </c>
    </row>
    <row r="89" spans="1:17">
      <c r="A89" t="s">
        <v>695</v>
      </c>
      <c r="B89" t="s">
        <v>3134</v>
      </c>
      <c r="D89" t="s">
        <v>3062</v>
      </c>
      <c r="E89">
        <v>30</v>
      </c>
      <c r="F89" t="s">
        <v>3022</v>
      </c>
      <c r="G89">
        <v>60</v>
      </c>
      <c r="H89" t="s">
        <v>1118</v>
      </c>
      <c r="M89">
        <v>50</v>
      </c>
      <c r="N89" t="s">
        <v>2976</v>
      </c>
      <c r="O89" t="s">
        <v>2977</v>
      </c>
      <c r="P89" t="s">
        <v>2980</v>
      </c>
      <c r="Q89">
        <v>3</v>
      </c>
    </row>
    <row r="90" spans="1:17">
      <c r="A90" t="s">
        <v>329</v>
      </c>
      <c r="B90" t="s">
        <v>3135</v>
      </c>
      <c r="C90" s="29" t="s">
        <v>3136</v>
      </c>
      <c r="E90">
        <v>25</v>
      </c>
      <c r="F90" t="s">
        <v>3022</v>
      </c>
      <c r="K90">
        <v>85</v>
      </c>
      <c r="L90" t="s">
        <v>1118</v>
      </c>
      <c r="M90">
        <v>70</v>
      </c>
      <c r="N90" t="s">
        <v>2976</v>
      </c>
      <c r="O90" t="s">
        <v>3035</v>
      </c>
      <c r="P90" t="s">
        <v>2980</v>
      </c>
      <c r="Q90">
        <v>3</v>
      </c>
    </row>
    <row r="91" spans="1:17">
      <c r="A91" t="s">
        <v>670</v>
      </c>
      <c r="B91" t="s">
        <v>3137</v>
      </c>
      <c r="C91" t="s">
        <v>3138</v>
      </c>
      <c r="E91">
        <v>20</v>
      </c>
      <c r="F91" t="s">
        <v>3022</v>
      </c>
      <c r="G91">
        <v>40</v>
      </c>
      <c r="H91" t="s">
        <v>1118</v>
      </c>
      <c r="M91">
        <v>378</v>
      </c>
      <c r="N91" t="s">
        <v>2976</v>
      </c>
      <c r="O91" t="s">
        <v>2977</v>
      </c>
      <c r="P91" t="s">
        <v>2980</v>
      </c>
      <c r="Q91">
        <v>3</v>
      </c>
    </row>
    <row r="92" spans="1:17">
      <c r="A92" t="s">
        <v>658</v>
      </c>
      <c r="B92" t="s">
        <v>3139</v>
      </c>
      <c r="C92" t="s">
        <v>3140</v>
      </c>
      <c r="D92" t="s">
        <v>3084</v>
      </c>
      <c r="E92">
        <v>20</v>
      </c>
      <c r="F92" t="s">
        <v>3022</v>
      </c>
      <c r="G92">
        <v>40</v>
      </c>
      <c r="H92" t="s">
        <v>1118</v>
      </c>
      <c r="M92">
        <v>33</v>
      </c>
      <c r="N92" t="s">
        <v>2976</v>
      </c>
      <c r="O92" t="s">
        <v>2977</v>
      </c>
      <c r="P92" t="s">
        <v>2980</v>
      </c>
      <c r="Q92">
        <v>4</v>
      </c>
    </row>
    <row r="93" spans="1:17">
      <c r="A93" t="s">
        <v>644</v>
      </c>
      <c r="B93" t="s">
        <v>3141</v>
      </c>
      <c r="C93" t="s">
        <v>3142</v>
      </c>
      <c r="D93" t="s">
        <v>3102</v>
      </c>
      <c r="E93">
        <v>20</v>
      </c>
      <c r="F93" t="s">
        <v>3022</v>
      </c>
      <c r="I93">
        <v>80</v>
      </c>
      <c r="J93" t="s">
        <v>3063</v>
      </c>
      <c r="M93">
        <v>90</v>
      </c>
      <c r="N93" t="s">
        <v>2976</v>
      </c>
      <c r="O93" t="s">
        <v>2977</v>
      </c>
      <c r="P93" t="s">
        <v>2980</v>
      </c>
      <c r="Q93">
        <v>3</v>
      </c>
    </row>
    <row r="94" spans="1:17">
      <c r="A94" t="s">
        <v>333</v>
      </c>
      <c r="B94" t="s">
        <v>3143</v>
      </c>
      <c r="D94" t="s">
        <v>3144</v>
      </c>
      <c r="E94">
        <v>20</v>
      </c>
      <c r="F94" t="s">
        <v>3022</v>
      </c>
      <c r="M94">
        <v>28</v>
      </c>
      <c r="N94" t="s">
        <v>2976</v>
      </c>
      <c r="O94" t="s">
        <v>3035</v>
      </c>
      <c r="P94" t="s">
        <v>2980</v>
      </c>
      <c r="Q94">
        <v>3</v>
      </c>
    </row>
    <row r="95" spans="1:17">
      <c r="B95" t="s">
        <v>3145</v>
      </c>
      <c r="D95" t="s">
        <v>3144</v>
      </c>
      <c r="E95">
        <v>20</v>
      </c>
      <c r="F95" t="s">
        <v>3022</v>
      </c>
      <c r="M95">
        <v>35</v>
      </c>
      <c r="N95" t="s">
        <v>2976</v>
      </c>
      <c r="O95" t="s">
        <v>3035</v>
      </c>
      <c r="P95" t="s">
        <v>2980</v>
      </c>
      <c r="Q95">
        <v>3</v>
      </c>
    </row>
    <row r="96" spans="1:17">
      <c r="A96" t="s">
        <v>634</v>
      </c>
      <c r="B96" t="s">
        <v>3146</v>
      </c>
      <c r="C96" t="s">
        <v>3147</v>
      </c>
      <c r="D96" t="s">
        <v>3084</v>
      </c>
      <c r="E96">
        <v>25</v>
      </c>
      <c r="F96" t="s">
        <v>3022</v>
      </c>
      <c r="G96">
        <v>60</v>
      </c>
      <c r="H96" t="s">
        <v>1118</v>
      </c>
      <c r="M96">
        <v>55</v>
      </c>
      <c r="N96" t="s">
        <v>2976</v>
      </c>
      <c r="O96" t="s">
        <v>3035</v>
      </c>
      <c r="P96" t="s">
        <v>2980</v>
      </c>
      <c r="Q96">
        <v>3</v>
      </c>
    </row>
    <row r="97" spans="1:17">
      <c r="A97" t="s">
        <v>622</v>
      </c>
      <c r="B97" t="s">
        <v>3148</v>
      </c>
      <c r="C97" t="s">
        <v>3140</v>
      </c>
      <c r="D97" t="s">
        <v>3149</v>
      </c>
      <c r="E97">
        <v>20</v>
      </c>
      <c r="F97" t="s">
        <v>3022</v>
      </c>
      <c r="I97">
        <v>75</v>
      </c>
      <c r="J97" t="s">
        <v>3063</v>
      </c>
      <c r="M97">
        <v>62</v>
      </c>
      <c r="N97" t="s">
        <v>2976</v>
      </c>
      <c r="O97" t="s">
        <v>3081</v>
      </c>
      <c r="P97" t="s">
        <v>2980</v>
      </c>
      <c r="Q97">
        <v>3</v>
      </c>
    </row>
    <row r="98" spans="1:17">
      <c r="A98" t="s">
        <v>618</v>
      </c>
      <c r="B98" t="s">
        <v>3150</v>
      </c>
      <c r="C98" t="s">
        <v>3132</v>
      </c>
      <c r="D98" t="s">
        <v>3084</v>
      </c>
      <c r="E98">
        <v>20</v>
      </c>
      <c r="F98" t="s">
        <v>3022</v>
      </c>
      <c r="G98">
        <v>30</v>
      </c>
      <c r="H98" t="s">
        <v>1811</v>
      </c>
      <c r="M98">
        <v>59</v>
      </c>
      <c r="N98" t="s">
        <v>2976</v>
      </c>
      <c r="O98" t="s">
        <v>3081</v>
      </c>
      <c r="P98" t="s">
        <v>2980</v>
      </c>
      <c r="Q98">
        <v>3</v>
      </c>
    </row>
    <row r="99" spans="1:17">
      <c r="A99" t="s">
        <v>610</v>
      </c>
      <c r="B99" t="s">
        <v>3151</v>
      </c>
      <c r="C99" t="s">
        <v>3152</v>
      </c>
      <c r="D99" t="s">
        <v>3153</v>
      </c>
      <c r="E99">
        <v>30</v>
      </c>
      <c r="F99" t="s">
        <v>3022</v>
      </c>
      <c r="G99">
        <v>15</v>
      </c>
      <c r="H99" t="s">
        <v>1118</v>
      </c>
      <c r="M99">
        <v>96</v>
      </c>
      <c r="N99" t="s">
        <v>3154</v>
      </c>
      <c r="O99" t="s">
        <v>3081</v>
      </c>
      <c r="P99" t="s">
        <v>2980</v>
      </c>
      <c r="Q99">
        <v>3</v>
      </c>
    </row>
    <row r="100" spans="1:17">
      <c r="A100" t="s">
        <v>586</v>
      </c>
      <c r="B100" t="s">
        <v>3155</v>
      </c>
      <c r="C100" t="s">
        <v>3156</v>
      </c>
      <c r="D100" t="s">
        <v>3128</v>
      </c>
      <c r="E100">
        <v>25</v>
      </c>
      <c r="F100" t="s">
        <v>3022</v>
      </c>
      <c r="G100">
        <v>60</v>
      </c>
      <c r="H100" t="s">
        <v>1118</v>
      </c>
      <c r="M100">
        <v>90</v>
      </c>
      <c r="N100" t="s">
        <v>2976</v>
      </c>
      <c r="O100" t="s">
        <v>3081</v>
      </c>
      <c r="P100" t="s">
        <v>3157</v>
      </c>
      <c r="Q100">
        <v>3</v>
      </c>
    </row>
    <row r="101" spans="1:17">
      <c r="A101" t="s">
        <v>556</v>
      </c>
      <c r="B101" t="s">
        <v>3158</v>
      </c>
      <c r="C101" t="s">
        <v>3159</v>
      </c>
      <c r="D101" t="s">
        <v>3102</v>
      </c>
      <c r="E101">
        <v>20</v>
      </c>
      <c r="F101" t="s">
        <v>3022</v>
      </c>
      <c r="G101">
        <v>60</v>
      </c>
      <c r="H101" t="s">
        <v>1118</v>
      </c>
      <c r="M101">
        <v>64</v>
      </c>
      <c r="N101" t="s">
        <v>2976</v>
      </c>
      <c r="O101" t="s">
        <v>3081</v>
      </c>
      <c r="P101" t="s">
        <v>2980</v>
      </c>
      <c r="Q101">
        <v>2</v>
      </c>
    </row>
    <row r="102" spans="1:17">
      <c r="A102" t="s">
        <v>614</v>
      </c>
      <c r="B102" t="s">
        <v>3160</v>
      </c>
      <c r="C102" t="s">
        <v>3161</v>
      </c>
      <c r="D102" t="s">
        <v>3162</v>
      </c>
      <c r="E102">
        <v>24</v>
      </c>
      <c r="F102" t="s">
        <v>3022</v>
      </c>
      <c r="G102">
        <v>40</v>
      </c>
      <c r="H102" t="s">
        <v>1118</v>
      </c>
      <c r="M102">
        <v>30</v>
      </c>
      <c r="N102" t="s">
        <v>2976</v>
      </c>
      <c r="O102" t="s">
        <v>3081</v>
      </c>
      <c r="P102" t="s">
        <v>2980</v>
      </c>
      <c r="Q102">
        <v>3</v>
      </c>
    </row>
    <row r="103" spans="1:17">
      <c r="A103" t="s">
        <v>346</v>
      </c>
      <c r="B103" t="s">
        <v>3163</v>
      </c>
      <c r="C103" t="s">
        <v>3164</v>
      </c>
      <c r="D103" t="s">
        <v>3165</v>
      </c>
      <c r="E103">
        <v>30</v>
      </c>
      <c r="F103" t="s">
        <v>3022</v>
      </c>
      <c r="I103">
        <v>50</v>
      </c>
      <c r="J103" t="s">
        <v>3063</v>
      </c>
      <c r="M103">
        <v>305</v>
      </c>
      <c r="N103" t="s">
        <v>2976</v>
      </c>
      <c r="O103" t="s">
        <v>3035</v>
      </c>
      <c r="P103" t="s">
        <v>2980</v>
      </c>
    </row>
    <row r="104" spans="1:17">
      <c r="A104" t="s">
        <v>578</v>
      </c>
      <c r="B104" t="s">
        <v>3166</v>
      </c>
      <c r="C104" t="s">
        <v>3167</v>
      </c>
      <c r="E104">
        <v>25</v>
      </c>
      <c r="F104" t="s">
        <v>3022</v>
      </c>
      <c r="G104">
        <v>60</v>
      </c>
      <c r="H104" t="s">
        <v>1118</v>
      </c>
      <c r="K104">
        <v>70</v>
      </c>
      <c r="L104" t="s">
        <v>1118</v>
      </c>
      <c r="M104">
        <v>60</v>
      </c>
      <c r="N104" t="s">
        <v>2976</v>
      </c>
      <c r="O104" t="s">
        <v>2977</v>
      </c>
      <c r="P104" t="s">
        <v>2980</v>
      </c>
      <c r="Q104">
        <v>3</v>
      </c>
    </row>
    <row r="105" spans="1:17">
      <c r="A105" t="s">
        <v>662</v>
      </c>
      <c r="B105" t="s">
        <v>3168</v>
      </c>
      <c r="D105" t="s">
        <v>3062</v>
      </c>
      <c r="E105">
        <v>18</v>
      </c>
      <c r="F105" t="s">
        <v>3022</v>
      </c>
      <c r="G105">
        <v>50</v>
      </c>
      <c r="H105" t="s">
        <v>1118</v>
      </c>
      <c r="M105">
        <v>28</v>
      </c>
      <c r="N105" t="s">
        <v>2976</v>
      </c>
      <c r="O105" t="s">
        <v>2977</v>
      </c>
      <c r="P105" t="s">
        <v>2980</v>
      </c>
      <c r="Q105">
        <v>3</v>
      </c>
    </row>
    <row r="106" spans="1:17">
      <c r="A106" t="s">
        <v>350</v>
      </c>
      <c r="B106" t="s">
        <v>3169</v>
      </c>
      <c r="D106" t="s">
        <v>3170</v>
      </c>
      <c r="E106">
        <v>25</v>
      </c>
      <c r="F106" t="s">
        <v>3022</v>
      </c>
      <c r="O106" t="s">
        <v>3035</v>
      </c>
    </row>
    <row r="107" spans="1:17">
      <c r="A107" t="s">
        <v>535</v>
      </c>
      <c r="B107" t="s">
        <v>3171</v>
      </c>
      <c r="C107" t="s">
        <v>3172</v>
      </c>
      <c r="D107" t="s">
        <v>3128</v>
      </c>
      <c r="E107">
        <v>25</v>
      </c>
      <c r="F107" t="s">
        <v>3022</v>
      </c>
      <c r="G107">
        <v>60</v>
      </c>
      <c r="H107" t="s">
        <v>1118</v>
      </c>
      <c r="M107">
        <v>60</v>
      </c>
      <c r="N107" t="s">
        <v>2976</v>
      </c>
      <c r="O107" t="s">
        <v>2977</v>
      </c>
      <c r="P107" t="s">
        <v>2980</v>
      </c>
      <c r="Q107">
        <v>3</v>
      </c>
    </row>
    <row r="108" spans="1:17">
      <c r="A108" t="s">
        <v>526</v>
      </c>
      <c r="B108" t="s">
        <v>3173</v>
      </c>
      <c r="C108" t="s">
        <v>3174</v>
      </c>
      <c r="D108" t="s">
        <v>3175</v>
      </c>
      <c r="E108">
        <v>-10</v>
      </c>
      <c r="F108" t="s">
        <v>3022</v>
      </c>
      <c r="G108">
        <v>20</v>
      </c>
      <c r="H108" t="s">
        <v>1118</v>
      </c>
      <c r="M108">
        <v>60</v>
      </c>
      <c r="N108" t="s">
        <v>2976</v>
      </c>
      <c r="O108" t="s">
        <v>2977</v>
      </c>
      <c r="P108" t="s">
        <v>2980</v>
      </c>
      <c r="Q108">
        <v>4</v>
      </c>
    </row>
    <row r="109" spans="1:17">
      <c r="A109" t="s">
        <v>518</v>
      </c>
      <c r="B109" t="s">
        <v>3176</v>
      </c>
      <c r="C109" t="s">
        <v>3164</v>
      </c>
      <c r="E109">
        <v>20</v>
      </c>
      <c r="F109" t="s">
        <v>3022</v>
      </c>
      <c r="I109">
        <v>80</v>
      </c>
      <c r="J109" t="s">
        <v>3063</v>
      </c>
      <c r="M109">
        <v>144</v>
      </c>
      <c r="N109" t="s">
        <v>2976</v>
      </c>
      <c r="O109" t="s">
        <v>2977</v>
      </c>
      <c r="P109" t="s">
        <v>2980</v>
      </c>
      <c r="Q109">
        <v>3</v>
      </c>
    </row>
    <row r="110" spans="1:17">
      <c r="A110" t="s">
        <v>508</v>
      </c>
      <c r="B110" t="s">
        <v>3177</v>
      </c>
      <c r="C110" t="s">
        <v>3178</v>
      </c>
      <c r="D110" t="s">
        <v>3179</v>
      </c>
      <c r="E110">
        <v>25</v>
      </c>
      <c r="F110" t="s">
        <v>3022</v>
      </c>
      <c r="G110">
        <v>50</v>
      </c>
      <c r="H110" t="s">
        <v>1118</v>
      </c>
      <c r="M110">
        <v>56</v>
      </c>
      <c r="N110" t="s">
        <v>2976</v>
      </c>
      <c r="O110" t="s">
        <v>2977</v>
      </c>
      <c r="P110" t="s">
        <v>2980</v>
      </c>
      <c r="Q110">
        <v>3</v>
      </c>
    </row>
    <row r="111" spans="1:17">
      <c r="A111" t="s">
        <v>504</v>
      </c>
      <c r="B111" t="s">
        <v>3180</v>
      </c>
      <c r="C111" t="s">
        <v>3181</v>
      </c>
      <c r="D111" t="s">
        <v>3182</v>
      </c>
      <c r="E111">
        <v>20</v>
      </c>
      <c r="F111" t="s">
        <v>3022</v>
      </c>
      <c r="G111">
        <v>50</v>
      </c>
      <c r="H111" t="s">
        <v>1118</v>
      </c>
      <c r="O111" t="s">
        <v>2977</v>
      </c>
      <c r="P111" t="s">
        <v>2980</v>
      </c>
      <c r="Q111">
        <v>4</v>
      </c>
    </row>
    <row r="112" spans="1:17">
      <c r="A112" t="s">
        <v>370</v>
      </c>
      <c r="B112" t="s">
        <v>3183</v>
      </c>
      <c r="C112" t="s">
        <v>3161</v>
      </c>
      <c r="E112">
        <v>25</v>
      </c>
      <c r="F112" t="s">
        <v>3022</v>
      </c>
      <c r="I112">
        <v>60</v>
      </c>
      <c r="J112" t="s">
        <v>3184</v>
      </c>
      <c r="M112">
        <v>42</v>
      </c>
      <c r="N112" t="s">
        <v>2976</v>
      </c>
      <c r="O112" t="s">
        <v>2977</v>
      </c>
      <c r="Q112">
        <v>3</v>
      </c>
    </row>
    <row r="113" spans="1:18">
      <c r="A113" t="s">
        <v>378</v>
      </c>
      <c r="B113" t="s">
        <v>3185</v>
      </c>
      <c r="C113" t="s">
        <v>3186</v>
      </c>
      <c r="D113" t="s">
        <v>3187</v>
      </c>
      <c r="I113">
        <v>50</v>
      </c>
      <c r="J113" t="s">
        <v>1118</v>
      </c>
      <c r="M113">
        <v>120</v>
      </c>
      <c r="N113" t="s">
        <v>2976</v>
      </c>
      <c r="O113" t="s">
        <v>3035</v>
      </c>
      <c r="P113" t="s">
        <v>2980</v>
      </c>
      <c r="Q113">
        <v>3</v>
      </c>
    </row>
    <row r="114" spans="1:18">
      <c r="A114" t="s">
        <v>382</v>
      </c>
      <c r="B114" t="s">
        <v>3188</v>
      </c>
      <c r="C114" t="s">
        <v>3189</v>
      </c>
      <c r="E114">
        <v>20</v>
      </c>
      <c r="F114" t="s">
        <v>3022</v>
      </c>
      <c r="I114">
        <v>40</v>
      </c>
      <c r="J114" t="s">
        <v>3063</v>
      </c>
      <c r="M114">
        <v>258</v>
      </c>
      <c r="N114" t="s">
        <v>2976</v>
      </c>
      <c r="O114" t="s">
        <v>3035</v>
      </c>
      <c r="P114" t="s">
        <v>2980</v>
      </c>
    </row>
    <row r="115" spans="1:18">
      <c r="A115" t="s">
        <v>405</v>
      </c>
      <c r="B115" t="s">
        <v>3190</v>
      </c>
      <c r="C115" t="s">
        <v>3191</v>
      </c>
      <c r="D115" t="s">
        <v>3192</v>
      </c>
      <c r="E115">
        <v>20</v>
      </c>
      <c r="F115" t="s">
        <v>3022</v>
      </c>
      <c r="I115">
        <v>60</v>
      </c>
      <c r="J115" t="s">
        <v>1118</v>
      </c>
      <c r="M115">
        <v>31</v>
      </c>
      <c r="N115" t="s">
        <v>2976</v>
      </c>
      <c r="O115" t="s">
        <v>3035</v>
      </c>
      <c r="P115" t="s">
        <v>2980</v>
      </c>
      <c r="Q115">
        <v>2</v>
      </c>
    </row>
    <row r="116" spans="1:18">
      <c r="A116" t="s">
        <v>414</v>
      </c>
      <c r="B116" t="s">
        <v>3193</v>
      </c>
      <c r="D116" t="s">
        <v>3100</v>
      </c>
      <c r="E116">
        <v>28</v>
      </c>
      <c r="F116" t="s">
        <v>3022</v>
      </c>
      <c r="G116">
        <v>60</v>
      </c>
      <c r="H116" t="s">
        <v>1118</v>
      </c>
      <c r="M116">
        <v>60</v>
      </c>
      <c r="N116" t="s">
        <v>2976</v>
      </c>
      <c r="O116" t="s">
        <v>3035</v>
      </c>
      <c r="P116" t="s">
        <v>2980</v>
      </c>
      <c r="Q116">
        <v>2</v>
      </c>
    </row>
    <row r="117" spans="1:18">
      <c r="A117" t="s">
        <v>422</v>
      </c>
      <c r="B117" t="s">
        <v>3194</v>
      </c>
      <c r="E117">
        <v>20</v>
      </c>
      <c r="F117" t="s">
        <v>3022</v>
      </c>
      <c r="M117">
        <v>80</v>
      </c>
      <c r="N117" t="s">
        <v>2976</v>
      </c>
      <c r="O117" t="s">
        <v>3035</v>
      </c>
      <c r="P117" t="s">
        <v>2980</v>
      </c>
      <c r="Q117">
        <v>3</v>
      </c>
    </row>
    <row r="118" spans="1:18">
      <c r="A118" t="s">
        <v>426</v>
      </c>
      <c r="B118" t="s">
        <v>3195</v>
      </c>
      <c r="C118" t="s">
        <v>3196</v>
      </c>
      <c r="D118" t="s">
        <v>3197</v>
      </c>
      <c r="E118">
        <v>20</v>
      </c>
      <c r="F118" t="s">
        <v>3022</v>
      </c>
      <c r="I118">
        <v>70</v>
      </c>
      <c r="J118" t="s">
        <v>3063</v>
      </c>
      <c r="M118">
        <v>30</v>
      </c>
      <c r="N118" t="s">
        <v>2976</v>
      </c>
      <c r="O118" t="s">
        <v>3035</v>
      </c>
      <c r="P118" t="s">
        <v>2980</v>
      </c>
      <c r="Q118">
        <v>2</v>
      </c>
      <c r="R118" t="s">
        <v>3198</v>
      </c>
    </row>
    <row r="119" spans="1:18">
      <c r="B119" t="s">
        <v>3199</v>
      </c>
      <c r="C119" t="s">
        <v>3196</v>
      </c>
      <c r="D119" t="s">
        <v>3197</v>
      </c>
      <c r="E119">
        <v>20</v>
      </c>
      <c r="F119" t="s">
        <v>3022</v>
      </c>
      <c r="I119">
        <v>70</v>
      </c>
      <c r="J119" t="s">
        <v>3063</v>
      </c>
      <c r="M119">
        <v>30</v>
      </c>
      <c r="N119" t="s">
        <v>2976</v>
      </c>
      <c r="O119" t="s">
        <v>3035</v>
      </c>
      <c r="P119" t="s">
        <v>2980</v>
      </c>
      <c r="Q119">
        <v>2</v>
      </c>
      <c r="R119" t="s">
        <v>3200</v>
      </c>
    </row>
    <row r="120" spans="1:18">
      <c r="B120" t="s">
        <v>3201</v>
      </c>
      <c r="C120" t="s">
        <v>3196</v>
      </c>
      <c r="D120" t="s">
        <v>3197</v>
      </c>
      <c r="E120">
        <v>20</v>
      </c>
      <c r="F120" t="s">
        <v>3022</v>
      </c>
      <c r="I120">
        <v>70</v>
      </c>
      <c r="J120" t="s">
        <v>3063</v>
      </c>
      <c r="M120">
        <v>30</v>
      </c>
      <c r="N120" t="s">
        <v>2976</v>
      </c>
      <c r="O120" t="s">
        <v>3035</v>
      </c>
      <c r="P120" t="s">
        <v>2980</v>
      </c>
      <c r="Q120">
        <v>2</v>
      </c>
      <c r="R120" t="s">
        <v>3202</v>
      </c>
    </row>
    <row r="121" spans="1:18">
      <c r="B121" t="s">
        <v>3203</v>
      </c>
      <c r="C121" t="s">
        <v>3196</v>
      </c>
      <c r="D121" t="s">
        <v>3197</v>
      </c>
      <c r="E121">
        <v>20</v>
      </c>
      <c r="F121" t="s">
        <v>3022</v>
      </c>
      <c r="I121">
        <v>70</v>
      </c>
      <c r="J121" t="s">
        <v>3063</v>
      </c>
      <c r="M121">
        <v>30</v>
      </c>
      <c r="N121" t="s">
        <v>2976</v>
      </c>
      <c r="O121" t="s">
        <v>3035</v>
      </c>
      <c r="P121" t="s">
        <v>2980</v>
      </c>
      <c r="Q121">
        <v>2</v>
      </c>
      <c r="R121" t="s">
        <v>3204</v>
      </c>
    </row>
    <row r="122" spans="1:18">
      <c r="A122" t="s">
        <v>430</v>
      </c>
      <c r="B122" t="s">
        <v>3205</v>
      </c>
      <c r="C122" t="s">
        <v>3132</v>
      </c>
      <c r="E122">
        <v>20</v>
      </c>
      <c r="F122" t="s">
        <v>3022</v>
      </c>
      <c r="I122">
        <v>40</v>
      </c>
      <c r="J122" t="s">
        <v>3063</v>
      </c>
      <c r="M122">
        <v>147</v>
      </c>
      <c r="N122" t="s">
        <v>2976</v>
      </c>
      <c r="O122" t="s">
        <v>3035</v>
      </c>
      <c r="P122" t="s">
        <v>2980</v>
      </c>
      <c r="Q122">
        <v>2</v>
      </c>
      <c r="R122" t="s">
        <v>3206</v>
      </c>
    </row>
    <row r="123" spans="1:18">
      <c r="B123" t="s">
        <v>3207</v>
      </c>
      <c r="C123" t="s">
        <v>3132</v>
      </c>
      <c r="E123">
        <v>20</v>
      </c>
      <c r="F123" t="s">
        <v>3022</v>
      </c>
      <c r="I123">
        <v>40</v>
      </c>
      <c r="J123" t="s">
        <v>3063</v>
      </c>
      <c r="M123">
        <v>147</v>
      </c>
      <c r="N123" t="s">
        <v>2976</v>
      </c>
      <c r="O123" t="s">
        <v>3035</v>
      </c>
      <c r="P123" t="s">
        <v>2980</v>
      </c>
      <c r="Q123">
        <v>2</v>
      </c>
      <c r="R123" t="s">
        <v>3208</v>
      </c>
    </row>
    <row r="124" spans="1:18">
      <c r="A124" t="s">
        <v>456</v>
      </c>
      <c r="B124" t="s">
        <v>3209</v>
      </c>
      <c r="C124" t="s">
        <v>3210</v>
      </c>
      <c r="D124" t="s">
        <v>3211</v>
      </c>
      <c r="E124">
        <v>20</v>
      </c>
      <c r="F124" t="s">
        <v>3022</v>
      </c>
      <c r="I124">
        <v>70</v>
      </c>
      <c r="J124" t="s">
        <v>3063</v>
      </c>
      <c r="M124">
        <v>332</v>
      </c>
      <c r="N124" t="s">
        <v>2976</v>
      </c>
      <c r="O124" t="s">
        <v>3035</v>
      </c>
      <c r="Q124">
        <v>3</v>
      </c>
    </row>
    <row r="125" spans="1:18">
      <c r="B125" t="s">
        <v>3212</v>
      </c>
      <c r="C125" t="s">
        <v>3213</v>
      </c>
      <c r="D125" t="s">
        <v>3211</v>
      </c>
      <c r="E125">
        <v>20</v>
      </c>
      <c r="F125" t="s">
        <v>3022</v>
      </c>
      <c r="I125">
        <v>70</v>
      </c>
      <c r="J125" t="s">
        <v>3063</v>
      </c>
      <c r="M125">
        <v>430</v>
      </c>
      <c r="N125" t="s">
        <v>2976</v>
      </c>
      <c r="O125" t="s">
        <v>3035</v>
      </c>
      <c r="Q125">
        <v>3</v>
      </c>
    </row>
    <row r="126" spans="1:18">
      <c r="A126" t="s">
        <v>460</v>
      </c>
      <c r="B126" t="s">
        <v>3214</v>
      </c>
      <c r="C126" t="s">
        <v>3140</v>
      </c>
      <c r="D126" t="s">
        <v>3100</v>
      </c>
      <c r="E126">
        <v>28</v>
      </c>
      <c r="F126" t="s">
        <v>3022</v>
      </c>
      <c r="I126">
        <v>60</v>
      </c>
      <c r="J126" t="s">
        <v>1118</v>
      </c>
      <c r="M126">
        <v>120</v>
      </c>
      <c r="N126" t="s">
        <v>2976</v>
      </c>
      <c r="O126" t="s">
        <v>3035</v>
      </c>
      <c r="P126" t="s">
        <v>2980</v>
      </c>
      <c r="Q126">
        <v>2</v>
      </c>
    </row>
    <row r="127" spans="1:18">
      <c r="A127" t="s">
        <v>465</v>
      </c>
      <c r="B127" t="s">
        <v>3215</v>
      </c>
      <c r="D127" t="s">
        <v>3216</v>
      </c>
      <c r="E127">
        <v>20</v>
      </c>
      <c r="F127" t="s">
        <v>3022</v>
      </c>
      <c r="I127">
        <v>30</v>
      </c>
      <c r="J127" t="s">
        <v>3063</v>
      </c>
      <c r="M127">
        <v>42</v>
      </c>
      <c r="N127" t="s">
        <v>2976</v>
      </c>
      <c r="O127" t="s">
        <v>3035</v>
      </c>
      <c r="Q127">
        <v>3</v>
      </c>
    </row>
    <row r="128" spans="1:18">
      <c r="A128" t="s">
        <v>474</v>
      </c>
      <c r="B128" t="s">
        <v>3217</v>
      </c>
      <c r="D128" t="s">
        <v>3216</v>
      </c>
      <c r="E128">
        <v>25</v>
      </c>
      <c r="F128" t="s">
        <v>3022</v>
      </c>
      <c r="G128" s="37"/>
      <c r="I128">
        <v>13</v>
      </c>
      <c r="J128" t="s">
        <v>3063</v>
      </c>
      <c r="M128">
        <v>60</v>
      </c>
      <c r="N128" t="s">
        <v>2976</v>
      </c>
      <c r="O128" t="s">
        <v>3035</v>
      </c>
      <c r="Q128">
        <v>3</v>
      </c>
    </row>
    <row r="129" spans="1:17">
      <c r="A129" t="s">
        <v>478</v>
      </c>
      <c r="B129" t="s">
        <v>3218</v>
      </c>
      <c r="C129" t="s">
        <v>3219</v>
      </c>
      <c r="D129" t="s">
        <v>3220</v>
      </c>
      <c r="E129">
        <v>37</v>
      </c>
      <c r="F129" t="s">
        <v>3022</v>
      </c>
      <c r="M129">
        <v>74</v>
      </c>
      <c r="N129" t="s">
        <v>2976</v>
      </c>
      <c r="O129" t="s">
        <v>3035</v>
      </c>
    </row>
    <row r="130" spans="1:17">
      <c r="A130" t="s">
        <v>487</v>
      </c>
      <c r="B130" t="s">
        <v>3221</v>
      </c>
      <c r="C130" t="s">
        <v>3140</v>
      </c>
      <c r="D130" t="s">
        <v>3100</v>
      </c>
      <c r="E130">
        <v>28</v>
      </c>
      <c r="F130" t="s">
        <v>3022</v>
      </c>
      <c r="I130">
        <v>60</v>
      </c>
      <c r="J130" t="s">
        <v>1118</v>
      </c>
      <c r="M130">
        <v>120</v>
      </c>
      <c r="N130" t="s">
        <v>2976</v>
      </c>
      <c r="O130" t="s">
        <v>3035</v>
      </c>
      <c r="P130" t="s">
        <v>2980</v>
      </c>
      <c r="Q130">
        <v>2</v>
      </c>
    </row>
    <row r="131" spans="1:17">
      <c r="A131" t="s">
        <v>78</v>
      </c>
      <c r="B131" t="s">
        <v>3222</v>
      </c>
      <c r="D131" t="s">
        <v>3223</v>
      </c>
      <c r="E131">
        <v>25</v>
      </c>
      <c r="F131" t="s">
        <v>3022</v>
      </c>
      <c r="I131">
        <v>40</v>
      </c>
      <c r="J131" t="s">
        <v>3063</v>
      </c>
      <c r="M131">
        <v>150</v>
      </c>
      <c r="N131" t="s">
        <v>2976</v>
      </c>
      <c r="O131" t="s">
        <v>3035</v>
      </c>
      <c r="P131" t="s">
        <v>2980</v>
      </c>
      <c r="Q131">
        <v>3</v>
      </c>
    </row>
    <row r="132" spans="1:17">
      <c r="A132" t="s">
        <v>181</v>
      </c>
      <c r="B132" t="s">
        <v>3224</v>
      </c>
      <c r="C132" t="s">
        <v>3140</v>
      </c>
      <c r="E132">
        <v>25</v>
      </c>
      <c r="F132" t="s">
        <v>3022</v>
      </c>
      <c r="I132">
        <v>60</v>
      </c>
      <c r="J132" t="s">
        <v>1118</v>
      </c>
      <c r="M132">
        <v>40</v>
      </c>
      <c r="N132" t="s">
        <v>2976</v>
      </c>
      <c r="O132" t="s">
        <v>3035</v>
      </c>
      <c r="P132" t="s">
        <v>2980</v>
      </c>
      <c r="Q132">
        <v>3</v>
      </c>
    </row>
    <row r="133" spans="1:17">
      <c r="A133" t="s">
        <v>101</v>
      </c>
      <c r="B133" t="s">
        <v>3225</v>
      </c>
      <c r="D133" t="s">
        <v>3226</v>
      </c>
      <c r="E133">
        <v>25</v>
      </c>
      <c r="F133" t="s">
        <v>3022</v>
      </c>
      <c r="M133">
        <v>84</v>
      </c>
      <c r="N133" t="s">
        <v>2976</v>
      </c>
      <c r="O133" t="s">
        <v>3035</v>
      </c>
      <c r="Q133">
        <v>3</v>
      </c>
    </row>
    <row r="134" spans="1:17">
      <c r="A134" t="s">
        <v>395</v>
      </c>
      <c r="B134" t="s">
        <v>3227</v>
      </c>
      <c r="D134" t="s">
        <v>3228</v>
      </c>
      <c r="E134">
        <v>25</v>
      </c>
      <c r="F134" t="s">
        <v>3022</v>
      </c>
      <c r="G134">
        <v>30</v>
      </c>
      <c r="H134" t="s">
        <v>1118</v>
      </c>
      <c r="M134">
        <v>21</v>
      </c>
      <c r="N134" t="s">
        <v>2976</v>
      </c>
      <c r="O134" t="s">
        <v>3035</v>
      </c>
      <c r="Q134">
        <v>3</v>
      </c>
    </row>
    <row r="135" spans="1:17">
      <c r="A135" t="s">
        <v>443</v>
      </c>
      <c r="B135" t="s">
        <v>3229</v>
      </c>
      <c r="C135" t="s">
        <v>3167</v>
      </c>
      <c r="D135" t="s">
        <v>3230</v>
      </c>
      <c r="E135">
        <v>25</v>
      </c>
      <c r="F135" t="s">
        <v>3022</v>
      </c>
      <c r="G135">
        <v>50</v>
      </c>
      <c r="H135" t="s">
        <v>1118</v>
      </c>
      <c r="K135">
        <v>70</v>
      </c>
      <c r="L135" t="s">
        <v>1118</v>
      </c>
      <c r="M135">
        <v>60</v>
      </c>
      <c r="N135" t="s">
        <v>2976</v>
      </c>
      <c r="O135" t="s">
        <v>3035</v>
      </c>
      <c r="P135" t="s">
        <v>2980</v>
      </c>
      <c r="Q135">
        <v>3</v>
      </c>
    </row>
    <row r="136" spans="1:17">
      <c r="A136" t="s">
        <v>418</v>
      </c>
      <c r="B136" t="s">
        <v>3231</v>
      </c>
      <c r="C136" t="s">
        <v>3167</v>
      </c>
      <c r="D136" t="s">
        <v>3232</v>
      </c>
      <c r="E136">
        <v>25</v>
      </c>
      <c r="F136" t="s">
        <v>3022</v>
      </c>
      <c r="I136">
        <v>85</v>
      </c>
      <c r="J136" t="s">
        <v>3063</v>
      </c>
      <c r="M136">
        <v>42</v>
      </c>
      <c r="N136" t="s">
        <v>2976</v>
      </c>
      <c r="O136" t="s">
        <v>2977</v>
      </c>
      <c r="P136" t="s">
        <v>3233</v>
      </c>
      <c r="Q136">
        <v>3</v>
      </c>
    </row>
  </sheetData>
  <mergeCells count="2">
    <mergeCell ref="A2:H2"/>
    <mergeCell ref="A1:H1"/>
  </mergeCells>
  <phoneticPr fontId="6" type="noConversion"/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R992"/>
  <sheetViews>
    <sheetView zoomScale="55" zoomScaleNormal="55" workbookViewId="0">
      <pane xSplit="6" ySplit="4" topLeftCell="H338" activePane="bottomRight" state="frozen"/>
      <selection pane="topRight" activeCell="G1" sqref="G1"/>
      <selection pane="bottomLeft" activeCell="A5" sqref="A5"/>
      <selection pane="bottomRight" activeCell="D356" sqref="D356"/>
    </sheetView>
  </sheetViews>
  <sheetFormatPr defaultColWidth="8.88671875" defaultRowHeight="18"/>
  <cols>
    <col min="1" max="1" width="11.88671875" customWidth="1"/>
    <col min="2" max="2" width="15.88671875" customWidth="1"/>
    <col min="3" max="3" width="11.88671875" customWidth="1"/>
    <col min="4" max="4" width="15.88671875" customWidth="1"/>
    <col min="5" max="5" width="13.88671875" customWidth="1"/>
    <col min="6" max="6" width="22.6640625" customWidth="1"/>
    <col min="7" max="8" width="9.88671875" customWidth="1"/>
    <col min="9" max="9" width="12.6640625" bestFit="1" customWidth="1"/>
    <col min="10" max="10" width="17.6640625" customWidth="1"/>
    <col min="11" max="16" width="18.88671875" customWidth="1"/>
    <col min="17" max="22" width="11.88671875" customWidth="1"/>
    <col min="23" max="36" width="14.44140625" customWidth="1"/>
    <col min="37" max="37" width="17.88671875" customWidth="1"/>
    <col min="38" max="38" width="14.6640625" customWidth="1"/>
    <col min="39" max="39" width="9.88671875" customWidth="1"/>
    <col min="40" max="41" width="17.6640625" customWidth="1"/>
    <col min="42" max="42" width="81" bestFit="1" customWidth="1"/>
    <col min="43" max="43" width="18.88671875" customWidth="1"/>
    <col min="44" max="44" width="65.33203125" customWidth="1"/>
  </cols>
  <sheetData>
    <row r="1" spans="1:44" ht="21.9" customHeight="1">
      <c r="A1" s="58" t="s">
        <v>3234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</row>
    <row r="2" spans="1:44" ht="36" customHeight="1">
      <c r="A2" s="57" t="s">
        <v>3235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</row>
    <row r="3" spans="1:44" ht="24.6">
      <c r="J3" s="59" t="s">
        <v>3236</v>
      </c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 t="s">
        <v>3237</v>
      </c>
      <c r="AB3" s="59"/>
      <c r="AC3" s="59"/>
      <c r="AD3" s="59"/>
      <c r="AE3" s="59"/>
      <c r="AF3" s="59"/>
      <c r="AG3" s="59"/>
      <c r="AH3" s="59"/>
      <c r="AI3" s="59"/>
      <c r="AJ3" s="59"/>
      <c r="AK3" s="59" t="s">
        <v>3238</v>
      </c>
      <c r="AL3" s="59"/>
      <c r="AM3" s="59"/>
      <c r="AN3" s="59"/>
      <c r="AO3" s="59"/>
    </row>
    <row r="4" spans="1:44" ht="42" customHeight="1">
      <c r="A4" s="2" t="s">
        <v>19</v>
      </c>
      <c r="B4" s="2" t="s">
        <v>2960</v>
      </c>
      <c r="C4" s="2" t="s">
        <v>1035</v>
      </c>
      <c r="D4" s="2" t="s">
        <v>1636</v>
      </c>
      <c r="E4" s="2" t="s">
        <v>2521</v>
      </c>
      <c r="F4" s="2" t="s">
        <v>2522</v>
      </c>
      <c r="G4" s="2" t="s">
        <v>3239</v>
      </c>
      <c r="H4" s="2" t="s">
        <v>3240</v>
      </c>
      <c r="I4" s="2" t="s">
        <v>3241</v>
      </c>
      <c r="J4" s="2" t="s">
        <v>3242</v>
      </c>
      <c r="K4" s="2" t="s">
        <v>3243</v>
      </c>
      <c r="L4" s="2" t="s">
        <v>3244</v>
      </c>
      <c r="M4" s="2" t="s">
        <v>3245</v>
      </c>
      <c r="N4" s="2" t="s">
        <v>3246</v>
      </c>
      <c r="O4" s="2" t="s">
        <v>3247</v>
      </c>
      <c r="P4" s="2" t="s">
        <v>3248</v>
      </c>
      <c r="Q4" s="2" t="s">
        <v>3249</v>
      </c>
      <c r="R4" s="2" t="s">
        <v>3250</v>
      </c>
      <c r="S4" s="2" t="s">
        <v>3251</v>
      </c>
      <c r="T4" s="2" t="s">
        <v>3252</v>
      </c>
      <c r="U4" s="2" t="s">
        <v>3253</v>
      </c>
      <c r="V4" s="2" t="s">
        <v>3254</v>
      </c>
      <c r="W4" s="2" t="s">
        <v>3255</v>
      </c>
      <c r="X4" s="2" t="s">
        <v>3256</v>
      </c>
      <c r="Y4" s="2" t="s">
        <v>3257</v>
      </c>
      <c r="Z4" s="2" t="s">
        <v>0</v>
      </c>
      <c r="AA4" s="2" t="s">
        <v>3241</v>
      </c>
      <c r="AB4" s="2" t="s">
        <v>3242</v>
      </c>
      <c r="AC4" s="2" t="s">
        <v>3243</v>
      </c>
      <c r="AD4" s="2" t="s">
        <v>3258</v>
      </c>
      <c r="AE4" s="2" t="s">
        <v>3245</v>
      </c>
      <c r="AF4" s="2" t="s">
        <v>3259</v>
      </c>
      <c r="AG4" s="2" t="s">
        <v>3249</v>
      </c>
      <c r="AH4" s="2" t="s">
        <v>3250</v>
      </c>
      <c r="AI4" s="2" t="s">
        <v>3260</v>
      </c>
      <c r="AJ4" s="2" t="s">
        <v>3261</v>
      </c>
      <c r="AK4" s="2" t="s">
        <v>3262</v>
      </c>
      <c r="AL4" s="2" t="s">
        <v>3263</v>
      </c>
      <c r="AM4" s="2" t="s">
        <v>3264</v>
      </c>
      <c r="AN4" s="2" t="s">
        <v>3265</v>
      </c>
      <c r="AO4" s="2" t="s">
        <v>3260</v>
      </c>
      <c r="AP4" s="2" t="s">
        <v>28</v>
      </c>
    </row>
    <row r="5" spans="1:44">
      <c r="A5" t="s">
        <v>1026</v>
      </c>
      <c r="B5" t="s">
        <v>3266</v>
      </c>
      <c r="C5" t="s">
        <v>1099</v>
      </c>
      <c r="D5" s="11" t="s">
        <v>1685</v>
      </c>
      <c r="E5" t="s">
        <v>2766</v>
      </c>
      <c r="F5" t="s">
        <v>2767</v>
      </c>
      <c r="G5">
        <v>60</v>
      </c>
      <c r="H5" t="s">
        <v>2976</v>
      </c>
      <c r="I5">
        <v>0.81340000000000001</v>
      </c>
      <c r="K5" t="s">
        <v>1108</v>
      </c>
      <c r="M5" s="12">
        <f>0.693/Q5</f>
        <v>16.90243902439024</v>
      </c>
      <c r="N5" t="s">
        <v>2976</v>
      </c>
      <c r="Q5">
        <v>4.1000000000000002E-2</v>
      </c>
      <c r="R5" t="s">
        <v>3267</v>
      </c>
      <c r="W5">
        <v>0.79159999999999997</v>
      </c>
      <c r="X5" t="s">
        <v>3268</v>
      </c>
      <c r="Y5" t="s">
        <v>7</v>
      </c>
      <c r="Z5" t="s">
        <v>8</v>
      </c>
      <c r="AP5" t="s">
        <v>3269</v>
      </c>
    </row>
    <row r="6" spans="1:44">
      <c r="B6" t="s">
        <v>3266</v>
      </c>
      <c r="C6" t="s">
        <v>1099</v>
      </c>
      <c r="D6" t="s">
        <v>1686</v>
      </c>
      <c r="E6" t="s">
        <v>2766</v>
      </c>
      <c r="F6" t="s">
        <v>2767</v>
      </c>
      <c r="G6">
        <v>60</v>
      </c>
      <c r="H6" t="s">
        <v>2976</v>
      </c>
      <c r="I6">
        <v>0.8407</v>
      </c>
      <c r="K6" t="s">
        <v>1108</v>
      </c>
      <c r="M6" s="12">
        <f t="shared" ref="M6:M8" si="0">0.693/Q6</f>
        <v>7.875</v>
      </c>
      <c r="N6" t="s">
        <v>2976</v>
      </c>
      <c r="Q6">
        <v>8.7999999999999995E-2</v>
      </c>
      <c r="R6" t="s">
        <v>3267</v>
      </c>
      <c r="W6">
        <v>0.79290000000000005</v>
      </c>
      <c r="X6" t="s">
        <v>3268</v>
      </c>
      <c r="Y6" t="s">
        <v>7</v>
      </c>
      <c r="Z6" t="s">
        <v>8</v>
      </c>
    </row>
    <row r="7" spans="1:44">
      <c r="A7" s="8"/>
      <c r="B7" t="s">
        <v>3266</v>
      </c>
      <c r="C7" t="s">
        <v>1109</v>
      </c>
      <c r="D7" s="11" t="s">
        <v>1685</v>
      </c>
      <c r="E7" t="s">
        <v>2766</v>
      </c>
      <c r="F7" t="s">
        <v>2767</v>
      </c>
      <c r="G7">
        <v>60</v>
      </c>
      <c r="H7" t="s">
        <v>2976</v>
      </c>
      <c r="I7">
        <v>0.79290000000000005</v>
      </c>
      <c r="K7" t="s">
        <v>1108</v>
      </c>
      <c r="M7" s="12">
        <f t="shared" si="0"/>
        <v>19.799999999999997</v>
      </c>
      <c r="N7" t="s">
        <v>2976</v>
      </c>
      <c r="Q7">
        <v>3.5000000000000003E-2</v>
      </c>
      <c r="R7" t="s">
        <v>3267</v>
      </c>
      <c r="W7">
        <v>0.79290000000000005</v>
      </c>
      <c r="X7" t="s">
        <v>3268</v>
      </c>
      <c r="Y7" t="s">
        <v>7</v>
      </c>
      <c r="Z7" t="s">
        <v>8</v>
      </c>
    </row>
    <row r="8" spans="1:44">
      <c r="A8" s="8"/>
      <c r="B8" t="s">
        <v>3266</v>
      </c>
      <c r="C8" t="s">
        <v>1109</v>
      </c>
      <c r="D8" t="s">
        <v>1686</v>
      </c>
      <c r="E8" t="s">
        <v>2766</v>
      </c>
      <c r="F8" t="s">
        <v>2767</v>
      </c>
      <c r="G8">
        <v>60</v>
      </c>
      <c r="H8" t="s">
        <v>2976</v>
      </c>
      <c r="I8">
        <v>0.83120000000000005</v>
      </c>
      <c r="K8" t="s">
        <v>1108</v>
      </c>
      <c r="M8" s="12">
        <f t="shared" si="0"/>
        <v>19.25</v>
      </c>
      <c r="N8" t="s">
        <v>2976</v>
      </c>
      <c r="Q8">
        <v>3.5999999999999997E-2</v>
      </c>
      <c r="R8" t="s">
        <v>3267</v>
      </c>
      <c r="W8">
        <v>0.66110000000000002</v>
      </c>
      <c r="X8" t="s">
        <v>3268</v>
      </c>
      <c r="Y8" t="s">
        <v>7</v>
      </c>
      <c r="Z8" t="s">
        <v>8</v>
      </c>
    </row>
    <row r="9" spans="1:44">
      <c r="A9" s="13" t="s">
        <v>1022</v>
      </c>
      <c r="B9" t="s">
        <v>2978</v>
      </c>
      <c r="C9" s="13" t="s">
        <v>1113</v>
      </c>
      <c r="D9" t="s">
        <v>1690</v>
      </c>
      <c r="E9" t="s">
        <v>2894</v>
      </c>
      <c r="F9" t="s">
        <v>2895</v>
      </c>
      <c r="G9">
        <v>60</v>
      </c>
      <c r="H9" t="s">
        <v>2976</v>
      </c>
      <c r="I9">
        <v>2</v>
      </c>
      <c r="K9" t="s">
        <v>1108</v>
      </c>
      <c r="M9">
        <v>16.8</v>
      </c>
      <c r="N9" t="s">
        <v>2976</v>
      </c>
      <c r="Q9">
        <v>4.1000000000000002E-2</v>
      </c>
      <c r="R9" t="s">
        <v>3267</v>
      </c>
      <c r="W9">
        <v>0.98799999999999999</v>
      </c>
      <c r="X9" t="s">
        <v>3268</v>
      </c>
      <c r="Y9" t="s">
        <v>7</v>
      </c>
      <c r="Z9" t="s">
        <v>4</v>
      </c>
      <c r="AK9">
        <v>1.42</v>
      </c>
      <c r="AM9">
        <v>0.88</v>
      </c>
      <c r="AN9" t="s">
        <v>3270</v>
      </c>
      <c r="AO9">
        <v>0.997</v>
      </c>
    </row>
    <row r="10" spans="1:44">
      <c r="A10" s="13"/>
      <c r="B10" t="s">
        <v>2978</v>
      </c>
      <c r="C10" s="13" t="s">
        <v>1113</v>
      </c>
      <c r="D10" t="s">
        <v>1695</v>
      </c>
      <c r="E10" t="s">
        <v>2894</v>
      </c>
      <c r="F10" t="s">
        <v>2895</v>
      </c>
      <c r="G10">
        <v>60</v>
      </c>
      <c r="H10" t="s">
        <v>2976</v>
      </c>
      <c r="I10">
        <v>2</v>
      </c>
      <c r="K10" t="s">
        <v>1108</v>
      </c>
      <c r="M10">
        <v>33.1</v>
      </c>
      <c r="N10" t="s">
        <v>2976</v>
      </c>
      <c r="Q10">
        <v>2.1000000000000001E-2</v>
      </c>
      <c r="R10" t="s">
        <v>3267</v>
      </c>
      <c r="W10">
        <v>0.96899999999999997</v>
      </c>
      <c r="X10" t="s">
        <v>3268</v>
      </c>
      <c r="Y10" t="s">
        <v>7</v>
      </c>
      <c r="Z10" t="s">
        <v>4</v>
      </c>
      <c r="AK10">
        <v>5.99</v>
      </c>
      <c r="AM10">
        <v>0.85</v>
      </c>
      <c r="AN10" t="s">
        <v>3270</v>
      </c>
      <c r="AO10">
        <v>0.998</v>
      </c>
    </row>
    <row r="11" spans="1:44">
      <c r="A11" s="13"/>
      <c r="B11" t="s">
        <v>2978</v>
      </c>
      <c r="C11" s="13" t="s">
        <v>1113</v>
      </c>
      <c r="D11" t="s">
        <v>1698</v>
      </c>
      <c r="E11" t="s">
        <v>2894</v>
      </c>
      <c r="F11" t="s">
        <v>2895</v>
      </c>
      <c r="G11">
        <v>60</v>
      </c>
      <c r="H11" t="s">
        <v>2976</v>
      </c>
      <c r="I11">
        <v>2</v>
      </c>
      <c r="K11" t="s">
        <v>1108</v>
      </c>
      <c r="M11">
        <v>32</v>
      </c>
      <c r="N11" t="s">
        <v>2976</v>
      </c>
      <c r="Q11">
        <v>2.1999999999999999E-2</v>
      </c>
      <c r="R11" t="s">
        <v>3267</v>
      </c>
      <c r="W11">
        <v>0.87</v>
      </c>
      <c r="X11" t="s">
        <v>3268</v>
      </c>
      <c r="Y11" t="s">
        <v>7</v>
      </c>
      <c r="Z11" t="s">
        <v>4</v>
      </c>
      <c r="AK11">
        <v>7.34</v>
      </c>
      <c r="AM11">
        <v>0.83</v>
      </c>
      <c r="AN11" t="s">
        <v>3270</v>
      </c>
      <c r="AO11">
        <v>0.997</v>
      </c>
    </row>
    <row r="12" spans="1:44">
      <c r="A12" s="13"/>
      <c r="B12" t="s">
        <v>2981</v>
      </c>
      <c r="C12" s="13" t="s">
        <v>1113</v>
      </c>
      <c r="D12" t="s">
        <v>1690</v>
      </c>
      <c r="E12" t="s">
        <v>2894</v>
      </c>
      <c r="F12" t="s">
        <v>2895</v>
      </c>
      <c r="G12">
        <v>60</v>
      </c>
      <c r="H12" t="s">
        <v>2976</v>
      </c>
      <c r="I12">
        <v>2</v>
      </c>
      <c r="K12" t="s">
        <v>1108</v>
      </c>
      <c r="M12">
        <v>69.3</v>
      </c>
      <c r="N12" t="s">
        <v>2976</v>
      </c>
      <c r="Q12">
        <v>0.01</v>
      </c>
      <c r="R12" t="s">
        <v>3267</v>
      </c>
      <c r="W12">
        <v>0.93</v>
      </c>
      <c r="X12" t="s">
        <v>3268</v>
      </c>
      <c r="Y12" t="s">
        <v>7</v>
      </c>
      <c r="Z12" t="s">
        <v>4</v>
      </c>
      <c r="AK12">
        <v>0.71</v>
      </c>
      <c r="AM12">
        <v>0.92</v>
      </c>
      <c r="AN12" t="s">
        <v>3270</v>
      </c>
      <c r="AO12">
        <v>0.998</v>
      </c>
    </row>
    <row r="13" spans="1:44">
      <c r="A13" s="13"/>
      <c r="B13" t="s">
        <v>2981</v>
      </c>
      <c r="C13" s="13" t="s">
        <v>1113</v>
      </c>
      <c r="D13" t="s">
        <v>1695</v>
      </c>
      <c r="E13" t="s">
        <v>2894</v>
      </c>
      <c r="F13" t="s">
        <v>2895</v>
      </c>
      <c r="G13">
        <v>60</v>
      </c>
      <c r="H13" t="s">
        <v>2976</v>
      </c>
      <c r="I13">
        <v>2</v>
      </c>
      <c r="K13" t="s">
        <v>1108</v>
      </c>
      <c r="M13">
        <v>73.5</v>
      </c>
      <c r="N13" t="s">
        <v>2976</v>
      </c>
      <c r="Q13">
        <v>8.9999999999999993E-3</v>
      </c>
      <c r="R13" t="s">
        <v>3267</v>
      </c>
      <c r="W13">
        <v>0.93300000000000005</v>
      </c>
      <c r="X13" t="s">
        <v>3268</v>
      </c>
      <c r="Y13" t="s">
        <v>7</v>
      </c>
      <c r="Z13" t="s">
        <v>4</v>
      </c>
      <c r="AK13">
        <v>6.5</v>
      </c>
      <c r="AM13">
        <v>0.85</v>
      </c>
      <c r="AN13" t="s">
        <v>3270</v>
      </c>
      <c r="AO13">
        <v>0.995</v>
      </c>
    </row>
    <row r="14" spans="1:44">
      <c r="A14" s="13"/>
      <c r="B14" t="s">
        <v>2981</v>
      </c>
      <c r="C14" s="13" t="s">
        <v>1113</v>
      </c>
      <c r="D14" t="s">
        <v>1698</v>
      </c>
      <c r="E14" t="s">
        <v>2894</v>
      </c>
      <c r="F14" t="s">
        <v>2895</v>
      </c>
      <c r="G14">
        <v>60</v>
      </c>
      <c r="H14" t="s">
        <v>2976</v>
      </c>
      <c r="I14">
        <v>2</v>
      </c>
      <c r="K14" t="s">
        <v>1108</v>
      </c>
      <c r="M14">
        <v>53.1</v>
      </c>
      <c r="N14" t="s">
        <v>2976</v>
      </c>
      <c r="Q14">
        <v>1.2999999999999999E-2</v>
      </c>
      <c r="R14" t="s">
        <v>3267</v>
      </c>
      <c r="W14">
        <v>0.85299999999999998</v>
      </c>
      <c r="X14" t="s">
        <v>3268</v>
      </c>
      <c r="Y14" t="s">
        <v>7</v>
      </c>
      <c r="Z14" t="s">
        <v>4</v>
      </c>
      <c r="AK14">
        <v>5.51</v>
      </c>
      <c r="AM14">
        <v>0.92</v>
      </c>
      <c r="AN14" t="s">
        <v>3270</v>
      </c>
      <c r="AO14">
        <v>0.998</v>
      </c>
    </row>
    <row r="15" spans="1:44">
      <c r="A15" s="13"/>
      <c r="B15" t="s">
        <v>2978</v>
      </c>
      <c r="C15" s="13" t="s">
        <v>1120</v>
      </c>
      <c r="D15" t="s">
        <v>1690</v>
      </c>
      <c r="E15" t="s">
        <v>2894</v>
      </c>
      <c r="F15" t="s">
        <v>2895</v>
      </c>
      <c r="G15">
        <v>60</v>
      </c>
      <c r="H15" t="s">
        <v>2976</v>
      </c>
      <c r="I15">
        <v>2</v>
      </c>
      <c r="K15" t="s">
        <v>1108</v>
      </c>
      <c r="M15">
        <v>15.9</v>
      </c>
      <c r="N15" t="s">
        <v>2976</v>
      </c>
      <c r="Q15">
        <v>4.3999999999999997E-2</v>
      </c>
      <c r="R15" t="s">
        <v>3267</v>
      </c>
      <c r="W15">
        <v>0.97</v>
      </c>
      <c r="X15" t="s">
        <v>3268</v>
      </c>
      <c r="Y15" t="s">
        <v>7</v>
      </c>
      <c r="Z15" t="s">
        <v>4</v>
      </c>
      <c r="AK15">
        <v>0.9</v>
      </c>
      <c r="AM15">
        <v>0.96</v>
      </c>
      <c r="AN15" t="s">
        <v>3270</v>
      </c>
      <c r="AO15">
        <v>0.76500000000000001</v>
      </c>
    </row>
    <row r="16" spans="1:44">
      <c r="A16" s="13"/>
      <c r="B16" t="s">
        <v>2978</v>
      </c>
      <c r="C16" s="13" t="s">
        <v>1120</v>
      </c>
      <c r="D16" t="s">
        <v>1695</v>
      </c>
      <c r="E16" t="s">
        <v>2894</v>
      </c>
      <c r="F16" t="s">
        <v>2895</v>
      </c>
      <c r="G16">
        <v>60</v>
      </c>
      <c r="H16" t="s">
        <v>2976</v>
      </c>
      <c r="I16">
        <v>2</v>
      </c>
      <c r="K16" t="s">
        <v>1108</v>
      </c>
      <c r="M16">
        <v>27.6</v>
      </c>
      <c r="N16" t="s">
        <v>2976</v>
      </c>
      <c r="Q16">
        <v>2.5000000000000001E-2</v>
      </c>
      <c r="R16" t="s">
        <v>3267</v>
      </c>
      <c r="W16">
        <v>0.88900000000000001</v>
      </c>
      <c r="X16" t="s">
        <v>3268</v>
      </c>
      <c r="Y16" t="s">
        <v>7</v>
      </c>
      <c r="Z16" t="s">
        <v>4</v>
      </c>
      <c r="AK16">
        <v>6.28</v>
      </c>
      <c r="AM16">
        <v>0.9</v>
      </c>
      <c r="AN16" t="s">
        <v>3270</v>
      </c>
      <c r="AO16">
        <v>0.99</v>
      </c>
    </row>
    <row r="17" spans="1:44">
      <c r="A17" s="13"/>
      <c r="B17" t="s">
        <v>2978</v>
      </c>
      <c r="C17" s="13" t="s">
        <v>1120</v>
      </c>
      <c r="D17" t="s">
        <v>1698</v>
      </c>
      <c r="E17" t="s">
        <v>2894</v>
      </c>
      <c r="F17" t="s">
        <v>2895</v>
      </c>
      <c r="G17">
        <v>60</v>
      </c>
      <c r="H17" t="s">
        <v>2976</v>
      </c>
      <c r="I17">
        <v>2</v>
      </c>
      <c r="K17" t="s">
        <v>1108</v>
      </c>
      <c r="M17">
        <v>15.6</v>
      </c>
      <c r="N17" t="s">
        <v>2976</v>
      </c>
      <c r="Q17">
        <v>4.3999999999999997E-2</v>
      </c>
      <c r="R17" t="s">
        <v>3267</v>
      </c>
      <c r="W17">
        <v>0.98199999999999998</v>
      </c>
      <c r="X17" t="s">
        <v>3268</v>
      </c>
      <c r="Y17" t="s">
        <v>7</v>
      </c>
      <c r="Z17" t="s">
        <v>4</v>
      </c>
      <c r="AK17">
        <v>5.98</v>
      </c>
      <c r="AM17">
        <v>0.98</v>
      </c>
      <c r="AN17" t="s">
        <v>3270</v>
      </c>
      <c r="AO17">
        <v>0.97599999999999998</v>
      </c>
    </row>
    <row r="18" spans="1:44">
      <c r="A18" s="13"/>
      <c r="B18" t="s">
        <v>2981</v>
      </c>
      <c r="C18" s="13" t="s">
        <v>1120</v>
      </c>
      <c r="D18" t="s">
        <v>1690</v>
      </c>
      <c r="E18" t="s">
        <v>2894</v>
      </c>
      <c r="F18" t="s">
        <v>2895</v>
      </c>
      <c r="G18">
        <v>60</v>
      </c>
      <c r="H18" t="s">
        <v>2976</v>
      </c>
      <c r="I18">
        <v>2</v>
      </c>
      <c r="K18" t="s">
        <v>1108</v>
      </c>
      <c r="M18">
        <v>29.3</v>
      </c>
      <c r="N18" t="s">
        <v>2976</v>
      </c>
      <c r="Q18">
        <v>2.4E-2</v>
      </c>
      <c r="R18" t="s">
        <v>3267</v>
      </c>
      <c r="W18">
        <v>0.86899999999999999</v>
      </c>
      <c r="X18" t="s">
        <v>3268</v>
      </c>
      <c r="Y18" t="s">
        <v>7</v>
      </c>
      <c r="Z18" t="s">
        <v>4</v>
      </c>
      <c r="AK18">
        <v>1.07</v>
      </c>
      <c r="AM18">
        <v>0.51</v>
      </c>
      <c r="AN18" t="s">
        <v>3270</v>
      </c>
      <c r="AO18">
        <v>0.99199999999999999</v>
      </c>
    </row>
    <row r="19" spans="1:44">
      <c r="A19" s="13"/>
      <c r="B19" t="s">
        <v>2981</v>
      </c>
      <c r="C19" s="13" t="s">
        <v>1120</v>
      </c>
      <c r="D19" t="s">
        <v>1695</v>
      </c>
      <c r="E19" t="s">
        <v>2894</v>
      </c>
      <c r="F19" t="s">
        <v>2895</v>
      </c>
      <c r="G19">
        <v>60</v>
      </c>
      <c r="H19" t="s">
        <v>2976</v>
      </c>
      <c r="I19">
        <v>2</v>
      </c>
      <c r="K19" t="s">
        <v>1108</v>
      </c>
      <c r="M19">
        <v>49.1</v>
      </c>
      <c r="N19" t="s">
        <v>2976</v>
      </c>
      <c r="Q19">
        <v>1.4E-2</v>
      </c>
      <c r="R19" t="s">
        <v>3267</v>
      </c>
      <c r="W19">
        <v>0.92400000000000004</v>
      </c>
      <c r="X19" t="s">
        <v>3268</v>
      </c>
      <c r="Y19" t="s">
        <v>7</v>
      </c>
      <c r="Z19" t="s">
        <v>4</v>
      </c>
      <c r="AK19">
        <v>8.31</v>
      </c>
      <c r="AM19">
        <v>0.83</v>
      </c>
      <c r="AN19" t="s">
        <v>3270</v>
      </c>
      <c r="AO19">
        <v>0.996</v>
      </c>
    </row>
    <row r="20" spans="1:44">
      <c r="A20" s="13"/>
      <c r="B20" t="s">
        <v>2981</v>
      </c>
      <c r="C20" s="13" t="s">
        <v>1120</v>
      </c>
      <c r="D20" t="s">
        <v>1698</v>
      </c>
      <c r="E20" t="s">
        <v>2894</v>
      </c>
      <c r="F20" t="s">
        <v>2895</v>
      </c>
      <c r="G20">
        <v>60</v>
      </c>
      <c r="H20" t="s">
        <v>2976</v>
      </c>
      <c r="I20">
        <v>2</v>
      </c>
      <c r="K20" t="s">
        <v>1108</v>
      </c>
      <c r="M20">
        <v>48.5</v>
      </c>
      <c r="N20" t="s">
        <v>2976</v>
      </c>
      <c r="Q20">
        <v>1.4E-2</v>
      </c>
      <c r="R20" t="s">
        <v>3267</v>
      </c>
      <c r="W20">
        <v>0.83299999999999996</v>
      </c>
      <c r="X20" t="s">
        <v>3268</v>
      </c>
      <c r="Y20" t="s">
        <v>7</v>
      </c>
      <c r="Z20" t="s">
        <v>4</v>
      </c>
      <c r="AK20">
        <v>5.09</v>
      </c>
      <c r="AM20">
        <v>0.69</v>
      </c>
      <c r="AN20" t="s">
        <v>3270</v>
      </c>
      <c r="AO20">
        <v>0.97499999999999998</v>
      </c>
    </row>
    <row r="21" spans="1:44">
      <c r="A21" s="13" t="s">
        <v>1018</v>
      </c>
      <c r="B21" t="s">
        <v>2983</v>
      </c>
      <c r="C21" s="13" t="s">
        <v>1123</v>
      </c>
      <c r="D21" t="s">
        <v>1702</v>
      </c>
      <c r="E21" t="s">
        <v>2901</v>
      </c>
      <c r="F21" t="s">
        <v>2902</v>
      </c>
      <c r="G21">
        <v>42</v>
      </c>
      <c r="H21" t="s">
        <v>2976</v>
      </c>
      <c r="I21">
        <v>13.1</v>
      </c>
      <c r="K21" t="s">
        <v>1108</v>
      </c>
      <c r="M21">
        <v>6.9</v>
      </c>
      <c r="N21" t="s">
        <v>2976</v>
      </c>
      <c r="Q21" s="21">
        <v>0.10100000000000001</v>
      </c>
      <c r="R21" t="s">
        <v>3267</v>
      </c>
      <c r="W21">
        <v>0.99099999999999999</v>
      </c>
      <c r="X21" t="s">
        <v>3268</v>
      </c>
      <c r="Y21" t="s">
        <v>7</v>
      </c>
      <c r="Z21" t="s">
        <v>4</v>
      </c>
      <c r="AK21">
        <v>0.53</v>
      </c>
      <c r="AM21">
        <v>0.55000000000000004</v>
      </c>
      <c r="AN21" t="s">
        <v>3270</v>
      </c>
      <c r="AO21">
        <v>0.85399999999999998</v>
      </c>
    </row>
    <row r="22" spans="1:44">
      <c r="A22" s="13"/>
      <c r="B22" t="s">
        <v>2983</v>
      </c>
      <c r="C22" s="13" t="s">
        <v>1123</v>
      </c>
      <c r="D22" t="s">
        <v>1703</v>
      </c>
      <c r="E22" t="s">
        <v>2901</v>
      </c>
      <c r="F22" t="s">
        <v>2902</v>
      </c>
      <c r="G22">
        <v>42</v>
      </c>
      <c r="H22" t="s">
        <v>2976</v>
      </c>
      <c r="I22">
        <v>11.9</v>
      </c>
      <c r="K22" t="s">
        <v>1108</v>
      </c>
      <c r="M22">
        <v>11.9</v>
      </c>
      <c r="N22" t="s">
        <v>2976</v>
      </c>
      <c r="Q22">
        <v>5.8999999999999997E-2</v>
      </c>
      <c r="R22" t="s">
        <v>3267</v>
      </c>
      <c r="W22">
        <v>0.99</v>
      </c>
      <c r="X22" t="s">
        <v>3268</v>
      </c>
      <c r="Y22" t="s">
        <v>7</v>
      </c>
      <c r="Z22" t="s">
        <v>4</v>
      </c>
      <c r="AK22">
        <v>2.79</v>
      </c>
      <c r="AM22">
        <v>0.54</v>
      </c>
      <c r="AN22" t="s">
        <v>3270</v>
      </c>
      <c r="AO22">
        <v>0.90100000000000002</v>
      </c>
    </row>
    <row r="23" spans="1:44">
      <c r="B23" t="s">
        <v>2983</v>
      </c>
      <c r="C23" s="13" t="s">
        <v>1123</v>
      </c>
      <c r="D23" t="s">
        <v>1710</v>
      </c>
      <c r="E23" t="s">
        <v>2901</v>
      </c>
      <c r="F23" t="s">
        <v>2902</v>
      </c>
      <c r="G23">
        <v>42</v>
      </c>
      <c r="H23" t="s">
        <v>2976</v>
      </c>
      <c r="I23">
        <v>13.6</v>
      </c>
      <c r="K23" t="s">
        <v>1108</v>
      </c>
      <c r="M23">
        <v>2.6</v>
      </c>
      <c r="N23" t="s">
        <v>2976</v>
      </c>
      <c r="Q23">
        <v>0.27500000000000002</v>
      </c>
      <c r="R23" t="s">
        <v>3267</v>
      </c>
      <c r="W23">
        <v>0.998</v>
      </c>
      <c r="X23" t="s">
        <v>3268</v>
      </c>
      <c r="Y23" t="s">
        <v>7</v>
      </c>
      <c r="Z23" t="s">
        <v>4</v>
      </c>
      <c r="AK23">
        <v>2.08</v>
      </c>
      <c r="AM23">
        <v>0.5</v>
      </c>
      <c r="AN23" t="s">
        <v>3270</v>
      </c>
      <c r="AO23">
        <v>0.91800000000000004</v>
      </c>
    </row>
    <row r="24" spans="1:44">
      <c r="A24" t="s">
        <v>1014</v>
      </c>
      <c r="B24" t="s">
        <v>2984</v>
      </c>
      <c r="C24" s="13" t="s">
        <v>1129</v>
      </c>
      <c r="D24" t="s">
        <v>1712</v>
      </c>
      <c r="E24" t="s">
        <v>2606</v>
      </c>
      <c r="F24" t="s">
        <v>2607</v>
      </c>
      <c r="G24">
        <v>60</v>
      </c>
      <c r="H24" t="s">
        <v>2976</v>
      </c>
      <c r="I24">
        <v>5</v>
      </c>
      <c r="K24" t="s">
        <v>1108</v>
      </c>
      <c r="L24">
        <v>69.3</v>
      </c>
      <c r="M24">
        <v>19.2</v>
      </c>
      <c r="N24" t="s">
        <v>2976</v>
      </c>
      <c r="Q24">
        <v>3.61E-2</v>
      </c>
      <c r="R24" t="s">
        <v>3267</v>
      </c>
      <c r="W24">
        <v>0.97899999999999998</v>
      </c>
      <c r="X24" t="s">
        <v>3268</v>
      </c>
      <c r="Y24" t="s">
        <v>7</v>
      </c>
      <c r="Z24" t="s">
        <v>12</v>
      </c>
    </row>
    <row r="25" spans="1:44">
      <c r="B25" t="s">
        <v>2984</v>
      </c>
      <c r="C25" s="13" t="s">
        <v>1129</v>
      </c>
      <c r="D25" t="s">
        <v>1713</v>
      </c>
      <c r="E25" t="s">
        <v>2606</v>
      </c>
      <c r="F25" t="s">
        <v>2607</v>
      </c>
      <c r="G25">
        <v>60</v>
      </c>
      <c r="H25" t="s">
        <v>2976</v>
      </c>
      <c r="I25">
        <v>5</v>
      </c>
      <c r="K25" t="s">
        <v>1108</v>
      </c>
      <c r="L25">
        <v>60.5</v>
      </c>
      <c r="M25">
        <v>22.6</v>
      </c>
      <c r="N25" t="s">
        <v>2976</v>
      </c>
      <c r="Q25">
        <v>3.0599999999999999E-2</v>
      </c>
      <c r="R25" t="s">
        <v>3267</v>
      </c>
      <c r="W25">
        <v>0.96799999999999997</v>
      </c>
      <c r="X25" t="s">
        <v>3268</v>
      </c>
      <c r="Y25" t="s">
        <v>7</v>
      </c>
      <c r="Z25" t="s">
        <v>12</v>
      </c>
    </row>
    <row r="26" spans="1:44">
      <c r="A26" s="13" t="s">
        <v>1005</v>
      </c>
      <c r="B26" s="13" t="s">
        <v>2986</v>
      </c>
      <c r="C26" s="13" t="s">
        <v>1133</v>
      </c>
      <c r="D26" s="13" t="s">
        <v>1718</v>
      </c>
      <c r="E26" s="13" t="s">
        <v>2712</v>
      </c>
      <c r="F26" s="14" t="s">
        <v>2713</v>
      </c>
      <c r="G26">
        <v>112</v>
      </c>
      <c r="H26" t="s">
        <v>2976</v>
      </c>
      <c r="I26">
        <v>13</v>
      </c>
      <c r="J26" s="12"/>
      <c r="K26" t="s">
        <v>1108</v>
      </c>
      <c r="L26">
        <v>93.6</v>
      </c>
      <c r="M26">
        <v>26</v>
      </c>
      <c r="N26" t="s">
        <v>2976</v>
      </c>
      <c r="Q26" s="12">
        <v>4.3499999999999997E-2</v>
      </c>
      <c r="R26" t="s">
        <v>3267</v>
      </c>
      <c r="W26">
        <v>0.98099999999999998</v>
      </c>
      <c r="X26" t="s">
        <v>3268</v>
      </c>
      <c r="Y26" t="s">
        <v>7</v>
      </c>
      <c r="Z26" t="s">
        <v>12</v>
      </c>
      <c r="AN26" s="12"/>
      <c r="AO26" s="12"/>
      <c r="AR26" s="15"/>
    </row>
    <row r="27" spans="1:44">
      <c r="A27" s="13"/>
      <c r="B27" s="13" t="s">
        <v>2986</v>
      </c>
      <c r="C27" s="13" t="s">
        <v>1133</v>
      </c>
      <c r="D27" s="13" t="s">
        <v>1719</v>
      </c>
      <c r="E27" s="13" t="s">
        <v>2712</v>
      </c>
      <c r="F27" s="14" t="s">
        <v>2713</v>
      </c>
      <c r="G27">
        <v>112</v>
      </c>
      <c r="H27" t="s">
        <v>2976</v>
      </c>
      <c r="I27">
        <v>13</v>
      </c>
      <c r="J27" s="12"/>
      <c r="K27" t="s">
        <v>1108</v>
      </c>
      <c r="L27">
        <v>98.17</v>
      </c>
      <c r="M27">
        <v>16</v>
      </c>
      <c r="N27" t="s">
        <v>2976</v>
      </c>
      <c r="Q27" s="12">
        <v>6.0199999999999997E-2</v>
      </c>
      <c r="R27" t="s">
        <v>3267</v>
      </c>
      <c r="W27">
        <v>0.88</v>
      </c>
      <c r="X27" t="s">
        <v>3268</v>
      </c>
      <c r="Y27" t="s">
        <v>7</v>
      </c>
      <c r="Z27" t="s">
        <v>12</v>
      </c>
      <c r="AN27" s="12"/>
      <c r="AO27" s="12"/>
      <c r="AR27" s="15"/>
    </row>
    <row r="28" spans="1:44">
      <c r="A28" s="13"/>
      <c r="B28" s="13" t="s">
        <v>2986</v>
      </c>
      <c r="C28" s="13" t="s">
        <v>1133</v>
      </c>
      <c r="D28" s="13" t="s">
        <v>1724</v>
      </c>
      <c r="E28" s="13" t="s">
        <v>2712</v>
      </c>
      <c r="F28" s="14" t="s">
        <v>2713</v>
      </c>
      <c r="G28">
        <v>112</v>
      </c>
      <c r="H28" t="s">
        <v>2976</v>
      </c>
      <c r="I28">
        <v>13</v>
      </c>
      <c r="J28" s="12"/>
      <c r="K28" t="s">
        <v>1108</v>
      </c>
      <c r="L28">
        <v>99.07</v>
      </c>
      <c r="M28">
        <v>15</v>
      </c>
      <c r="N28" t="s">
        <v>2976</v>
      </c>
      <c r="Q28" s="12">
        <v>7.3499999999999996E-2</v>
      </c>
      <c r="R28" t="s">
        <v>3267</v>
      </c>
      <c r="W28">
        <v>0.99199999999999999</v>
      </c>
      <c r="X28" t="s">
        <v>3268</v>
      </c>
      <c r="Y28" t="s">
        <v>7</v>
      </c>
      <c r="Z28" t="s">
        <v>12</v>
      </c>
      <c r="AN28" s="12"/>
      <c r="AO28" s="12"/>
      <c r="AR28" s="15"/>
    </row>
    <row r="29" spans="1:44">
      <c r="A29" t="s">
        <v>996</v>
      </c>
      <c r="B29" t="s">
        <v>2989</v>
      </c>
      <c r="C29" s="13" t="s">
        <v>1136</v>
      </c>
      <c r="D29" s="13" t="s">
        <v>1727</v>
      </c>
      <c r="E29" s="13" t="s">
        <v>2610</v>
      </c>
      <c r="F29" s="14" t="s">
        <v>2607</v>
      </c>
      <c r="G29">
        <v>15</v>
      </c>
      <c r="H29" s="13" t="s">
        <v>2976</v>
      </c>
      <c r="I29">
        <v>20</v>
      </c>
      <c r="J29" s="12"/>
      <c r="K29" t="s">
        <v>1412</v>
      </c>
      <c r="L29">
        <v>40</v>
      </c>
      <c r="M29">
        <v>19.5</v>
      </c>
      <c r="N29" t="s">
        <v>2976</v>
      </c>
      <c r="Q29" s="12">
        <v>3.56E-2</v>
      </c>
      <c r="R29" t="s">
        <v>3267</v>
      </c>
      <c r="W29">
        <v>0.98</v>
      </c>
      <c r="X29" t="s">
        <v>3268</v>
      </c>
      <c r="Y29" t="s">
        <v>7</v>
      </c>
      <c r="Z29" t="s">
        <v>12</v>
      </c>
      <c r="AO29" s="12"/>
      <c r="AR29" s="15"/>
    </row>
    <row r="30" spans="1:44">
      <c r="B30" t="s">
        <v>2989</v>
      </c>
      <c r="C30" s="13" t="s">
        <v>1141</v>
      </c>
      <c r="D30" s="13" t="s">
        <v>1727</v>
      </c>
      <c r="E30" s="13" t="s">
        <v>2610</v>
      </c>
      <c r="F30" s="14" t="s">
        <v>2607</v>
      </c>
      <c r="G30">
        <v>15</v>
      </c>
      <c r="H30" s="13" t="s">
        <v>2976</v>
      </c>
      <c r="I30">
        <v>20</v>
      </c>
      <c r="K30" t="s">
        <v>1412</v>
      </c>
      <c r="L30">
        <v>50</v>
      </c>
      <c r="M30">
        <v>17.100000000000001</v>
      </c>
      <c r="N30" t="s">
        <v>2976</v>
      </c>
      <c r="Q30" s="12">
        <v>4.0599999999999997E-2</v>
      </c>
      <c r="R30" t="s">
        <v>3267</v>
      </c>
      <c r="W30">
        <v>0.98599999999999999</v>
      </c>
      <c r="X30" t="s">
        <v>3268</v>
      </c>
      <c r="Y30" t="s">
        <v>7</v>
      </c>
      <c r="Z30" t="s">
        <v>12</v>
      </c>
      <c r="AO30" s="12"/>
      <c r="AR30" s="15"/>
    </row>
    <row r="31" spans="1:44">
      <c r="B31" t="s">
        <v>2991</v>
      </c>
      <c r="C31" s="13" t="s">
        <v>1136</v>
      </c>
      <c r="D31" s="13" t="s">
        <v>1727</v>
      </c>
      <c r="E31" s="13" t="s">
        <v>2610</v>
      </c>
      <c r="F31" s="14" t="s">
        <v>2607</v>
      </c>
      <c r="G31">
        <v>15</v>
      </c>
      <c r="H31" s="13" t="s">
        <v>2976</v>
      </c>
      <c r="I31">
        <v>20</v>
      </c>
      <c r="J31" s="12"/>
      <c r="K31" t="s">
        <v>1412</v>
      </c>
      <c r="L31">
        <v>50</v>
      </c>
      <c r="M31">
        <v>16.100000000000001</v>
      </c>
      <c r="N31" t="s">
        <v>2976</v>
      </c>
      <c r="Q31" s="12">
        <v>4.3200000000000002E-2</v>
      </c>
      <c r="R31" t="s">
        <v>3267</v>
      </c>
      <c r="W31">
        <v>0.98399999999999999</v>
      </c>
      <c r="X31" t="s">
        <v>3268</v>
      </c>
      <c r="Y31" t="s">
        <v>7</v>
      </c>
      <c r="Z31" t="s">
        <v>12</v>
      </c>
      <c r="AK31">
        <v>1.4</v>
      </c>
      <c r="AM31">
        <v>0.84</v>
      </c>
      <c r="AN31" t="s">
        <v>3270</v>
      </c>
      <c r="AO31" s="12">
        <v>0.99</v>
      </c>
      <c r="AR31" s="15"/>
    </row>
    <row r="32" spans="1:44">
      <c r="B32" t="s">
        <v>2991</v>
      </c>
      <c r="C32" s="13" t="s">
        <v>1141</v>
      </c>
      <c r="D32" s="13" t="s">
        <v>1727</v>
      </c>
      <c r="E32" s="13" t="s">
        <v>2610</v>
      </c>
      <c r="F32" s="14" t="s">
        <v>2607</v>
      </c>
      <c r="G32">
        <v>15</v>
      </c>
      <c r="H32" s="13" t="s">
        <v>2976</v>
      </c>
      <c r="I32">
        <v>20</v>
      </c>
      <c r="J32" s="12"/>
      <c r="K32" t="s">
        <v>1412</v>
      </c>
      <c r="L32">
        <v>97</v>
      </c>
      <c r="M32">
        <v>8.3000000000000007</v>
      </c>
      <c r="N32" t="s">
        <v>2976</v>
      </c>
      <c r="Q32" s="12">
        <v>8.3900000000000002E-2</v>
      </c>
      <c r="R32" t="s">
        <v>3267</v>
      </c>
      <c r="W32">
        <v>0.99</v>
      </c>
      <c r="X32" t="s">
        <v>3268</v>
      </c>
      <c r="Y32" t="s">
        <v>7</v>
      </c>
      <c r="Z32" t="s">
        <v>12</v>
      </c>
      <c r="AK32">
        <v>1.95</v>
      </c>
      <c r="AM32">
        <v>0.99</v>
      </c>
      <c r="AN32" t="s">
        <v>3270</v>
      </c>
      <c r="AO32" s="12">
        <v>0.99</v>
      </c>
      <c r="AR32" s="15"/>
    </row>
    <row r="33" spans="1:44">
      <c r="B33" t="s">
        <v>2989</v>
      </c>
      <c r="C33" s="13" t="s">
        <v>1136</v>
      </c>
      <c r="D33" s="13" t="s">
        <v>1728</v>
      </c>
      <c r="E33" s="13" t="s">
        <v>2610</v>
      </c>
      <c r="F33" s="14" t="s">
        <v>2607</v>
      </c>
      <c r="G33">
        <v>15</v>
      </c>
      <c r="H33" s="13" t="s">
        <v>2976</v>
      </c>
      <c r="I33">
        <v>20</v>
      </c>
      <c r="J33" s="12"/>
      <c r="K33" t="s">
        <v>1412</v>
      </c>
      <c r="L33">
        <v>69</v>
      </c>
      <c r="M33">
        <v>11.4</v>
      </c>
      <c r="N33" t="s">
        <v>2976</v>
      </c>
      <c r="Q33" s="12">
        <v>6.0900000000000003E-2</v>
      </c>
      <c r="R33" t="s">
        <v>3267</v>
      </c>
      <c r="W33">
        <v>0.98799999999999999</v>
      </c>
      <c r="X33" t="s">
        <v>3268</v>
      </c>
      <c r="Y33" t="s">
        <v>7</v>
      </c>
      <c r="Z33" t="s">
        <v>12</v>
      </c>
      <c r="AO33" s="12"/>
      <c r="AR33" s="15"/>
    </row>
    <row r="34" spans="1:44">
      <c r="B34" t="s">
        <v>2989</v>
      </c>
      <c r="C34" s="13" t="s">
        <v>1141</v>
      </c>
      <c r="D34" s="13" t="s">
        <v>1728</v>
      </c>
      <c r="E34" s="13" t="s">
        <v>2610</v>
      </c>
      <c r="F34" s="14" t="s">
        <v>2607</v>
      </c>
      <c r="G34">
        <v>15</v>
      </c>
      <c r="H34" s="13" t="s">
        <v>2976</v>
      </c>
      <c r="I34">
        <v>20</v>
      </c>
      <c r="J34" s="12"/>
      <c r="K34" t="s">
        <v>1412</v>
      </c>
      <c r="L34">
        <v>80</v>
      </c>
      <c r="M34">
        <v>8.44</v>
      </c>
      <c r="N34" t="s">
        <v>2976</v>
      </c>
      <c r="Q34" s="12">
        <v>8.2100000000000006E-2</v>
      </c>
      <c r="R34" t="s">
        <v>3267</v>
      </c>
      <c r="W34">
        <v>0.99</v>
      </c>
      <c r="X34" t="s">
        <v>3268</v>
      </c>
      <c r="Y34" t="s">
        <v>7</v>
      </c>
      <c r="Z34" t="s">
        <v>12</v>
      </c>
      <c r="AO34" s="12"/>
      <c r="AR34" s="15"/>
    </row>
    <row r="35" spans="1:44">
      <c r="B35" t="s">
        <v>2991</v>
      </c>
      <c r="C35" s="13" t="s">
        <v>1136</v>
      </c>
      <c r="D35" s="13" t="s">
        <v>1728</v>
      </c>
      <c r="E35" s="13" t="s">
        <v>2610</v>
      </c>
      <c r="F35" s="14" t="s">
        <v>2607</v>
      </c>
      <c r="G35">
        <v>15</v>
      </c>
      <c r="H35" s="13" t="s">
        <v>2976</v>
      </c>
      <c r="I35">
        <v>20</v>
      </c>
      <c r="J35" s="12"/>
      <c r="K35" t="s">
        <v>1412</v>
      </c>
      <c r="L35">
        <v>100</v>
      </c>
      <c r="M35">
        <v>6.5</v>
      </c>
      <c r="N35" t="s">
        <v>2976</v>
      </c>
      <c r="Q35" s="12">
        <v>0.10680000000000001</v>
      </c>
      <c r="R35" t="s">
        <v>3267</v>
      </c>
      <c r="W35">
        <v>0.99199999999999999</v>
      </c>
      <c r="X35" t="s">
        <v>3268</v>
      </c>
      <c r="Y35" t="s">
        <v>7</v>
      </c>
      <c r="Z35" t="s">
        <v>12</v>
      </c>
      <c r="AK35">
        <v>8.32</v>
      </c>
      <c r="AM35">
        <v>0.78</v>
      </c>
      <c r="AN35" t="s">
        <v>3270</v>
      </c>
      <c r="AO35" s="12">
        <v>0.99</v>
      </c>
      <c r="AR35" s="15"/>
    </row>
    <row r="36" spans="1:44">
      <c r="B36" t="s">
        <v>2991</v>
      </c>
      <c r="C36" s="13" t="s">
        <v>1141</v>
      </c>
      <c r="D36" s="13" t="s">
        <v>1728</v>
      </c>
      <c r="E36" s="13" t="s">
        <v>2610</v>
      </c>
      <c r="F36" s="14" t="s">
        <v>2607</v>
      </c>
      <c r="G36">
        <v>15</v>
      </c>
      <c r="H36" s="13" t="s">
        <v>2976</v>
      </c>
      <c r="I36">
        <v>20</v>
      </c>
      <c r="J36" s="12"/>
      <c r="K36" t="s">
        <v>1412</v>
      </c>
      <c r="L36">
        <v>100</v>
      </c>
      <c r="M36">
        <v>4.8</v>
      </c>
      <c r="N36" t="s">
        <v>2976</v>
      </c>
      <c r="Q36" s="12">
        <v>0.14430000000000001</v>
      </c>
      <c r="R36" t="s">
        <v>3267</v>
      </c>
      <c r="W36">
        <v>0.995</v>
      </c>
      <c r="X36" t="s">
        <v>3268</v>
      </c>
      <c r="Y36" t="s">
        <v>7</v>
      </c>
      <c r="Z36" t="s">
        <v>12</v>
      </c>
      <c r="AK36">
        <v>12</v>
      </c>
      <c r="AM36">
        <v>0.73</v>
      </c>
      <c r="AN36" t="s">
        <v>3270</v>
      </c>
      <c r="AO36" s="12">
        <v>0.99</v>
      </c>
      <c r="AR36" s="15"/>
    </row>
    <row r="37" spans="1:44">
      <c r="B37" t="s">
        <v>2989</v>
      </c>
      <c r="C37" s="13" t="s">
        <v>1136</v>
      </c>
      <c r="D37" s="13" t="s">
        <v>1734</v>
      </c>
      <c r="E37" s="13" t="s">
        <v>2610</v>
      </c>
      <c r="F37" s="14" t="s">
        <v>2607</v>
      </c>
      <c r="G37">
        <v>15</v>
      </c>
      <c r="H37" s="13" t="s">
        <v>2976</v>
      </c>
      <c r="I37">
        <v>20</v>
      </c>
      <c r="J37" s="12"/>
      <c r="K37" t="s">
        <v>1412</v>
      </c>
      <c r="L37">
        <v>63</v>
      </c>
      <c r="M37">
        <v>13</v>
      </c>
      <c r="N37" t="s">
        <v>2976</v>
      </c>
      <c r="Q37" s="12">
        <v>5.3199999999999997E-2</v>
      </c>
      <c r="R37" t="s">
        <v>3267</v>
      </c>
      <c r="W37">
        <v>0.98499999999999999</v>
      </c>
      <c r="X37" t="s">
        <v>3268</v>
      </c>
      <c r="Y37" t="s">
        <v>7</v>
      </c>
      <c r="Z37" t="s">
        <v>12</v>
      </c>
      <c r="AO37" s="12"/>
      <c r="AR37" s="15"/>
    </row>
    <row r="38" spans="1:44">
      <c r="B38" t="s">
        <v>2989</v>
      </c>
      <c r="C38" s="13" t="s">
        <v>1141</v>
      </c>
      <c r="D38" s="13" t="s">
        <v>1734</v>
      </c>
      <c r="E38" s="13" t="s">
        <v>2610</v>
      </c>
      <c r="F38" s="14" t="s">
        <v>2607</v>
      </c>
      <c r="G38">
        <v>15</v>
      </c>
      <c r="H38" s="13" t="s">
        <v>2976</v>
      </c>
      <c r="I38">
        <v>20</v>
      </c>
      <c r="J38" s="12"/>
      <c r="K38" t="s">
        <v>1412</v>
      </c>
      <c r="L38">
        <v>72</v>
      </c>
      <c r="M38">
        <v>8.4</v>
      </c>
      <c r="N38" t="s">
        <v>2976</v>
      </c>
      <c r="Q38" s="12">
        <v>8.2900000000000001E-2</v>
      </c>
      <c r="R38" t="s">
        <v>3267</v>
      </c>
      <c r="W38">
        <v>0.99</v>
      </c>
      <c r="X38" t="s">
        <v>3268</v>
      </c>
      <c r="Y38" t="s">
        <v>7</v>
      </c>
      <c r="Z38" t="s">
        <v>12</v>
      </c>
      <c r="AO38" s="12"/>
      <c r="AR38" s="15"/>
    </row>
    <row r="39" spans="1:44">
      <c r="B39" t="s">
        <v>2991</v>
      </c>
      <c r="C39" s="13" t="s">
        <v>1136</v>
      </c>
      <c r="D39" s="13" t="s">
        <v>1734</v>
      </c>
      <c r="E39" s="13" t="s">
        <v>2610</v>
      </c>
      <c r="F39" s="14" t="s">
        <v>2607</v>
      </c>
      <c r="G39">
        <v>15</v>
      </c>
      <c r="H39" s="13" t="s">
        <v>2976</v>
      </c>
      <c r="I39">
        <v>20</v>
      </c>
      <c r="J39" s="12"/>
      <c r="K39" t="s">
        <v>1412</v>
      </c>
      <c r="L39">
        <v>100</v>
      </c>
      <c r="M39">
        <v>5.5</v>
      </c>
      <c r="N39" t="s">
        <v>2976</v>
      </c>
      <c r="Q39" s="12">
        <v>0.12509999999999999</v>
      </c>
      <c r="R39" t="s">
        <v>3267</v>
      </c>
      <c r="W39">
        <v>0.99399999999999999</v>
      </c>
      <c r="X39" t="s">
        <v>3268</v>
      </c>
      <c r="Y39" t="s">
        <v>7</v>
      </c>
      <c r="Z39" t="s">
        <v>12</v>
      </c>
      <c r="AK39">
        <v>5.57</v>
      </c>
      <c r="AM39">
        <v>0.84</v>
      </c>
      <c r="AN39" t="s">
        <v>3270</v>
      </c>
      <c r="AO39" s="12">
        <v>0.98</v>
      </c>
      <c r="AR39" s="15"/>
    </row>
    <row r="40" spans="1:44">
      <c r="B40" t="s">
        <v>2991</v>
      </c>
      <c r="C40" s="13" t="s">
        <v>1141</v>
      </c>
      <c r="D40" s="13" t="s">
        <v>1734</v>
      </c>
      <c r="E40" s="13" t="s">
        <v>2610</v>
      </c>
      <c r="F40" s="14" t="s">
        <v>2607</v>
      </c>
      <c r="G40">
        <v>15</v>
      </c>
      <c r="H40" s="13" t="s">
        <v>2976</v>
      </c>
      <c r="I40">
        <v>20</v>
      </c>
      <c r="J40" s="12"/>
      <c r="K40" t="s">
        <v>1412</v>
      </c>
      <c r="L40">
        <v>100</v>
      </c>
      <c r="M40">
        <v>4.7</v>
      </c>
      <c r="N40" t="s">
        <v>2976</v>
      </c>
      <c r="Q40" s="12">
        <v>0.1464</v>
      </c>
      <c r="R40" t="s">
        <v>3267</v>
      </c>
      <c r="W40">
        <v>0.995</v>
      </c>
      <c r="X40" t="s">
        <v>3268</v>
      </c>
      <c r="Y40" t="s">
        <v>7</v>
      </c>
      <c r="Z40" t="s">
        <v>12</v>
      </c>
      <c r="AK40">
        <v>11.24</v>
      </c>
      <c r="AM40">
        <v>0.73</v>
      </c>
      <c r="AN40" t="s">
        <v>3270</v>
      </c>
      <c r="AO40" s="12">
        <v>0.98</v>
      </c>
      <c r="AR40" s="15"/>
    </row>
    <row r="41" spans="1:44">
      <c r="A41" t="s">
        <v>992</v>
      </c>
      <c r="B41" t="s">
        <v>2993</v>
      </c>
      <c r="C41" s="13" t="s">
        <v>1145</v>
      </c>
      <c r="D41" s="13" t="s">
        <v>1736</v>
      </c>
      <c r="E41" s="13" t="s">
        <v>2561</v>
      </c>
      <c r="F41" t="s">
        <v>2562</v>
      </c>
      <c r="G41">
        <v>100</v>
      </c>
      <c r="H41" s="13" t="s">
        <v>2976</v>
      </c>
      <c r="I41">
        <v>50</v>
      </c>
      <c r="J41">
        <v>9.5000000000000001E-2</v>
      </c>
      <c r="K41" t="s">
        <v>1108</v>
      </c>
      <c r="L41">
        <f>(I41-J41)/I41*100</f>
        <v>99.81</v>
      </c>
      <c r="Y41" t="s">
        <v>7</v>
      </c>
      <c r="Z41" t="s">
        <v>12</v>
      </c>
      <c r="AN41" s="12"/>
      <c r="AO41" s="12"/>
      <c r="AR41" s="15"/>
    </row>
    <row r="42" spans="1:44">
      <c r="B42" t="s">
        <v>2993</v>
      </c>
      <c r="C42" s="13" t="s">
        <v>1145</v>
      </c>
      <c r="D42" s="13" t="s">
        <v>1737</v>
      </c>
      <c r="E42" s="13" t="s">
        <v>2561</v>
      </c>
      <c r="F42" t="s">
        <v>2562</v>
      </c>
      <c r="G42">
        <v>100</v>
      </c>
      <c r="H42" s="13" t="s">
        <v>2976</v>
      </c>
      <c r="I42">
        <v>50</v>
      </c>
      <c r="J42">
        <v>1.6</v>
      </c>
      <c r="K42" t="s">
        <v>1108</v>
      </c>
      <c r="L42">
        <f t="shared" ref="L42:L46" si="1">(I42-J42)/I42*100</f>
        <v>96.8</v>
      </c>
      <c r="Y42" t="s">
        <v>7</v>
      </c>
      <c r="Z42" t="s">
        <v>12</v>
      </c>
      <c r="AN42" s="12"/>
      <c r="AO42" s="12"/>
      <c r="AR42" s="15"/>
    </row>
    <row r="43" spans="1:44">
      <c r="B43" t="s">
        <v>2993</v>
      </c>
      <c r="C43" s="13" t="s">
        <v>1145</v>
      </c>
      <c r="D43" s="13" t="s">
        <v>1742</v>
      </c>
      <c r="E43" s="13" t="s">
        <v>2561</v>
      </c>
      <c r="F43" t="s">
        <v>2562</v>
      </c>
      <c r="G43">
        <v>100</v>
      </c>
      <c r="H43" s="13" t="s">
        <v>2976</v>
      </c>
      <c r="I43">
        <v>50</v>
      </c>
      <c r="J43">
        <v>1</v>
      </c>
      <c r="K43" t="s">
        <v>1108</v>
      </c>
      <c r="L43">
        <f t="shared" si="1"/>
        <v>98</v>
      </c>
      <c r="Y43" t="s">
        <v>7</v>
      </c>
      <c r="Z43" t="s">
        <v>12</v>
      </c>
      <c r="AN43" s="12"/>
      <c r="AO43" s="12"/>
      <c r="AR43" s="15"/>
    </row>
    <row r="44" spans="1:44">
      <c r="B44" t="s">
        <v>2993</v>
      </c>
      <c r="C44" s="13" t="s">
        <v>1152</v>
      </c>
      <c r="D44" s="13" t="s">
        <v>1736</v>
      </c>
      <c r="E44" s="13" t="s">
        <v>2561</v>
      </c>
      <c r="F44" t="s">
        <v>2562</v>
      </c>
      <c r="G44">
        <v>100</v>
      </c>
      <c r="H44" s="13" t="s">
        <v>2976</v>
      </c>
      <c r="I44">
        <v>50</v>
      </c>
      <c r="J44">
        <v>0</v>
      </c>
      <c r="K44" t="s">
        <v>1108</v>
      </c>
      <c r="L44">
        <f t="shared" si="1"/>
        <v>100</v>
      </c>
      <c r="Y44" t="s">
        <v>7</v>
      </c>
      <c r="Z44" t="s">
        <v>12</v>
      </c>
      <c r="AN44" s="12"/>
      <c r="AO44" s="12"/>
      <c r="AR44" s="15"/>
    </row>
    <row r="45" spans="1:44">
      <c r="B45" t="s">
        <v>2993</v>
      </c>
      <c r="C45" s="13" t="s">
        <v>1152</v>
      </c>
      <c r="D45" s="13" t="s">
        <v>1737</v>
      </c>
      <c r="E45" s="13" t="s">
        <v>2561</v>
      </c>
      <c r="F45" t="s">
        <v>2562</v>
      </c>
      <c r="G45">
        <v>100</v>
      </c>
      <c r="H45" s="13" t="s">
        <v>2976</v>
      </c>
      <c r="I45">
        <v>50</v>
      </c>
      <c r="J45">
        <v>3.1</v>
      </c>
      <c r="K45" t="s">
        <v>1108</v>
      </c>
      <c r="L45">
        <f t="shared" si="1"/>
        <v>93.8</v>
      </c>
      <c r="Y45" t="s">
        <v>7</v>
      </c>
      <c r="Z45" t="s">
        <v>12</v>
      </c>
      <c r="AO45" s="12"/>
      <c r="AR45" s="15"/>
    </row>
    <row r="46" spans="1:44">
      <c r="B46" t="s">
        <v>2993</v>
      </c>
      <c r="C46" s="13" t="s">
        <v>1152</v>
      </c>
      <c r="D46" s="13" t="s">
        <v>1742</v>
      </c>
      <c r="E46" s="13" t="s">
        <v>2561</v>
      </c>
      <c r="F46" t="s">
        <v>2562</v>
      </c>
      <c r="G46">
        <v>100</v>
      </c>
      <c r="H46" s="13" t="s">
        <v>2976</v>
      </c>
      <c r="I46">
        <v>50</v>
      </c>
      <c r="J46">
        <v>6.2</v>
      </c>
      <c r="K46" t="s">
        <v>1108</v>
      </c>
      <c r="L46">
        <f t="shared" si="1"/>
        <v>87.6</v>
      </c>
      <c r="Y46" t="s">
        <v>7</v>
      </c>
      <c r="Z46" t="s">
        <v>12</v>
      </c>
      <c r="AN46" s="12"/>
      <c r="AO46" s="12"/>
      <c r="AR46" s="15"/>
    </row>
    <row r="47" spans="1:44">
      <c r="A47" t="s">
        <v>988</v>
      </c>
      <c r="B47" t="s">
        <v>2997</v>
      </c>
      <c r="C47" s="13" t="s">
        <v>1154</v>
      </c>
      <c r="D47" t="s">
        <v>1746</v>
      </c>
      <c r="E47" s="13" t="s">
        <v>2840</v>
      </c>
      <c r="F47" t="s">
        <v>2841</v>
      </c>
      <c r="G47">
        <v>120</v>
      </c>
      <c r="H47" s="13" t="s">
        <v>2976</v>
      </c>
      <c r="I47">
        <v>50</v>
      </c>
      <c r="J47" s="12"/>
      <c r="K47" t="s">
        <v>1108</v>
      </c>
      <c r="M47">
        <f>LN(2)/Q47</f>
        <v>30.136833937388925</v>
      </c>
      <c r="N47" t="s">
        <v>2976</v>
      </c>
      <c r="Q47">
        <v>2.3E-2</v>
      </c>
      <c r="R47" t="s">
        <v>3267</v>
      </c>
      <c r="X47" t="s">
        <v>3268</v>
      </c>
      <c r="Y47" t="s">
        <v>7</v>
      </c>
      <c r="Z47" t="s">
        <v>14</v>
      </c>
      <c r="AN47" s="12"/>
      <c r="AO47" s="12"/>
      <c r="AP47" t="s">
        <v>3271</v>
      </c>
      <c r="AR47" s="15"/>
    </row>
    <row r="48" spans="1:44">
      <c r="B48" t="s">
        <v>2997</v>
      </c>
      <c r="C48" s="13" t="s">
        <v>1154</v>
      </c>
      <c r="D48" t="s">
        <v>1747</v>
      </c>
      <c r="E48" s="13" t="s">
        <v>2840</v>
      </c>
      <c r="F48" t="s">
        <v>2841</v>
      </c>
      <c r="G48">
        <v>120</v>
      </c>
      <c r="H48" s="13" t="s">
        <v>2976</v>
      </c>
      <c r="I48">
        <v>50</v>
      </c>
      <c r="J48" s="12"/>
      <c r="K48" t="s">
        <v>1108</v>
      </c>
      <c r="M48">
        <f t="shared" ref="M48:M56" si="2">LN(2)/Q48</f>
        <v>6.6014017196185266</v>
      </c>
      <c r="N48" t="s">
        <v>2976</v>
      </c>
      <c r="Q48">
        <v>0.105</v>
      </c>
      <c r="R48" t="s">
        <v>3267</v>
      </c>
      <c r="X48" t="s">
        <v>3268</v>
      </c>
      <c r="Y48" t="s">
        <v>7</v>
      </c>
      <c r="Z48" t="s">
        <v>14</v>
      </c>
      <c r="AN48" s="12"/>
      <c r="AO48" s="12"/>
      <c r="AR48" s="15"/>
    </row>
    <row r="49" spans="1:44">
      <c r="B49" t="s">
        <v>2997</v>
      </c>
      <c r="C49" s="13" t="s">
        <v>1154</v>
      </c>
      <c r="D49" t="s">
        <v>1749</v>
      </c>
      <c r="E49" s="13" t="s">
        <v>2840</v>
      </c>
      <c r="F49" t="s">
        <v>2841</v>
      </c>
      <c r="G49">
        <v>120</v>
      </c>
      <c r="H49" s="13" t="s">
        <v>2976</v>
      </c>
      <c r="I49">
        <v>50</v>
      </c>
      <c r="J49" s="12"/>
      <c r="K49" t="s">
        <v>1108</v>
      </c>
      <c r="M49">
        <f t="shared" si="2"/>
        <v>4.651994500402318</v>
      </c>
      <c r="N49" t="s">
        <v>2976</v>
      </c>
      <c r="Q49">
        <v>0.14899999999999999</v>
      </c>
      <c r="R49" t="s">
        <v>3267</v>
      </c>
      <c r="X49" t="s">
        <v>3268</v>
      </c>
      <c r="Y49" t="s">
        <v>7</v>
      </c>
      <c r="Z49" t="s">
        <v>14</v>
      </c>
      <c r="AN49" s="12"/>
      <c r="AO49" s="12"/>
      <c r="AR49" s="15"/>
    </row>
    <row r="50" spans="1:44">
      <c r="B50" t="s">
        <v>2997</v>
      </c>
      <c r="C50" s="13" t="s">
        <v>1154</v>
      </c>
      <c r="D50" t="s">
        <v>1751</v>
      </c>
      <c r="E50" s="13" t="s">
        <v>2840</v>
      </c>
      <c r="F50" t="s">
        <v>2841</v>
      </c>
      <c r="G50">
        <v>120</v>
      </c>
      <c r="H50" s="13" t="s">
        <v>2976</v>
      </c>
      <c r="I50">
        <v>50</v>
      </c>
      <c r="J50" s="12"/>
      <c r="K50" t="s">
        <v>1108</v>
      </c>
      <c r="M50">
        <f t="shared" si="2"/>
        <v>4.8135220872218429</v>
      </c>
      <c r="N50" t="s">
        <v>2976</v>
      </c>
      <c r="Q50">
        <v>0.14399999999999999</v>
      </c>
      <c r="R50" t="s">
        <v>3267</v>
      </c>
      <c r="X50" t="s">
        <v>3268</v>
      </c>
      <c r="Y50" t="s">
        <v>7</v>
      </c>
      <c r="Z50" t="s">
        <v>14</v>
      </c>
      <c r="AN50" s="12"/>
      <c r="AO50" s="12"/>
      <c r="AR50" s="15"/>
    </row>
    <row r="51" spans="1:44">
      <c r="B51" t="s">
        <v>2997</v>
      </c>
      <c r="C51" s="13" t="s">
        <v>1154</v>
      </c>
      <c r="D51" t="s">
        <v>1753</v>
      </c>
      <c r="E51" s="13" t="s">
        <v>2840</v>
      </c>
      <c r="F51" t="s">
        <v>2841</v>
      </c>
      <c r="G51">
        <v>120</v>
      </c>
      <c r="H51" s="13" t="s">
        <v>2976</v>
      </c>
      <c r="I51">
        <v>50</v>
      </c>
      <c r="J51" s="12"/>
      <c r="K51" t="s">
        <v>1108</v>
      </c>
      <c r="M51">
        <f t="shared" si="2"/>
        <v>5.6815342668847979</v>
      </c>
      <c r="N51" t="s">
        <v>2976</v>
      </c>
      <c r="Q51">
        <v>0.122</v>
      </c>
      <c r="R51" t="s">
        <v>3267</v>
      </c>
      <c r="X51" t="s">
        <v>3268</v>
      </c>
      <c r="Y51" t="s">
        <v>7</v>
      </c>
      <c r="Z51" t="s">
        <v>14</v>
      </c>
      <c r="AN51" s="12"/>
      <c r="AO51" s="12"/>
      <c r="AR51" s="15"/>
    </row>
    <row r="52" spans="1:44">
      <c r="B52" t="s">
        <v>2997</v>
      </c>
      <c r="C52" s="13" t="s">
        <v>1159</v>
      </c>
      <c r="D52" t="s">
        <v>1746</v>
      </c>
      <c r="E52" s="13" t="s">
        <v>2840</v>
      </c>
      <c r="F52" t="s">
        <v>2841</v>
      </c>
      <c r="G52">
        <v>120</v>
      </c>
      <c r="H52" s="13" t="s">
        <v>2976</v>
      </c>
      <c r="I52">
        <v>50</v>
      </c>
      <c r="J52" s="12"/>
      <c r="K52" t="s">
        <v>1108</v>
      </c>
      <c r="M52">
        <f t="shared" si="2"/>
        <v>6.0802384259644322</v>
      </c>
      <c r="N52" t="s">
        <v>2976</v>
      </c>
      <c r="Q52">
        <v>0.114</v>
      </c>
      <c r="R52" t="s">
        <v>3267</v>
      </c>
      <c r="X52" t="s">
        <v>3268</v>
      </c>
      <c r="Y52" t="s">
        <v>7</v>
      </c>
      <c r="Z52" t="s">
        <v>14</v>
      </c>
      <c r="AN52" s="12"/>
      <c r="AO52" s="12"/>
      <c r="AR52" s="15"/>
    </row>
    <row r="53" spans="1:44">
      <c r="B53" t="s">
        <v>2997</v>
      </c>
      <c r="C53" s="13" t="s">
        <v>1159</v>
      </c>
      <c r="D53" t="s">
        <v>1747</v>
      </c>
      <c r="E53" s="13" t="s">
        <v>2840</v>
      </c>
      <c r="F53" t="s">
        <v>2841</v>
      </c>
      <c r="G53">
        <v>120</v>
      </c>
      <c r="H53" s="13" t="s">
        <v>2976</v>
      </c>
      <c r="I53">
        <v>50</v>
      </c>
      <c r="J53" s="12"/>
      <c r="K53" t="s">
        <v>1108</v>
      </c>
      <c r="M53">
        <f t="shared" si="2"/>
        <v>4.2265071985362512</v>
      </c>
      <c r="N53" t="s">
        <v>2976</v>
      </c>
      <c r="Q53">
        <v>0.16400000000000001</v>
      </c>
      <c r="R53" t="s">
        <v>3267</v>
      </c>
      <c r="X53" t="s">
        <v>3268</v>
      </c>
      <c r="Y53" t="s">
        <v>7</v>
      </c>
      <c r="Z53" t="s">
        <v>14</v>
      </c>
      <c r="AN53" s="12"/>
      <c r="AO53" s="12"/>
      <c r="AR53" s="15"/>
    </row>
    <row r="54" spans="1:44">
      <c r="B54" t="s">
        <v>2997</v>
      </c>
      <c r="C54" s="13" t="s">
        <v>1159</v>
      </c>
      <c r="D54" t="s">
        <v>1749</v>
      </c>
      <c r="E54" s="13" t="s">
        <v>2840</v>
      </c>
      <c r="F54" t="s">
        <v>2841</v>
      </c>
      <c r="G54">
        <v>120</v>
      </c>
      <c r="H54" s="13" t="s">
        <v>2976</v>
      </c>
      <c r="I54">
        <v>50</v>
      </c>
      <c r="J54" s="12"/>
      <c r="K54" t="s">
        <v>1108</v>
      </c>
      <c r="M54">
        <f t="shared" si="2"/>
        <v>5.0594684712404758</v>
      </c>
      <c r="N54" t="s">
        <v>2976</v>
      </c>
      <c r="Q54">
        <v>0.13700000000000001</v>
      </c>
      <c r="R54" t="s">
        <v>3267</v>
      </c>
      <c r="X54" t="s">
        <v>3268</v>
      </c>
      <c r="Y54" t="s">
        <v>7</v>
      </c>
      <c r="Z54" t="s">
        <v>14</v>
      </c>
      <c r="AN54" s="12"/>
      <c r="AO54" s="12"/>
      <c r="AR54" s="15"/>
    </row>
    <row r="55" spans="1:44">
      <c r="B55" t="s">
        <v>2997</v>
      </c>
      <c r="C55" s="13" t="s">
        <v>1159</v>
      </c>
      <c r="D55" t="s">
        <v>1751</v>
      </c>
      <c r="E55" s="13" t="s">
        <v>2840</v>
      </c>
      <c r="F55" t="s">
        <v>2841</v>
      </c>
      <c r="G55">
        <v>120</v>
      </c>
      <c r="H55" s="13" t="s">
        <v>2976</v>
      </c>
      <c r="I55">
        <v>50</v>
      </c>
      <c r="J55" s="12"/>
      <c r="K55" t="s">
        <v>1108</v>
      </c>
      <c r="M55">
        <f t="shared" si="2"/>
        <v>4.0299254683717756</v>
      </c>
      <c r="N55" t="s">
        <v>2976</v>
      </c>
      <c r="Q55">
        <v>0.17199999999999999</v>
      </c>
      <c r="R55" t="s">
        <v>3267</v>
      </c>
      <c r="X55" t="s">
        <v>3268</v>
      </c>
      <c r="Y55" t="s">
        <v>7</v>
      </c>
      <c r="Z55" t="s">
        <v>14</v>
      </c>
      <c r="AN55" s="12"/>
      <c r="AO55" s="12"/>
      <c r="AR55" s="15"/>
    </row>
    <row r="56" spans="1:44">
      <c r="B56" t="s">
        <v>2997</v>
      </c>
      <c r="C56" s="13" t="s">
        <v>1159</v>
      </c>
      <c r="D56" t="s">
        <v>1753</v>
      </c>
      <c r="E56" s="13" t="s">
        <v>2840</v>
      </c>
      <c r="F56" t="s">
        <v>2841</v>
      </c>
      <c r="G56">
        <v>120</v>
      </c>
      <c r="H56" s="13" t="s">
        <v>2976</v>
      </c>
      <c r="I56">
        <v>50</v>
      </c>
      <c r="K56" t="s">
        <v>1108</v>
      </c>
      <c r="M56">
        <f t="shared" si="2"/>
        <v>2.4406590864786808</v>
      </c>
      <c r="N56" t="s">
        <v>2976</v>
      </c>
      <c r="Q56">
        <v>0.28399999999999997</v>
      </c>
      <c r="R56" t="s">
        <v>3267</v>
      </c>
      <c r="X56" t="s">
        <v>3268</v>
      </c>
      <c r="Y56" t="s">
        <v>7</v>
      </c>
      <c r="Z56" t="s">
        <v>14</v>
      </c>
    </row>
    <row r="57" spans="1:44">
      <c r="A57" t="s">
        <v>983</v>
      </c>
      <c r="B57" t="s">
        <v>3000</v>
      </c>
      <c r="C57" s="13" t="s">
        <v>1162</v>
      </c>
      <c r="D57" t="s">
        <v>1755</v>
      </c>
      <c r="E57" s="13" t="s">
        <v>2741</v>
      </c>
      <c r="F57" t="s">
        <v>2742</v>
      </c>
      <c r="G57">
        <v>70</v>
      </c>
      <c r="H57" s="13" t="s">
        <v>2976</v>
      </c>
      <c r="I57">
        <v>50</v>
      </c>
      <c r="J57">
        <v>50</v>
      </c>
      <c r="K57" t="s">
        <v>1108</v>
      </c>
      <c r="L57">
        <v>24.13</v>
      </c>
      <c r="Y57" t="s">
        <v>7</v>
      </c>
      <c r="Z57" t="s">
        <v>4</v>
      </c>
      <c r="AP57" t="s">
        <v>3272</v>
      </c>
    </row>
    <row r="58" spans="1:44">
      <c r="B58" t="s">
        <v>3000</v>
      </c>
      <c r="C58" s="13" t="s">
        <v>1162</v>
      </c>
      <c r="D58" t="s">
        <v>1756</v>
      </c>
      <c r="E58" s="13" t="s">
        <v>2741</v>
      </c>
      <c r="F58" t="s">
        <v>2742</v>
      </c>
      <c r="G58">
        <v>70</v>
      </c>
      <c r="H58" s="13" t="s">
        <v>2976</v>
      </c>
      <c r="I58">
        <v>50</v>
      </c>
      <c r="J58">
        <v>50</v>
      </c>
      <c r="K58" t="s">
        <v>1108</v>
      </c>
      <c r="L58">
        <v>23.5</v>
      </c>
      <c r="Y58" t="s">
        <v>7</v>
      </c>
      <c r="Z58" t="s">
        <v>4</v>
      </c>
    </row>
    <row r="59" spans="1:44">
      <c r="B59" t="s">
        <v>3000</v>
      </c>
      <c r="C59" s="13" t="s">
        <v>1162</v>
      </c>
      <c r="D59" t="s">
        <v>1758</v>
      </c>
      <c r="E59" s="13" t="s">
        <v>2741</v>
      </c>
      <c r="F59" t="s">
        <v>2742</v>
      </c>
      <c r="G59">
        <v>70</v>
      </c>
      <c r="H59" s="13" t="s">
        <v>2976</v>
      </c>
      <c r="I59">
        <v>50</v>
      </c>
      <c r="J59">
        <v>50</v>
      </c>
      <c r="K59" t="s">
        <v>1108</v>
      </c>
      <c r="L59">
        <v>22.5</v>
      </c>
      <c r="Y59" t="s">
        <v>7</v>
      </c>
      <c r="Z59" t="s">
        <v>4</v>
      </c>
    </row>
    <row r="60" spans="1:44">
      <c r="B60" t="s">
        <v>3000</v>
      </c>
      <c r="C60" s="13" t="s">
        <v>1162</v>
      </c>
      <c r="D60" t="s">
        <v>1760</v>
      </c>
      <c r="E60" s="13" t="s">
        <v>2741</v>
      </c>
      <c r="F60" t="s">
        <v>2742</v>
      </c>
      <c r="G60">
        <v>70</v>
      </c>
      <c r="H60" s="13" t="s">
        <v>2976</v>
      </c>
      <c r="I60">
        <v>50</v>
      </c>
      <c r="J60">
        <v>50</v>
      </c>
      <c r="K60" t="s">
        <v>1108</v>
      </c>
      <c r="L60">
        <v>16.32</v>
      </c>
      <c r="Y60" t="s">
        <v>7</v>
      </c>
      <c r="Z60" t="s">
        <v>4</v>
      </c>
    </row>
    <row r="61" spans="1:44">
      <c r="B61" t="s">
        <v>3000</v>
      </c>
      <c r="C61" s="13" t="s">
        <v>1162</v>
      </c>
      <c r="D61" t="s">
        <v>1761</v>
      </c>
      <c r="E61" s="13" t="s">
        <v>2741</v>
      </c>
      <c r="F61" t="s">
        <v>2742</v>
      </c>
      <c r="G61">
        <v>70</v>
      </c>
      <c r="H61" s="13" t="s">
        <v>2976</v>
      </c>
      <c r="I61">
        <v>50</v>
      </c>
      <c r="J61">
        <v>50</v>
      </c>
      <c r="K61" t="s">
        <v>1108</v>
      </c>
      <c r="L61">
        <v>32.659999999999997</v>
      </c>
      <c r="Y61" t="s">
        <v>7</v>
      </c>
      <c r="Z61" t="s">
        <v>4</v>
      </c>
    </row>
    <row r="62" spans="1:44">
      <c r="B62" t="s">
        <v>3000</v>
      </c>
      <c r="C62" s="13" t="s">
        <v>1165</v>
      </c>
      <c r="D62" t="s">
        <v>1755</v>
      </c>
      <c r="E62" s="13" t="s">
        <v>2741</v>
      </c>
      <c r="F62" t="s">
        <v>2742</v>
      </c>
      <c r="G62">
        <v>70</v>
      </c>
      <c r="H62" s="13" t="s">
        <v>2976</v>
      </c>
      <c r="I62">
        <v>50</v>
      </c>
      <c r="J62">
        <v>50</v>
      </c>
      <c r="K62" t="s">
        <v>1108</v>
      </c>
      <c r="L62">
        <v>31.62</v>
      </c>
      <c r="Y62" t="s">
        <v>7</v>
      </c>
      <c r="Z62" t="s">
        <v>4</v>
      </c>
    </row>
    <row r="63" spans="1:44">
      <c r="B63" t="s">
        <v>3000</v>
      </c>
      <c r="C63" s="13" t="s">
        <v>1165</v>
      </c>
      <c r="D63" t="s">
        <v>1756</v>
      </c>
      <c r="E63" s="13" t="s">
        <v>2741</v>
      </c>
      <c r="F63" t="s">
        <v>2742</v>
      </c>
      <c r="G63">
        <v>70</v>
      </c>
      <c r="H63" s="13" t="s">
        <v>2976</v>
      </c>
      <c r="I63">
        <v>50</v>
      </c>
      <c r="J63">
        <v>50</v>
      </c>
      <c r="K63" t="s">
        <v>1108</v>
      </c>
      <c r="L63">
        <v>32.369999999999997</v>
      </c>
      <c r="Y63" t="s">
        <v>7</v>
      </c>
      <c r="Z63" t="s">
        <v>4</v>
      </c>
    </row>
    <row r="64" spans="1:44">
      <c r="B64" t="s">
        <v>3000</v>
      </c>
      <c r="C64" s="13" t="s">
        <v>1165</v>
      </c>
      <c r="D64" t="s">
        <v>1758</v>
      </c>
      <c r="E64" s="13" t="s">
        <v>2741</v>
      </c>
      <c r="F64" t="s">
        <v>2742</v>
      </c>
      <c r="G64">
        <v>70</v>
      </c>
      <c r="H64" s="13" t="s">
        <v>2976</v>
      </c>
      <c r="I64">
        <v>50</v>
      </c>
      <c r="J64">
        <v>50</v>
      </c>
      <c r="K64" t="s">
        <v>1108</v>
      </c>
      <c r="L64">
        <v>35.25</v>
      </c>
      <c r="Y64" t="s">
        <v>7</v>
      </c>
      <c r="Z64" t="s">
        <v>4</v>
      </c>
    </row>
    <row r="65" spans="1:44">
      <c r="B65" t="s">
        <v>3000</v>
      </c>
      <c r="C65" s="13" t="s">
        <v>1165</v>
      </c>
      <c r="D65" t="s">
        <v>1760</v>
      </c>
      <c r="E65" s="13" t="s">
        <v>2741</v>
      </c>
      <c r="F65" t="s">
        <v>2742</v>
      </c>
      <c r="G65">
        <v>70</v>
      </c>
      <c r="H65" s="13" t="s">
        <v>2976</v>
      </c>
      <c r="I65">
        <v>50</v>
      </c>
      <c r="J65">
        <v>50</v>
      </c>
      <c r="K65" t="s">
        <v>1108</v>
      </c>
      <c r="L65">
        <v>19.93</v>
      </c>
      <c r="Y65" t="s">
        <v>7</v>
      </c>
      <c r="Z65" t="s">
        <v>4</v>
      </c>
    </row>
    <row r="66" spans="1:44">
      <c r="B66" t="s">
        <v>3000</v>
      </c>
      <c r="C66" s="13" t="s">
        <v>1165</v>
      </c>
      <c r="D66" t="s">
        <v>1761</v>
      </c>
      <c r="E66" s="13" t="s">
        <v>2741</v>
      </c>
      <c r="F66" t="s">
        <v>2742</v>
      </c>
      <c r="G66">
        <v>70</v>
      </c>
      <c r="H66" s="13" t="s">
        <v>2976</v>
      </c>
      <c r="I66">
        <v>50</v>
      </c>
      <c r="J66">
        <v>50</v>
      </c>
      <c r="K66" t="s">
        <v>1108</v>
      </c>
      <c r="L66">
        <v>31.39</v>
      </c>
      <c r="Y66" t="s">
        <v>7</v>
      </c>
      <c r="Z66" t="s">
        <v>4</v>
      </c>
    </row>
    <row r="67" spans="1:44">
      <c r="B67" t="s">
        <v>3000</v>
      </c>
      <c r="C67" s="13" t="s">
        <v>1162</v>
      </c>
      <c r="D67" t="s">
        <v>1755</v>
      </c>
      <c r="E67" s="13" t="s">
        <v>2940</v>
      </c>
      <c r="F67" t="s">
        <v>2941</v>
      </c>
      <c r="G67">
        <v>70</v>
      </c>
      <c r="H67" s="13" t="s">
        <v>2976</v>
      </c>
      <c r="I67">
        <v>50</v>
      </c>
      <c r="J67">
        <v>50</v>
      </c>
      <c r="K67" t="s">
        <v>1108</v>
      </c>
      <c r="L67">
        <v>38.950000000000003</v>
      </c>
      <c r="Y67" t="s">
        <v>7</v>
      </c>
      <c r="Z67" t="s">
        <v>4</v>
      </c>
    </row>
    <row r="68" spans="1:44">
      <c r="B68" t="s">
        <v>3000</v>
      </c>
      <c r="C68" s="13" t="s">
        <v>1162</v>
      </c>
      <c r="D68" t="s">
        <v>1756</v>
      </c>
      <c r="E68" s="13" t="s">
        <v>2940</v>
      </c>
      <c r="F68" t="s">
        <v>2941</v>
      </c>
      <c r="G68">
        <v>70</v>
      </c>
      <c r="H68" s="13" t="s">
        <v>2976</v>
      </c>
      <c r="I68">
        <v>50</v>
      </c>
      <c r="J68">
        <v>50</v>
      </c>
      <c r="K68" t="s">
        <v>1108</v>
      </c>
      <c r="L68">
        <v>40.869999999999997</v>
      </c>
      <c r="Y68" t="s">
        <v>7</v>
      </c>
      <c r="Z68" t="s">
        <v>4</v>
      </c>
    </row>
    <row r="69" spans="1:44">
      <c r="B69" t="s">
        <v>3000</v>
      </c>
      <c r="C69" s="13" t="s">
        <v>1162</v>
      </c>
      <c r="D69" t="s">
        <v>1758</v>
      </c>
      <c r="E69" s="13" t="s">
        <v>2940</v>
      </c>
      <c r="F69" t="s">
        <v>2941</v>
      </c>
      <c r="G69">
        <v>70</v>
      </c>
      <c r="H69" s="13" t="s">
        <v>2976</v>
      </c>
      <c r="I69">
        <v>50</v>
      </c>
      <c r="J69">
        <v>50</v>
      </c>
      <c r="K69" t="s">
        <v>1108</v>
      </c>
      <c r="L69">
        <v>40.81</v>
      </c>
      <c r="Y69" t="s">
        <v>7</v>
      </c>
      <c r="Z69" t="s">
        <v>4</v>
      </c>
    </row>
    <row r="70" spans="1:44">
      <c r="A70" s="8"/>
      <c r="B70" t="s">
        <v>3000</v>
      </c>
      <c r="C70" s="13" t="s">
        <v>1162</v>
      </c>
      <c r="D70" t="s">
        <v>1760</v>
      </c>
      <c r="E70" s="13" t="s">
        <v>2940</v>
      </c>
      <c r="F70" t="s">
        <v>2941</v>
      </c>
      <c r="G70">
        <v>70</v>
      </c>
      <c r="H70" s="13" t="s">
        <v>2976</v>
      </c>
      <c r="I70">
        <v>50</v>
      </c>
      <c r="J70">
        <v>50</v>
      </c>
      <c r="K70" t="s">
        <v>1108</v>
      </c>
      <c r="L70">
        <v>34.5</v>
      </c>
      <c r="Y70" t="s">
        <v>7</v>
      </c>
      <c r="Z70" t="s">
        <v>4</v>
      </c>
    </row>
    <row r="71" spans="1:44">
      <c r="A71" s="8"/>
      <c r="B71" t="s">
        <v>3000</v>
      </c>
      <c r="C71" s="13" t="s">
        <v>1162</v>
      </c>
      <c r="D71" t="s">
        <v>1761</v>
      </c>
      <c r="E71" s="13" t="s">
        <v>2940</v>
      </c>
      <c r="F71" t="s">
        <v>2941</v>
      </c>
      <c r="G71">
        <v>70</v>
      </c>
      <c r="H71" s="13" t="s">
        <v>2976</v>
      </c>
      <c r="I71">
        <v>50</v>
      </c>
      <c r="J71">
        <v>50</v>
      </c>
      <c r="K71" t="s">
        <v>1108</v>
      </c>
      <c r="L71">
        <v>39.229999999999997</v>
      </c>
      <c r="Y71" t="s">
        <v>7</v>
      </c>
      <c r="Z71" t="s">
        <v>4</v>
      </c>
    </row>
    <row r="72" spans="1:44">
      <c r="A72" s="8"/>
      <c r="B72" t="s">
        <v>3000</v>
      </c>
      <c r="C72" s="13" t="s">
        <v>1165</v>
      </c>
      <c r="D72" t="s">
        <v>1755</v>
      </c>
      <c r="E72" s="13" t="s">
        <v>2940</v>
      </c>
      <c r="F72" t="s">
        <v>2941</v>
      </c>
      <c r="G72">
        <v>70</v>
      </c>
      <c r="H72" s="13" t="s">
        <v>2976</v>
      </c>
      <c r="I72">
        <v>50</v>
      </c>
      <c r="J72">
        <v>50</v>
      </c>
      <c r="K72" t="s">
        <v>1108</v>
      </c>
      <c r="L72">
        <v>40.93</v>
      </c>
      <c r="Y72" t="s">
        <v>7</v>
      </c>
      <c r="Z72" t="s">
        <v>4</v>
      </c>
    </row>
    <row r="73" spans="1:44">
      <c r="A73" s="8"/>
      <c r="B73" t="s">
        <v>3000</v>
      </c>
      <c r="C73" s="13" t="s">
        <v>1165</v>
      </c>
      <c r="D73" t="s">
        <v>1756</v>
      </c>
      <c r="E73" s="13" t="s">
        <v>2940</v>
      </c>
      <c r="F73" t="s">
        <v>2941</v>
      </c>
      <c r="G73">
        <v>70</v>
      </c>
      <c r="H73" s="13" t="s">
        <v>2976</v>
      </c>
      <c r="I73">
        <v>50</v>
      </c>
      <c r="J73">
        <v>50</v>
      </c>
      <c r="K73" t="s">
        <v>1108</v>
      </c>
      <c r="L73">
        <v>41.87</v>
      </c>
      <c r="Y73" t="s">
        <v>7</v>
      </c>
      <c r="Z73" t="s">
        <v>4</v>
      </c>
    </row>
    <row r="74" spans="1:44">
      <c r="A74" s="8"/>
      <c r="B74" t="s">
        <v>3000</v>
      </c>
      <c r="C74" s="13" t="s">
        <v>1165</v>
      </c>
      <c r="D74" t="s">
        <v>1758</v>
      </c>
      <c r="E74" s="13" t="s">
        <v>2940</v>
      </c>
      <c r="F74" t="s">
        <v>2941</v>
      </c>
      <c r="G74">
        <v>70</v>
      </c>
      <c r="H74" s="13" t="s">
        <v>2976</v>
      </c>
      <c r="I74">
        <v>50</v>
      </c>
      <c r="J74">
        <v>50</v>
      </c>
      <c r="K74" t="s">
        <v>1108</v>
      </c>
      <c r="L74">
        <v>41.21</v>
      </c>
      <c r="Y74" t="s">
        <v>7</v>
      </c>
      <c r="Z74" t="s">
        <v>4</v>
      </c>
    </row>
    <row r="75" spans="1:44">
      <c r="A75" s="8"/>
      <c r="B75" t="s">
        <v>3000</v>
      </c>
      <c r="C75" s="13" t="s">
        <v>1165</v>
      </c>
      <c r="D75" t="s">
        <v>1760</v>
      </c>
      <c r="E75" s="13" t="s">
        <v>2940</v>
      </c>
      <c r="F75" t="s">
        <v>2941</v>
      </c>
      <c r="G75">
        <v>70</v>
      </c>
      <c r="H75" s="13" t="s">
        <v>2976</v>
      </c>
      <c r="I75">
        <v>50</v>
      </c>
      <c r="J75">
        <v>50</v>
      </c>
      <c r="K75" t="s">
        <v>1108</v>
      </c>
      <c r="L75">
        <v>38.42</v>
      </c>
      <c r="Y75" t="s">
        <v>7</v>
      </c>
      <c r="Z75" t="s">
        <v>4</v>
      </c>
    </row>
    <row r="76" spans="1:44">
      <c r="A76" s="8"/>
      <c r="B76" t="s">
        <v>3000</v>
      </c>
      <c r="C76" s="13" t="s">
        <v>1165</v>
      </c>
      <c r="D76" t="s">
        <v>1761</v>
      </c>
      <c r="E76" s="13" t="s">
        <v>2940</v>
      </c>
      <c r="F76" t="s">
        <v>2941</v>
      </c>
      <c r="G76">
        <v>70</v>
      </c>
      <c r="H76" s="13" t="s">
        <v>2976</v>
      </c>
      <c r="I76">
        <v>50</v>
      </c>
      <c r="J76">
        <v>50</v>
      </c>
      <c r="K76" t="s">
        <v>1108</v>
      </c>
      <c r="L76">
        <v>41.89</v>
      </c>
      <c r="Y76" t="s">
        <v>7</v>
      </c>
      <c r="Z76" t="s">
        <v>4</v>
      </c>
    </row>
    <row r="77" spans="1:44">
      <c r="A77" t="s">
        <v>962</v>
      </c>
      <c r="B77" t="s">
        <v>3001</v>
      </c>
      <c r="C77" s="13" t="s">
        <v>1167</v>
      </c>
      <c r="D77" t="s">
        <v>1764</v>
      </c>
      <c r="E77" s="13" t="s">
        <v>2611</v>
      </c>
      <c r="F77" s="13" t="s">
        <v>2607</v>
      </c>
      <c r="G77">
        <v>30</v>
      </c>
      <c r="H77" s="13" t="s">
        <v>2976</v>
      </c>
      <c r="I77">
        <v>10</v>
      </c>
      <c r="K77" t="s">
        <v>1108</v>
      </c>
      <c r="L77">
        <v>13</v>
      </c>
      <c r="Y77" t="s">
        <v>7</v>
      </c>
      <c r="Z77" t="s">
        <v>12</v>
      </c>
      <c r="AR77" s="13"/>
    </row>
    <row r="78" spans="1:44">
      <c r="B78" t="s">
        <v>3001</v>
      </c>
      <c r="C78" s="13" t="s">
        <v>1167</v>
      </c>
      <c r="D78" t="s">
        <v>1765</v>
      </c>
      <c r="E78" s="13" t="s">
        <v>2611</v>
      </c>
      <c r="F78" s="13" t="s">
        <v>2607</v>
      </c>
      <c r="G78">
        <v>30</v>
      </c>
      <c r="H78" s="13" t="s">
        <v>2976</v>
      </c>
      <c r="I78">
        <v>10</v>
      </c>
      <c r="K78" t="s">
        <v>1108</v>
      </c>
      <c r="L78">
        <v>17</v>
      </c>
      <c r="Y78" t="s">
        <v>7</v>
      </c>
      <c r="Z78" t="s">
        <v>12</v>
      </c>
      <c r="AR78" s="13"/>
    </row>
    <row r="79" spans="1:44">
      <c r="A79" s="13" t="s">
        <v>958</v>
      </c>
      <c r="B79" t="s">
        <v>3002</v>
      </c>
      <c r="C79" s="13" t="s">
        <v>1172</v>
      </c>
      <c r="D79" t="s">
        <v>1767</v>
      </c>
      <c r="E79" s="13" t="s">
        <v>2612</v>
      </c>
      <c r="F79" s="13" t="s">
        <v>2607</v>
      </c>
      <c r="G79">
        <v>30</v>
      </c>
      <c r="H79" s="13" t="s">
        <v>2976</v>
      </c>
      <c r="I79">
        <v>10</v>
      </c>
      <c r="J79">
        <v>6.7</v>
      </c>
      <c r="K79" t="s">
        <v>1108</v>
      </c>
      <c r="L79">
        <f>(I79-J79)/I79*100</f>
        <v>32.999999999999993</v>
      </c>
      <c r="Y79" t="s">
        <v>7</v>
      </c>
      <c r="Z79" t="s">
        <v>12</v>
      </c>
      <c r="AR79" s="13"/>
    </row>
    <row r="80" spans="1:44">
      <c r="A80" s="13"/>
      <c r="B80" t="s">
        <v>3002</v>
      </c>
      <c r="C80" t="s">
        <v>1172</v>
      </c>
      <c r="D80" t="s">
        <v>1768</v>
      </c>
      <c r="E80" s="13" t="s">
        <v>2612</v>
      </c>
      <c r="F80" s="13" t="s">
        <v>2607</v>
      </c>
      <c r="G80">
        <v>30</v>
      </c>
      <c r="H80" s="13" t="s">
        <v>2976</v>
      </c>
      <c r="I80">
        <v>10</v>
      </c>
      <c r="J80">
        <v>5.0999999999999996</v>
      </c>
      <c r="K80" t="s">
        <v>1108</v>
      </c>
      <c r="L80">
        <f>(I80-J80)/I80*100</f>
        <v>49.000000000000007</v>
      </c>
      <c r="Y80" t="s">
        <v>7</v>
      </c>
      <c r="Z80" t="s">
        <v>12</v>
      </c>
      <c r="AR80" s="13"/>
    </row>
    <row r="81" spans="1:42">
      <c r="A81" t="s">
        <v>949</v>
      </c>
      <c r="B81" t="s">
        <v>3004</v>
      </c>
      <c r="C81" s="13" t="s">
        <v>1173</v>
      </c>
      <c r="D81" t="s">
        <v>1772</v>
      </c>
      <c r="E81" s="13" t="s">
        <v>2897</v>
      </c>
      <c r="F81" t="s">
        <v>2895</v>
      </c>
      <c r="G81">
        <v>284</v>
      </c>
      <c r="H81" s="13" t="s">
        <v>2976</v>
      </c>
      <c r="I81">
        <v>2</v>
      </c>
      <c r="K81" t="s">
        <v>1108</v>
      </c>
      <c r="M81">
        <v>82.4</v>
      </c>
      <c r="N81" t="s">
        <v>2976</v>
      </c>
      <c r="Q81">
        <v>1.57</v>
      </c>
      <c r="R81" t="s">
        <v>3267</v>
      </c>
      <c r="W81">
        <v>0.97899999999999998</v>
      </c>
      <c r="X81" t="s">
        <v>3273</v>
      </c>
      <c r="Y81" t="s">
        <v>7</v>
      </c>
      <c r="Z81" t="s">
        <v>4</v>
      </c>
      <c r="AP81" s="13"/>
    </row>
    <row r="82" spans="1:42">
      <c r="B82" t="s">
        <v>3004</v>
      </c>
      <c r="C82" s="13" t="s">
        <v>1173</v>
      </c>
      <c r="D82" t="s">
        <v>1773</v>
      </c>
      <c r="E82" s="13" t="s">
        <v>2897</v>
      </c>
      <c r="F82" t="s">
        <v>2895</v>
      </c>
      <c r="G82">
        <v>284</v>
      </c>
      <c r="H82" s="13" t="s">
        <v>2976</v>
      </c>
      <c r="I82">
        <v>2</v>
      </c>
      <c r="K82" t="s">
        <v>1108</v>
      </c>
      <c r="M82">
        <v>132</v>
      </c>
      <c r="N82" t="s">
        <v>2976</v>
      </c>
      <c r="Q82">
        <v>5.0000000000000001E-3</v>
      </c>
      <c r="R82" t="s">
        <v>3267</v>
      </c>
      <c r="W82">
        <v>0.93799999999999994</v>
      </c>
      <c r="X82" t="s">
        <v>3268</v>
      </c>
      <c r="Y82" t="s">
        <v>7</v>
      </c>
      <c r="Z82" t="s">
        <v>4</v>
      </c>
      <c r="AP82" s="13"/>
    </row>
    <row r="83" spans="1:42">
      <c r="B83" t="s">
        <v>3004</v>
      </c>
      <c r="C83" s="13" t="s">
        <v>1173</v>
      </c>
      <c r="D83" t="s">
        <v>1772</v>
      </c>
      <c r="E83" s="13" t="s">
        <v>2897</v>
      </c>
      <c r="F83" t="s">
        <v>2895</v>
      </c>
      <c r="G83">
        <v>284</v>
      </c>
      <c r="H83" s="13" t="s">
        <v>2976</v>
      </c>
      <c r="I83">
        <v>2</v>
      </c>
      <c r="K83" t="s">
        <v>1108</v>
      </c>
      <c r="M83">
        <v>79.3</v>
      </c>
      <c r="N83" t="s">
        <v>2976</v>
      </c>
      <c r="Q83">
        <v>1.92</v>
      </c>
      <c r="R83" t="s">
        <v>3267</v>
      </c>
      <c r="W83">
        <v>0.96299999999999997</v>
      </c>
      <c r="X83" t="s">
        <v>3273</v>
      </c>
      <c r="Y83" t="s">
        <v>7</v>
      </c>
      <c r="Z83" t="s">
        <v>4</v>
      </c>
      <c r="AP83" s="13"/>
    </row>
    <row r="84" spans="1:42">
      <c r="B84" t="s">
        <v>3004</v>
      </c>
      <c r="C84" s="13" t="s">
        <v>1173</v>
      </c>
      <c r="D84" t="s">
        <v>1773</v>
      </c>
      <c r="E84" s="13" t="s">
        <v>2897</v>
      </c>
      <c r="F84" t="s">
        <v>2895</v>
      </c>
      <c r="G84">
        <v>284</v>
      </c>
      <c r="H84" s="13" t="s">
        <v>2976</v>
      </c>
      <c r="I84">
        <v>2</v>
      </c>
      <c r="K84" t="s">
        <v>1108</v>
      </c>
      <c r="M84">
        <v>91.1</v>
      </c>
      <c r="N84" t="s">
        <v>2976</v>
      </c>
      <c r="Q84">
        <v>8.0000000000000002E-3</v>
      </c>
      <c r="R84" t="s">
        <v>3267</v>
      </c>
      <c r="W84">
        <v>0.93700000000000006</v>
      </c>
      <c r="X84" t="s">
        <v>3268</v>
      </c>
      <c r="Y84" t="s">
        <v>7</v>
      </c>
      <c r="Z84" t="s">
        <v>4</v>
      </c>
      <c r="AP84" s="13"/>
    </row>
    <row r="85" spans="1:42">
      <c r="B85" t="s">
        <v>3006</v>
      </c>
      <c r="C85" s="13" t="s">
        <v>1178</v>
      </c>
      <c r="D85" t="s">
        <v>1772</v>
      </c>
      <c r="E85" s="13" t="s">
        <v>2897</v>
      </c>
      <c r="F85" t="s">
        <v>2895</v>
      </c>
      <c r="G85">
        <v>284</v>
      </c>
      <c r="H85" s="13" t="s">
        <v>2976</v>
      </c>
      <c r="I85">
        <v>2</v>
      </c>
      <c r="K85" t="s">
        <v>1108</v>
      </c>
      <c r="M85">
        <v>21.7</v>
      </c>
      <c r="N85" t="s">
        <v>2976</v>
      </c>
      <c r="Q85">
        <v>3.2000000000000001E-2</v>
      </c>
      <c r="R85" t="s">
        <v>3267</v>
      </c>
      <c r="W85">
        <v>0.96399999999999997</v>
      </c>
      <c r="X85" t="s">
        <v>3268</v>
      </c>
      <c r="Y85" t="s">
        <v>7</v>
      </c>
      <c r="Z85" t="s">
        <v>4</v>
      </c>
      <c r="AP85" s="13"/>
    </row>
    <row r="86" spans="1:42">
      <c r="B86" t="s">
        <v>3006</v>
      </c>
      <c r="C86" s="13" t="s">
        <v>1178</v>
      </c>
      <c r="D86" t="s">
        <v>1773</v>
      </c>
      <c r="E86" s="13" t="s">
        <v>2897</v>
      </c>
      <c r="F86" t="s">
        <v>2895</v>
      </c>
      <c r="G86">
        <v>284</v>
      </c>
      <c r="H86" s="13" t="s">
        <v>2976</v>
      </c>
      <c r="I86">
        <v>2</v>
      </c>
      <c r="K86" t="s">
        <v>1108</v>
      </c>
      <c r="M86">
        <v>59</v>
      </c>
      <c r="N86" t="s">
        <v>2976</v>
      </c>
      <c r="Q86">
        <v>1.2E-2</v>
      </c>
      <c r="R86" t="s">
        <v>3267</v>
      </c>
      <c r="W86">
        <v>0.95899999999999996</v>
      </c>
      <c r="X86" t="s">
        <v>3268</v>
      </c>
      <c r="Y86" t="s">
        <v>7</v>
      </c>
      <c r="Z86" t="s">
        <v>4</v>
      </c>
      <c r="AP86" s="13"/>
    </row>
    <row r="87" spans="1:42">
      <c r="B87" t="s">
        <v>3006</v>
      </c>
      <c r="C87" s="13" t="s">
        <v>1178</v>
      </c>
      <c r="D87" t="s">
        <v>1772</v>
      </c>
      <c r="E87" s="13" t="s">
        <v>2897</v>
      </c>
      <c r="F87" t="s">
        <v>2895</v>
      </c>
      <c r="G87">
        <v>284</v>
      </c>
      <c r="H87" s="13" t="s">
        <v>2976</v>
      </c>
      <c r="I87">
        <v>2</v>
      </c>
      <c r="K87" t="s">
        <v>1108</v>
      </c>
      <c r="M87">
        <v>29.3</v>
      </c>
      <c r="N87" t="s">
        <v>2976</v>
      </c>
      <c r="Q87">
        <v>2.2799999999999998</v>
      </c>
      <c r="R87" t="s">
        <v>3267</v>
      </c>
      <c r="W87">
        <v>0.98799999999999999</v>
      </c>
      <c r="X87" t="s">
        <v>3273</v>
      </c>
      <c r="Y87" t="s">
        <v>7</v>
      </c>
      <c r="Z87" t="s">
        <v>4</v>
      </c>
      <c r="AP87" s="13"/>
    </row>
    <row r="88" spans="1:42">
      <c r="B88" t="s">
        <v>3006</v>
      </c>
      <c r="C88" s="13" t="s">
        <v>1178</v>
      </c>
      <c r="D88" t="s">
        <v>1773</v>
      </c>
      <c r="E88" s="13" t="s">
        <v>2897</v>
      </c>
      <c r="F88" t="s">
        <v>2895</v>
      </c>
      <c r="G88">
        <v>284</v>
      </c>
      <c r="H88" s="13" t="s">
        <v>2976</v>
      </c>
      <c r="I88">
        <v>2</v>
      </c>
      <c r="K88" t="s">
        <v>1108</v>
      </c>
      <c r="M88">
        <v>46</v>
      </c>
      <c r="N88" t="s">
        <v>2976</v>
      </c>
      <c r="Q88">
        <v>1.4999999999999999E-2</v>
      </c>
      <c r="R88" t="s">
        <v>3267</v>
      </c>
      <c r="W88">
        <v>0.95299999999999996</v>
      </c>
      <c r="X88" t="s">
        <v>3268</v>
      </c>
      <c r="Y88" t="s">
        <v>7</v>
      </c>
      <c r="Z88" t="s">
        <v>4</v>
      </c>
      <c r="AP88" s="13"/>
    </row>
    <row r="89" spans="1:42" ht="16.5" customHeight="1">
      <c r="B89" t="s">
        <v>3004</v>
      </c>
      <c r="C89" s="13" t="s">
        <v>1173</v>
      </c>
      <c r="D89" t="s">
        <v>1772</v>
      </c>
      <c r="E89" s="13" t="s">
        <v>2733</v>
      </c>
      <c r="F89" t="s">
        <v>2734</v>
      </c>
      <c r="G89">
        <v>284</v>
      </c>
      <c r="H89" s="13" t="s">
        <v>2976</v>
      </c>
      <c r="I89">
        <v>2</v>
      </c>
      <c r="K89" t="s">
        <v>1108</v>
      </c>
      <c r="M89">
        <v>20.9</v>
      </c>
      <c r="N89" t="s">
        <v>2976</v>
      </c>
      <c r="Q89">
        <v>3.3000000000000002E-2</v>
      </c>
      <c r="R89" t="s">
        <v>3267</v>
      </c>
      <c r="W89">
        <v>0.98099999999999998</v>
      </c>
      <c r="X89" t="s">
        <v>3268</v>
      </c>
      <c r="Y89" t="s">
        <v>7</v>
      </c>
      <c r="Z89" t="s">
        <v>4</v>
      </c>
    </row>
    <row r="90" spans="1:42">
      <c r="B90" t="s">
        <v>3004</v>
      </c>
      <c r="C90" s="13" t="s">
        <v>1173</v>
      </c>
      <c r="D90" t="s">
        <v>1773</v>
      </c>
      <c r="E90" s="13" t="s">
        <v>2733</v>
      </c>
      <c r="F90" t="s">
        <v>2734</v>
      </c>
      <c r="G90">
        <v>284</v>
      </c>
      <c r="H90" s="13" t="s">
        <v>2976</v>
      </c>
      <c r="I90">
        <v>2</v>
      </c>
      <c r="K90" t="s">
        <v>1108</v>
      </c>
      <c r="M90">
        <v>105</v>
      </c>
      <c r="N90" t="s">
        <v>2976</v>
      </c>
      <c r="U90">
        <v>3.03</v>
      </c>
      <c r="V90">
        <v>406</v>
      </c>
      <c r="W90">
        <v>0.97299999999999998</v>
      </c>
      <c r="X90" t="s">
        <v>3273</v>
      </c>
      <c r="Y90" t="s">
        <v>7</v>
      </c>
      <c r="Z90" t="s">
        <v>4</v>
      </c>
    </row>
    <row r="91" spans="1:42">
      <c r="B91" t="s">
        <v>3004</v>
      </c>
      <c r="C91" s="13" t="s">
        <v>1173</v>
      </c>
      <c r="D91" t="s">
        <v>1772</v>
      </c>
      <c r="E91" s="13" t="s">
        <v>2733</v>
      </c>
      <c r="F91" t="s">
        <v>2734</v>
      </c>
      <c r="G91">
        <v>284</v>
      </c>
      <c r="H91" s="13" t="s">
        <v>2976</v>
      </c>
      <c r="I91">
        <v>2</v>
      </c>
      <c r="K91" t="s">
        <v>1108</v>
      </c>
      <c r="M91">
        <v>16.5</v>
      </c>
      <c r="N91" t="s">
        <v>2976</v>
      </c>
      <c r="U91">
        <v>5.63</v>
      </c>
      <c r="V91">
        <v>126</v>
      </c>
      <c r="W91">
        <v>0.98899999999999999</v>
      </c>
      <c r="X91" t="s">
        <v>3273</v>
      </c>
      <c r="Y91" t="s">
        <v>7</v>
      </c>
      <c r="Z91" t="s">
        <v>4</v>
      </c>
    </row>
    <row r="92" spans="1:42">
      <c r="B92" t="s">
        <v>3004</v>
      </c>
      <c r="C92" s="13" t="s">
        <v>1173</v>
      </c>
      <c r="D92" t="s">
        <v>1773</v>
      </c>
      <c r="E92" s="13" t="s">
        <v>2733</v>
      </c>
      <c r="F92" t="s">
        <v>2734</v>
      </c>
      <c r="G92">
        <v>284</v>
      </c>
      <c r="H92" s="13" t="s">
        <v>2976</v>
      </c>
      <c r="I92">
        <v>2</v>
      </c>
      <c r="K92" t="s">
        <v>1108</v>
      </c>
      <c r="M92">
        <v>77.599999999999994</v>
      </c>
      <c r="N92" t="s">
        <v>2976</v>
      </c>
      <c r="Q92">
        <v>2.0299999999999998</v>
      </c>
      <c r="R92" t="s">
        <v>3267</v>
      </c>
      <c r="W92">
        <v>0.98799999999999999</v>
      </c>
      <c r="X92" t="s">
        <v>3268</v>
      </c>
      <c r="Y92" t="s">
        <v>7</v>
      </c>
      <c r="Z92" t="s">
        <v>4</v>
      </c>
    </row>
    <row r="93" spans="1:42">
      <c r="B93" t="s">
        <v>3006</v>
      </c>
      <c r="C93" s="13" t="s">
        <v>1178</v>
      </c>
      <c r="D93" t="s">
        <v>1772</v>
      </c>
      <c r="E93" s="13" t="s">
        <v>2733</v>
      </c>
      <c r="F93" t="s">
        <v>2734</v>
      </c>
      <c r="G93">
        <v>284</v>
      </c>
      <c r="H93" s="13" t="s">
        <v>2976</v>
      </c>
      <c r="I93">
        <v>2</v>
      </c>
      <c r="K93" t="s">
        <v>1108</v>
      </c>
      <c r="M93">
        <v>8</v>
      </c>
      <c r="N93" t="s">
        <v>2976</v>
      </c>
      <c r="U93">
        <v>1.65</v>
      </c>
      <c r="V93">
        <v>15.3</v>
      </c>
      <c r="W93">
        <v>0.98799999999999999</v>
      </c>
      <c r="X93" t="s">
        <v>3273</v>
      </c>
      <c r="Y93" t="s">
        <v>7</v>
      </c>
      <c r="Z93" t="s">
        <v>4</v>
      </c>
    </row>
    <row r="94" spans="1:42">
      <c r="B94" t="s">
        <v>3006</v>
      </c>
      <c r="C94" s="13" t="s">
        <v>1178</v>
      </c>
      <c r="D94" t="s">
        <v>1773</v>
      </c>
      <c r="E94" s="13" t="s">
        <v>2733</v>
      </c>
      <c r="F94" t="s">
        <v>2734</v>
      </c>
      <c r="G94">
        <v>284</v>
      </c>
      <c r="H94" s="13" t="s">
        <v>2976</v>
      </c>
      <c r="I94">
        <v>2</v>
      </c>
      <c r="K94" t="s">
        <v>1108</v>
      </c>
      <c r="M94">
        <v>55.6</v>
      </c>
      <c r="N94" t="s">
        <v>2976</v>
      </c>
      <c r="Q94">
        <v>1.2E-2</v>
      </c>
      <c r="R94" t="s">
        <v>3267</v>
      </c>
      <c r="W94">
        <v>0.97399999999999998</v>
      </c>
      <c r="X94" t="s">
        <v>3268</v>
      </c>
      <c r="Y94" t="s">
        <v>7</v>
      </c>
      <c r="Z94" t="s">
        <v>4</v>
      </c>
    </row>
    <row r="95" spans="1:42">
      <c r="B95" t="s">
        <v>3006</v>
      </c>
      <c r="C95" s="13" t="s">
        <v>1178</v>
      </c>
      <c r="D95" t="s">
        <v>1772</v>
      </c>
      <c r="E95" s="13" t="s">
        <v>2733</v>
      </c>
      <c r="F95" t="s">
        <v>2734</v>
      </c>
      <c r="G95">
        <v>284</v>
      </c>
      <c r="H95" s="13" t="s">
        <v>2976</v>
      </c>
      <c r="I95">
        <v>2</v>
      </c>
      <c r="K95" t="s">
        <v>1108</v>
      </c>
      <c r="M95">
        <v>7.1</v>
      </c>
      <c r="N95" t="s">
        <v>2976</v>
      </c>
      <c r="U95">
        <v>5.45</v>
      </c>
      <c r="V95">
        <v>52.7</v>
      </c>
      <c r="W95">
        <v>0.99</v>
      </c>
      <c r="X95" t="s">
        <v>3273</v>
      </c>
      <c r="Y95" t="s">
        <v>7</v>
      </c>
      <c r="Z95" t="s">
        <v>4</v>
      </c>
    </row>
    <row r="96" spans="1:42">
      <c r="B96" t="s">
        <v>3006</v>
      </c>
      <c r="C96" s="13" t="s">
        <v>1178</v>
      </c>
      <c r="D96" t="s">
        <v>1773</v>
      </c>
      <c r="E96" s="13" t="s">
        <v>2733</v>
      </c>
      <c r="F96" t="s">
        <v>2734</v>
      </c>
      <c r="G96">
        <v>284</v>
      </c>
      <c r="H96" s="13" t="s">
        <v>2976</v>
      </c>
      <c r="I96">
        <v>2</v>
      </c>
      <c r="K96" t="s">
        <v>1108</v>
      </c>
      <c r="M96">
        <v>52.5</v>
      </c>
      <c r="N96" t="s">
        <v>2976</v>
      </c>
      <c r="Q96">
        <v>1.2999999999999999E-2</v>
      </c>
      <c r="R96" t="s">
        <v>3267</v>
      </c>
      <c r="W96">
        <v>0.98399999999999999</v>
      </c>
      <c r="X96" t="s">
        <v>3268</v>
      </c>
      <c r="Y96" t="s">
        <v>7</v>
      </c>
      <c r="Z96" t="s">
        <v>4</v>
      </c>
    </row>
    <row r="97" spans="1:41">
      <c r="B97" t="s">
        <v>3004</v>
      </c>
      <c r="C97" s="13" t="s">
        <v>1173</v>
      </c>
      <c r="D97" t="s">
        <v>1772</v>
      </c>
      <c r="E97" s="13" t="s">
        <v>2930</v>
      </c>
      <c r="F97" t="s">
        <v>2931</v>
      </c>
      <c r="G97">
        <v>284</v>
      </c>
      <c r="H97" s="13" t="s">
        <v>2976</v>
      </c>
      <c r="I97">
        <v>2</v>
      </c>
      <c r="K97" t="s">
        <v>1108</v>
      </c>
      <c r="M97">
        <v>98.9</v>
      </c>
      <c r="N97" t="s">
        <v>2976</v>
      </c>
      <c r="Q97">
        <v>1.5</v>
      </c>
      <c r="R97" t="s">
        <v>3267</v>
      </c>
      <c r="W97">
        <v>0.97399999999999998</v>
      </c>
      <c r="X97" t="s">
        <v>3273</v>
      </c>
      <c r="Y97" t="s">
        <v>7</v>
      </c>
      <c r="Z97" t="s">
        <v>4</v>
      </c>
    </row>
    <row r="98" spans="1:41">
      <c r="B98" t="s">
        <v>3004</v>
      </c>
      <c r="C98" s="13" t="s">
        <v>1173</v>
      </c>
      <c r="D98" t="s">
        <v>1773</v>
      </c>
      <c r="E98" s="13" t="s">
        <v>2930</v>
      </c>
      <c r="F98" t="s">
        <v>2931</v>
      </c>
      <c r="G98">
        <v>284</v>
      </c>
      <c r="H98" s="13" t="s">
        <v>2976</v>
      </c>
      <c r="I98">
        <v>2</v>
      </c>
      <c r="K98" t="s">
        <v>1108</v>
      </c>
      <c r="M98">
        <v>1110</v>
      </c>
      <c r="N98" t="s">
        <v>2976</v>
      </c>
      <c r="Q98">
        <v>0.21</v>
      </c>
      <c r="R98" t="s">
        <v>3267</v>
      </c>
      <c r="W98">
        <v>0.96399999999999997</v>
      </c>
      <c r="X98" t="s">
        <v>3273</v>
      </c>
      <c r="Y98" t="s">
        <v>7</v>
      </c>
      <c r="Z98" t="s">
        <v>4</v>
      </c>
    </row>
    <row r="99" spans="1:41">
      <c r="B99" t="s">
        <v>3004</v>
      </c>
      <c r="C99" s="13" t="s">
        <v>1173</v>
      </c>
      <c r="D99" t="s">
        <v>1772</v>
      </c>
      <c r="E99" s="13" t="s">
        <v>2930</v>
      </c>
      <c r="F99" t="s">
        <v>2931</v>
      </c>
      <c r="G99">
        <v>284</v>
      </c>
      <c r="H99" s="13" t="s">
        <v>2976</v>
      </c>
      <c r="I99">
        <v>2</v>
      </c>
      <c r="K99" t="s">
        <v>1108</v>
      </c>
      <c r="M99">
        <v>82.9</v>
      </c>
      <c r="N99" t="s">
        <v>2976</v>
      </c>
      <c r="Q99">
        <v>2.64</v>
      </c>
      <c r="R99" t="s">
        <v>3267</v>
      </c>
      <c r="W99">
        <v>0.95699999999999996</v>
      </c>
      <c r="X99" t="s">
        <v>3273</v>
      </c>
      <c r="Y99" t="s">
        <v>7</v>
      </c>
      <c r="Z99" t="s">
        <v>4</v>
      </c>
    </row>
    <row r="100" spans="1:41">
      <c r="B100" t="s">
        <v>3004</v>
      </c>
      <c r="C100" s="13" t="s">
        <v>1173</v>
      </c>
      <c r="D100" t="s">
        <v>1773</v>
      </c>
      <c r="E100" s="13" t="s">
        <v>2930</v>
      </c>
      <c r="F100" t="s">
        <v>2931</v>
      </c>
      <c r="G100">
        <v>284</v>
      </c>
      <c r="H100" s="13" t="s">
        <v>2976</v>
      </c>
      <c r="I100">
        <v>2</v>
      </c>
      <c r="K100" t="s">
        <v>1108</v>
      </c>
      <c r="M100">
        <v>712</v>
      </c>
      <c r="N100" t="s">
        <v>2976</v>
      </c>
      <c r="Q100">
        <v>1E-3</v>
      </c>
      <c r="R100" t="s">
        <v>3267</v>
      </c>
      <c r="W100">
        <v>0.91500000000000004</v>
      </c>
      <c r="X100" t="s">
        <v>3268</v>
      </c>
      <c r="Y100" t="s">
        <v>7</v>
      </c>
      <c r="Z100" t="s">
        <v>4</v>
      </c>
    </row>
    <row r="101" spans="1:41">
      <c r="B101" t="s">
        <v>3006</v>
      </c>
      <c r="C101" s="13" t="s">
        <v>1178</v>
      </c>
      <c r="D101" t="s">
        <v>1772</v>
      </c>
      <c r="E101" s="13" t="s">
        <v>2930</v>
      </c>
      <c r="F101" t="s">
        <v>2931</v>
      </c>
      <c r="G101">
        <v>284</v>
      </c>
      <c r="H101" s="13" t="s">
        <v>2976</v>
      </c>
      <c r="I101">
        <v>2</v>
      </c>
      <c r="K101" t="s">
        <v>1108</v>
      </c>
      <c r="M101">
        <v>35.299999999999997</v>
      </c>
      <c r="N101" t="s">
        <v>2976</v>
      </c>
      <c r="Q101">
        <v>0.02</v>
      </c>
      <c r="R101" t="s">
        <v>3267</v>
      </c>
      <c r="W101">
        <v>0.99199999999999999</v>
      </c>
      <c r="X101" t="s">
        <v>3268</v>
      </c>
      <c r="Y101" t="s">
        <v>7</v>
      </c>
      <c r="Z101" t="s">
        <v>4</v>
      </c>
    </row>
    <row r="102" spans="1:41">
      <c r="B102" t="s">
        <v>3006</v>
      </c>
      <c r="C102" s="13" t="s">
        <v>1178</v>
      </c>
      <c r="D102" t="s">
        <v>1773</v>
      </c>
      <c r="E102" s="13" t="s">
        <v>2930</v>
      </c>
      <c r="F102" t="s">
        <v>2931</v>
      </c>
      <c r="G102">
        <v>284</v>
      </c>
      <c r="H102" s="13" t="s">
        <v>2976</v>
      </c>
      <c r="I102">
        <v>2</v>
      </c>
      <c r="K102" t="s">
        <v>1108</v>
      </c>
      <c r="M102">
        <v>303</v>
      </c>
      <c r="N102" t="s">
        <v>2976</v>
      </c>
      <c r="Q102">
        <v>2E-3</v>
      </c>
      <c r="R102" t="s">
        <v>3267</v>
      </c>
      <c r="W102">
        <v>0.93</v>
      </c>
      <c r="X102" t="s">
        <v>3268</v>
      </c>
      <c r="Y102" t="s">
        <v>7</v>
      </c>
      <c r="Z102" t="s">
        <v>4</v>
      </c>
    </row>
    <row r="103" spans="1:41">
      <c r="B103" t="s">
        <v>3006</v>
      </c>
      <c r="C103" s="13" t="s">
        <v>1178</v>
      </c>
      <c r="D103" t="s">
        <v>1772</v>
      </c>
      <c r="E103" s="13" t="s">
        <v>2930</v>
      </c>
      <c r="F103" t="s">
        <v>2931</v>
      </c>
      <c r="G103">
        <v>284</v>
      </c>
      <c r="H103" s="13" t="s">
        <v>2976</v>
      </c>
      <c r="I103">
        <v>2</v>
      </c>
      <c r="K103" t="s">
        <v>1108</v>
      </c>
      <c r="M103">
        <v>42.3</v>
      </c>
      <c r="N103" t="s">
        <v>2976</v>
      </c>
      <c r="Q103">
        <v>1.6E-2</v>
      </c>
      <c r="R103" t="s">
        <v>3267</v>
      </c>
      <c r="W103">
        <v>0.98599999999999999</v>
      </c>
      <c r="X103" t="s">
        <v>3268</v>
      </c>
      <c r="Y103" t="s">
        <v>7</v>
      </c>
      <c r="Z103" t="s">
        <v>4</v>
      </c>
    </row>
    <row r="104" spans="1:41">
      <c r="B104" t="s">
        <v>3006</v>
      </c>
      <c r="C104" s="13" t="s">
        <v>1178</v>
      </c>
      <c r="D104" t="s">
        <v>1773</v>
      </c>
      <c r="E104" s="13" t="s">
        <v>2930</v>
      </c>
      <c r="F104" t="s">
        <v>2931</v>
      </c>
      <c r="G104">
        <v>284</v>
      </c>
      <c r="H104" s="13" t="s">
        <v>2976</v>
      </c>
      <c r="I104">
        <v>2</v>
      </c>
      <c r="K104" t="s">
        <v>1108</v>
      </c>
      <c r="M104">
        <v>184</v>
      </c>
      <c r="N104" t="s">
        <v>2976</v>
      </c>
      <c r="Q104">
        <v>4.0000000000000001E-3</v>
      </c>
      <c r="R104" t="s">
        <v>3267</v>
      </c>
      <c r="W104">
        <v>0.97199999999999998</v>
      </c>
      <c r="X104" t="s">
        <v>3268</v>
      </c>
      <c r="Y104" t="s">
        <v>7</v>
      </c>
      <c r="Z104" t="s">
        <v>4</v>
      </c>
    </row>
    <row r="105" spans="1:41">
      <c r="A105" t="s">
        <v>935</v>
      </c>
      <c r="B105" t="s">
        <v>3008</v>
      </c>
      <c r="C105" s="13" t="s">
        <v>1180</v>
      </c>
      <c r="D105" t="s">
        <v>1774</v>
      </c>
      <c r="E105" s="13" t="s">
        <v>2906</v>
      </c>
      <c r="F105" s="13" t="s">
        <v>2907</v>
      </c>
      <c r="G105">
        <v>80</v>
      </c>
      <c r="H105" s="13" t="s">
        <v>2976</v>
      </c>
      <c r="I105">
        <v>20</v>
      </c>
      <c r="K105" t="s">
        <v>1108</v>
      </c>
      <c r="M105">
        <v>36.67</v>
      </c>
      <c r="N105" t="s">
        <v>2976</v>
      </c>
      <c r="Q105">
        <v>1.89E-2</v>
      </c>
      <c r="R105" t="s">
        <v>3267</v>
      </c>
      <c r="W105">
        <v>0.9</v>
      </c>
      <c r="X105" t="s">
        <v>3268</v>
      </c>
      <c r="Y105" t="s">
        <v>7</v>
      </c>
      <c r="Z105" t="s">
        <v>4</v>
      </c>
      <c r="AK105">
        <v>1.94</v>
      </c>
      <c r="AM105">
        <v>0.94</v>
      </c>
      <c r="AN105" t="s">
        <v>3270</v>
      </c>
      <c r="AO105">
        <v>0.99</v>
      </c>
    </row>
    <row r="106" spans="1:41">
      <c r="B106" t="s">
        <v>3008</v>
      </c>
      <c r="C106" s="13" t="s">
        <v>1180</v>
      </c>
      <c r="D106" t="s">
        <v>1775</v>
      </c>
      <c r="E106" s="13" t="s">
        <v>2906</v>
      </c>
      <c r="F106" s="13" t="s">
        <v>2907</v>
      </c>
      <c r="G106">
        <v>80</v>
      </c>
      <c r="H106" s="13" t="s">
        <v>2976</v>
      </c>
      <c r="I106">
        <v>20</v>
      </c>
      <c r="K106" t="s">
        <v>1108</v>
      </c>
      <c r="M106">
        <v>52.11</v>
      </c>
      <c r="N106" t="s">
        <v>2976</v>
      </c>
      <c r="Q106">
        <v>1.3299999999999999E-2</v>
      </c>
      <c r="R106" t="s">
        <v>3267</v>
      </c>
      <c r="W106">
        <v>0.81</v>
      </c>
      <c r="X106" t="s">
        <v>3268</v>
      </c>
      <c r="Y106" t="s">
        <v>7</v>
      </c>
      <c r="Z106" t="s">
        <v>4</v>
      </c>
      <c r="AK106">
        <v>2.64</v>
      </c>
      <c r="AM106">
        <v>0.84</v>
      </c>
      <c r="AN106" t="s">
        <v>3270</v>
      </c>
      <c r="AO106">
        <v>0.98</v>
      </c>
    </row>
    <row r="107" spans="1:41">
      <c r="B107" t="s">
        <v>3008</v>
      </c>
      <c r="C107" s="13" t="s">
        <v>1180</v>
      </c>
      <c r="D107" t="s">
        <v>1779</v>
      </c>
      <c r="E107" s="13" t="s">
        <v>2906</v>
      </c>
      <c r="F107" s="13" t="s">
        <v>2907</v>
      </c>
      <c r="G107">
        <v>80</v>
      </c>
      <c r="H107" s="13" t="s">
        <v>2976</v>
      </c>
      <c r="I107">
        <v>20</v>
      </c>
      <c r="K107" t="s">
        <v>1108</v>
      </c>
      <c r="M107">
        <v>55.45</v>
      </c>
      <c r="N107" t="s">
        <v>2976</v>
      </c>
      <c r="Q107">
        <v>1.2500000000000001E-2</v>
      </c>
      <c r="R107" t="s">
        <v>3267</v>
      </c>
      <c r="W107">
        <v>0.81</v>
      </c>
      <c r="X107" t="s">
        <v>3268</v>
      </c>
      <c r="Y107" t="s">
        <v>7</v>
      </c>
      <c r="Z107" t="s">
        <v>4</v>
      </c>
      <c r="AK107">
        <v>3.49</v>
      </c>
      <c r="AM107">
        <v>0.82</v>
      </c>
      <c r="AN107" t="s">
        <v>3270</v>
      </c>
      <c r="AO107">
        <v>0.99</v>
      </c>
    </row>
    <row r="108" spans="1:41">
      <c r="A108" t="s">
        <v>931</v>
      </c>
      <c r="B108" t="s">
        <v>3009</v>
      </c>
      <c r="C108" s="13" t="s">
        <v>1188</v>
      </c>
      <c r="D108" t="s">
        <v>1780</v>
      </c>
      <c r="E108" s="13" t="s">
        <v>2815</v>
      </c>
      <c r="F108" s="13" t="s">
        <v>2816</v>
      </c>
      <c r="G108">
        <v>62</v>
      </c>
      <c r="H108" s="13" t="s">
        <v>2976</v>
      </c>
      <c r="I108">
        <v>1</v>
      </c>
      <c r="K108" t="s">
        <v>1108</v>
      </c>
      <c r="M108">
        <v>22.9</v>
      </c>
      <c r="N108" t="s">
        <v>2976</v>
      </c>
      <c r="Q108" s="23">
        <f>LN(2)/M108</f>
        <v>3.0268435832312025E-2</v>
      </c>
      <c r="R108" t="s">
        <v>3267</v>
      </c>
      <c r="W108">
        <v>0.96199999999999997</v>
      </c>
      <c r="X108" t="s">
        <v>3268</v>
      </c>
      <c r="Y108" t="s">
        <v>7</v>
      </c>
      <c r="Z108" t="s">
        <v>4</v>
      </c>
      <c r="AK108">
        <v>0.12</v>
      </c>
      <c r="AL108" t="s">
        <v>3274</v>
      </c>
      <c r="AN108" t="s">
        <v>3275</v>
      </c>
      <c r="AO108">
        <v>0.93100000000000005</v>
      </c>
    </row>
    <row r="109" spans="1:41">
      <c r="B109" t="s">
        <v>3009</v>
      </c>
      <c r="C109" s="13" t="s">
        <v>1188</v>
      </c>
      <c r="D109" t="s">
        <v>1781</v>
      </c>
      <c r="E109" s="13" t="s">
        <v>2815</v>
      </c>
      <c r="F109" s="13" t="s">
        <v>2816</v>
      </c>
      <c r="G109">
        <v>62</v>
      </c>
      <c r="H109" s="13" t="s">
        <v>2976</v>
      </c>
      <c r="I109">
        <v>1</v>
      </c>
      <c r="J109" s="12"/>
      <c r="K109" t="s">
        <v>1108</v>
      </c>
      <c r="M109">
        <v>39.700000000000003</v>
      </c>
      <c r="N109" t="s">
        <v>2976</v>
      </c>
      <c r="Q109" s="23">
        <f t="shared" ref="Q109:Q127" si="3">LN(2)/M109</f>
        <v>1.7459626714356302E-2</v>
      </c>
      <c r="R109" t="s">
        <v>3267</v>
      </c>
      <c r="W109">
        <v>0.871</v>
      </c>
      <c r="X109" t="s">
        <v>3268</v>
      </c>
      <c r="Y109" t="s">
        <v>7</v>
      </c>
      <c r="Z109" t="s">
        <v>4</v>
      </c>
      <c r="AK109">
        <v>8.5000000000000006E-2</v>
      </c>
      <c r="AL109" t="s">
        <v>3274</v>
      </c>
      <c r="AN109" t="s">
        <v>3275</v>
      </c>
      <c r="AO109">
        <v>0.96599999999999997</v>
      </c>
    </row>
    <row r="110" spans="1:41">
      <c r="B110" t="s">
        <v>3009</v>
      </c>
      <c r="C110" s="13" t="s">
        <v>1188</v>
      </c>
      <c r="D110" t="s">
        <v>1785</v>
      </c>
      <c r="E110" s="13" t="s">
        <v>2815</v>
      </c>
      <c r="F110" s="13" t="s">
        <v>2816</v>
      </c>
      <c r="G110">
        <v>62</v>
      </c>
      <c r="H110" s="13" t="s">
        <v>2976</v>
      </c>
      <c r="I110">
        <v>1</v>
      </c>
      <c r="K110" t="s">
        <v>1108</v>
      </c>
      <c r="M110">
        <v>48.1</v>
      </c>
      <c r="N110" t="s">
        <v>2976</v>
      </c>
      <c r="Q110" s="23">
        <f t="shared" si="3"/>
        <v>1.4410544294385557E-2</v>
      </c>
      <c r="R110" t="s">
        <v>3267</v>
      </c>
      <c r="W110">
        <v>0.90400000000000003</v>
      </c>
      <c r="X110" t="s">
        <v>3268</v>
      </c>
      <c r="Y110" t="s">
        <v>7</v>
      </c>
      <c r="Z110" t="s">
        <v>4</v>
      </c>
      <c r="AK110">
        <v>2.4E-2</v>
      </c>
      <c r="AL110" t="s">
        <v>3274</v>
      </c>
      <c r="AN110" t="s">
        <v>3275</v>
      </c>
      <c r="AO110">
        <v>0.997</v>
      </c>
    </row>
    <row r="111" spans="1:41">
      <c r="B111" t="s">
        <v>3009</v>
      </c>
      <c r="C111" s="13" t="s">
        <v>1188</v>
      </c>
      <c r="D111" t="s">
        <v>1788</v>
      </c>
      <c r="E111" s="13" t="s">
        <v>2815</v>
      </c>
      <c r="F111" s="13" t="s">
        <v>2816</v>
      </c>
      <c r="G111">
        <v>62</v>
      </c>
      <c r="H111" s="13" t="s">
        <v>2976</v>
      </c>
      <c r="I111">
        <v>1</v>
      </c>
      <c r="K111" t="s">
        <v>1108</v>
      </c>
      <c r="M111">
        <v>13.2</v>
      </c>
      <c r="N111" t="s">
        <v>2976</v>
      </c>
      <c r="Q111" s="23">
        <f t="shared" si="3"/>
        <v>5.2511150042420102E-2</v>
      </c>
      <c r="R111" t="s">
        <v>3267</v>
      </c>
      <c r="W111">
        <v>0.93400000000000005</v>
      </c>
      <c r="X111" t="s">
        <v>3268</v>
      </c>
      <c r="Y111" t="s">
        <v>7</v>
      </c>
      <c r="Z111" t="s">
        <v>4</v>
      </c>
      <c r="AK111">
        <v>4.4999999999999998E-2</v>
      </c>
      <c r="AL111" t="s">
        <v>3274</v>
      </c>
      <c r="AN111" t="s">
        <v>3275</v>
      </c>
      <c r="AO111">
        <v>0.98499999999999999</v>
      </c>
    </row>
    <row r="112" spans="1:41">
      <c r="B112" t="s">
        <v>3009</v>
      </c>
      <c r="C112" s="13" t="s">
        <v>1188</v>
      </c>
      <c r="D112" t="s">
        <v>1789</v>
      </c>
      <c r="E112" s="13" t="s">
        <v>2815</v>
      </c>
      <c r="F112" s="13" t="s">
        <v>2816</v>
      </c>
      <c r="G112">
        <v>62</v>
      </c>
      <c r="H112" s="13" t="s">
        <v>2976</v>
      </c>
      <c r="I112">
        <v>1</v>
      </c>
      <c r="J112" s="12"/>
      <c r="K112" t="s">
        <v>1108</v>
      </c>
      <c r="M112">
        <v>17.899999999999999</v>
      </c>
      <c r="N112" t="s">
        <v>2976</v>
      </c>
      <c r="Q112" s="23">
        <f t="shared" si="3"/>
        <v>3.8723306176533259E-2</v>
      </c>
      <c r="R112" t="s">
        <v>3267</v>
      </c>
      <c r="W112">
        <v>0.96099999999999997</v>
      </c>
      <c r="X112" t="s">
        <v>3268</v>
      </c>
      <c r="Y112" t="s">
        <v>7</v>
      </c>
      <c r="Z112" t="s">
        <v>4</v>
      </c>
      <c r="AK112">
        <v>2.5000000000000001E-2</v>
      </c>
      <c r="AL112" t="s">
        <v>3274</v>
      </c>
      <c r="AN112" t="s">
        <v>3275</v>
      </c>
      <c r="AO112">
        <v>0.996</v>
      </c>
    </row>
    <row r="113" spans="1:41">
      <c r="B113" t="s">
        <v>3009</v>
      </c>
      <c r="C113" t="s">
        <v>1194</v>
      </c>
      <c r="D113" t="s">
        <v>1780</v>
      </c>
      <c r="E113" s="13" t="s">
        <v>2815</v>
      </c>
      <c r="F113" s="13" t="s">
        <v>2816</v>
      </c>
      <c r="G113">
        <v>62</v>
      </c>
      <c r="H113" s="13" t="s">
        <v>2976</v>
      </c>
      <c r="I113">
        <v>1</v>
      </c>
      <c r="K113" t="s">
        <v>1108</v>
      </c>
      <c r="M113">
        <v>35.799999999999997</v>
      </c>
      <c r="N113" t="s">
        <v>2976</v>
      </c>
      <c r="Q113" s="23">
        <f t="shared" si="3"/>
        <v>1.936165308826663E-2</v>
      </c>
      <c r="R113" t="s">
        <v>3267</v>
      </c>
      <c r="W113">
        <v>0.91800000000000004</v>
      </c>
      <c r="X113" t="s">
        <v>3268</v>
      </c>
      <c r="Y113" t="s">
        <v>7</v>
      </c>
      <c r="Z113" t="s">
        <v>4</v>
      </c>
      <c r="AK113">
        <v>7.3999999999999996E-2</v>
      </c>
      <c r="AL113" t="s">
        <v>3274</v>
      </c>
      <c r="AN113" t="s">
        <v>3275</v>
      </c>
      <c r="AO113">
        <v>0.92900000000000005</v>
      </c>
    </row>
    <row r="114" spans="1:41">
      <c r="B114" t="s">
        <v>3009</v>
      </c>
      <c r="C114" t="s">
        <v>1194</v>
      </c>
      <c r="D114" t="s">
        <v>1781</v>
      </c>
      <c r="E114" s="13" t="s">
        <v>2815</v>
      </c>
      <c r="F114" s="13" t="s">
        <v>2816</v>
      </c>
      <c r="G114">
        <v>62</v>
      </c>
      <c r="H114" s="13" t="s">
        <v>2976</v>
      </c>
      <c r="I114">
        <v>1</v>
      </c>
      <c r="K114" t="s">
        <v>1108</v>
      </c>
      <c r="M114">
        <v>49.1</v>
      </c>
      <c r="N114" t="s">
        <v>2976</v>
      </c>
      <c r="Q114" s="23">
        <f t="shared" si="3"/>
        <v>1.4117050520569149E-2</v>
      </c>
      <c r="R114" t="s">
        <v>3267</v>
      </c>
      <c r="W114">
        <v>0.95499999999999996</v>
      </c>
      <c r="X114" t="s">
        <v>3268</v>
      </c>
      <c r="Y114" t="s">
        <v>7</v>
      </c>
      <c r="Z114" t="s">
        <v>4</v>
      </c>
      <c r="AK114">
        <v>9.5000000000000001E-2</v>
      </c>
      <c r="AL114" t="s">
        <v>3274</v>
      </c>
      <c r="AN114" t="s">
        <v>3275</v>
      </c>
      <c r="AO114">
        <v>0.96499999999999997</v>
      </c>
    </row>
    <row r="115" spans="1:41">
      <c r="B115" t="s">
        <v>3009</v>
      </c>
      <c r="C115" t="s">
        <v>1194</v>
      </c>
      <c r="D115" t="s">
        <v>1785</v>
      </c>
      <c r="E115" s="13" t="s">
        <v>2815</v>
      </c>
      <c r="F115" s="13" t="s">
        <v>2816</v>
      </c>
      <c r="G115">
        <v>62</v>
      </c>
      <c r="H115" s="13" t="s">
        <v>2976</v>
      </c>
      <c r="I115">
        <v>1</v>
      </c>
      <c r="J115" s="12"/>
      <c r="K115" t="s">
        <v>1108</v>
      </c>
      <c r="M115">
        <v>52.3</v>
      </c>
      <c r="N115" t="s">
        <v>2976</v>
      </c>
      <c r="Q115" s="23">
        <f t="shared" si="3"/>
        <v>1.3253292171318267E-2</v>
      </c>
      <c r="R115" t="s">
        <v>3267</v>
      </c>
      <c r="W115">
        <v>0.96499999999999997</v>
      </c>
      <c r="X115" t="s">
        <v>3268</v>
      </c>
      <c r="Y115" t="s">
        <v>7</v>
      </c>
      <c r="Z115" t="s">
        <v>4</v>
      </c>
      <c r="AK115">
        <v>2.1999999999999999E-2</v>
      </c>
      <c r="AL115" t="s">
        <v>3274</v>
      </c>
      <c r="AN115" t="s">
        <v>3275</v>
      </c>
      <c r="AO115">
        <v>0.998</v>
      </c>
    </row>
    <row r="116" spans="1:41">
      <c r="B116" t="s">
        <v>3009</v>
      </c>
      <c r="C116" t="s">
        <v>1194</v>
      </c>
      <c r="D116" t="s">
        <v>1788</v>
      </c>
      <c r="E116" s="13" t="s">
        <v>2815</v>
      </c>
      <c r="F116" s="13" t="s">
        <v>2816</v>
      </c>
      <c r="G116">
        <v>62</v>
      </c>
      <c r="H116" s="13" t="s">
        <v>2976</v>
      </c>
      <c r="I116">
        <v>1</v>
      </c>
      <c r="K116" t="s">
        <v>1108</v>
      </c>
      <c r="M116">
        <v>19</v>
      </c>
      <c r="N116" t="s">
        <v>2976</v>
      </c>
      <c r="Q116" s="23">
        <f t="shared" si="3"/>
        <v>3.6481430555786593E-2</v>
      </c>
      <c r="R116" t="s">
        <v>3267</v>
      </c>
      <c r="W116">
        <v>0.89600000000000002</v>
      </c>
      <c r="X116" t="s">
        <v>3268</v>
      </c>
      <c r="Y116" t="s">
        <v>7</v>
      </c>
      <c r="Z116" t="s">
        <v>4</v>
      </c>
      <c r="AK116">
        <v>4.2999999999999997E-2</v>
      </c>
      <c r="AL116" t="s">
        <v>3274</v>
      </c>
      <c r="AN116" t="s">
        <v>3275</v>
      </c>
      <c r="AO116">
        <v>0.98799999999999999</v>
      </c>
    </row>
    <row r="117" spans="1:41">
      <c r="B117" t="s">
        <v>3009</v>
      </c>
      <c r="C117" t="s">
        <v>1194</v>
      </c>
      <c r="D117" t="s">
        <v>1789</v>
      </c>
      <c r="E117" s="13" t="s">
        <v>2815</v>
      </c>
      <c r="F117" s="13" t="s">
        <v>2816</v>
      </c>
      <c r="G117">
        <v>62</v>
      </c>
      <c r="H117" s="13" t="s">
        <v>2976</v>
      </c>
      <c r="I117">
        <v>1</v>
      </c>
      <c r="K117" t="s">
        <v>1108</v>
      </c>
      <c r="M117">
        <v>22.8</v>
      </c>
      <c r="N117" t="s">
        <v>2976</v>
      </c>
      <c r="Q117" s="23">
        <f t="shared" si="3"/>
        <v>3.040119212982216E-2</v>
      </c>
      <c r="R117" t="s">
        <v>3267</v>
      </c>
      <c r="W117">
        <v>0.88700000000000001</v>
      </c>
      <c r="X117" t="s">
        <v>3268</v>
      </c>
      <c r="Y117" t="s">
        <v>7</v>
      </c>
      <c r="Z117" t="s">
        <v>4</v>
      </c>
      <c r="AK117">
        <v>2.8000000000000001E-2</v>
      </c>
      <c r="AL117" t="s">
        <v>3274</v>
      </c>
      <c r="AN117" t="s">
        <v>3275</v>
      </c>
      <c r="AO117">
        <v>0.996</v>
      </c>
    </row>
    <row r="118" spans="1:41">
      <c r="B118" t="s">
        <v>3009</v>
      </c>
      <c r="C118" t="s">
        <v>1197</v>
      </c>
      <c r="D118" t="s">
        <v>1780</v>
      </c>
      <c r="E118" s="13" t="s">
        <v>2815</v>
      </c>
      <c r="F118" s="13" t="s">
        <v>2816</v>
      </c>
      <c r="G118">
        <v>62</v>
      </c>
      <c r="H118" s="13" t="s">
        <v>2976</v>
      </c>
      <c r="I118">
        <v>1</v>
      </c>
      <c r="J118" s="12"/>
      <c r="K118" t="s">
        <v>1108</v>
      </c>
      <c r="M118">
        <v>29.1</v>
      </c>
      <c r="N118" t="s">
        <v>2976</v>
      </c>
      <c r="Q118" s="23">
        <f t="shared" si="3"/>
        <v>2.381949074089159E-2</v>
      </c>
      <c r="R118" t="s">
        <v>3267</v>
      </c>
      <c r="W118">
        <v>0.92400000000000004</v>
      </c>
      <c r="X118" t="s">
        <v>3268</v>
      </c>
      <c r="Y118" t="s">
        <v>7</v>
      </c>
      <c r="Z118" t="s">
        <v>4</v>
      </c>
      <c r="AK118">
        <v>5.8000000000000003E-2</v>
      </c>
      <c r="AL118" t="s">
        <v>3274</v>
      </c>
      <c r="AN118" t="s">
        <v>3275</v>
      </c>
      <c r="AO118">
        <v>0.96</v>
      </c>
    </row>
    <row r="119" spans="1:41">
      <c r="B119" t="s">
        <v>3009</v>
      </c>
      <c r="C119" t="s">
        <v>1197</v>
      </c>
      <c r="D119" t="s">
        <v>1781</v>
      </c>
      <c r="E119" s="13" t="s">
        <v>2815</v>
      </c>
      <c r="F119" s="13" t="s">
        <v>2816</v>
      </c>
      <c r="G119">
        <v>62</v>
      </c>
      <c r="H119" s="13" t="s">
        <v>2976</v>
      </c>
      <c r="I119">
        <v>1</v>
      </c>
      <c r="K119" t="s">
        <v>1108</v>
      </c>
      <c r="M119">
        <v>40.9</v>
      </c>
      <c r="N119" t="s">
        <v>2976</v>
      </c>
      <c r="Q119" s="23">
        <f t="shared" si="3"/>
        <v>1.6947363827871525E-2</v>
      </c>
      <c r="R119" t="s">
        <v>3267</v>
      </c>
      <c r="W119">
        <v>0.96699999999999997</v>
      </c>
      <c r="X119" t="s">
        <v>3268</v>
      </c>
      <c r="Y119" t="s">
        <v>7</v>
      </c>
      <c r="Z119" t="s">
        <v>4</v>
      </c>
      <c r="AK119">
        <v>9.1999999999999998E-2</v>
      </c>
      <c r="AL119" t="s">
        <v>3274</v>
      </c>
      <c r="AN119" t="s">
        <v>3275</v>
      </c>
      <c r="AO119">
        <v>0.97499999999999998</v>
      </c>
    </row>
    <row r="120" spans="1:41">
      <c r="B120" t="s">
        <v>3009</v>
      </c>
      <c r="C120" t="s">
        <v>1197</v>
      </c>
      <c r="D120" t="s">
        <v>1785</v>
      </c>
      <c r="E120" s="13" t="s">
        <v>2815</v>
      </c>
      <c r="F120" s="13" t="s">
        <v>2816</v>
      </c>
      <c r="G120">
        <v>62</v>
      </c>
      <c r="H120" s="13" t="s">
        <v>2976</v>
      </c>
      <c r="I120">
        <v>1</v>
      </c>
      <c r="K120" t="s">
        <v>1108</v>
      </c>
      <c r="M120">
        <v>43.3</v>
      </c>
      <c r="N120" t="s">
        <v>2976</v>
      </c>
      <c r="Q120" s="23">
        <f t="shared" si="3"/>
        <v>1.6008018026788577E-2</v>
      </c>
      <c r="R120" t="s">
        <v>3267</v>
      </c>
      <c r="W120">
        <v>0.98199999999999998</v>
      </c>
      <c r="X120" t="s">
        <v>3268</v>
      </c>
      <c r="Y120" t="s">
        <v>7</v>
      </c>
      <c r="Z120" t="s">
        <v>4</v>
      </c>
      <c r="AK120">
        <v>5.6000000000000001E-2</v>
      </c>
      <c r="AL120" t="s">
        <v>3274</v>
      </c>
      <c r="AN120" t="s">
        <v>3275</v>
      </c>
      <c r="AO120">
        <v>0.98699999999999999</v>
      </c>
    </row>
    <row r="121" spans="1:41">
      <c r="B121" t="s">
        <v>3009</v>
      </c>
      <c r="C121" t="s">
        <v>1197</v>
      </c>
      <c r="D121" t="s">
        <v>1788</v>
      </c>
      <c r="E121" s="13" t="s">
        <v>2815</v>
      </c>
      <c r="F121" s="13" t="s">
        <v>2816</v>
      </c>
      <c r="G121">
        <v>62</v>
      </c>
      <c r="H121" s="13" t="s">
        <v>2976</v>
      </c>
      <c r="I121">
        <v>1</v>
      </c>
      <c r="K121" t="s">
        <v>1108</v>
      </c>
      <c r="M121">
        <v>18.5</v>
      </c>
      <c r="N121" t="s">
        <v>2976</v>
      </c>
      <c r="Q121" s="23">
        <f t="shared" si="3"/>
        <v>3.7467415165402446E-2</v>
      </c>
      <c r="R121" t="s">
        <v>3267</v>
      </c>
      <c r="W121">
        <v>0.84799999999999998</v>
      </c>
      <c r="X121" t="s">
        <v>3268</v>
      </c>
      <c r="Y121" t="s">
        <v>7</v>
      </c>
      <c r="Z121" t="s">
        <v>4</v>
      </c>
      <c r="AK121">
        <v>6.2E-2</v>
      </c>
      <c r="AL121" t="s">
        <v>3274</v>
      </c>
      <c r="AN121" t="s">
        <v>3275</v>
      </c>
      <c r="AO121">
        <v>0.97599999999999998</v>
      </c>
    </row>
    <row r="122" spans="1:41">
      <c r="B122" t="s">
        <v>3009</v>
      </c>
      <c r="C122" t="s">
        <v>1197</v>
      </c>
      <c r="D122" t="s">
        <v>1789</v>
      </c>
      <c r="E122" s="13" t="s">
        <v>2815</v>
      </c>
      <c r="F122" s="13" t="s">
        <v>2816</v>
      </c>
      <c r="G122">
        <v>62</v>
      </c>
      <c r="H122" s="13" t="s">
        <v>2976</v>
      </c>
      <c r="I122">
        <v>1</v>
      </c>
      <c r="K122" t="s">
        <v>1108</v>
      </c>
      <c r="M122">
        <v>16.7</v>
      </c>
      <c r="N122" t="s">
        <v>2976</v>
      </c>
      <c r="Q122" s="23">
        <f t="shared" si="3"/>
        <v>4.1505819195206309E-2</v>
      </c>
      <c r="R122" t="s">
        <v>3267</v>
      </c>
      <c r="W122">
        <v>0.90300000000000002</v>
      </c>
      <c r="X122" t="s">
        <v>3268</v>
      </c>
      <c r="Y122" t="s">
        <v>7</v>
      </c>
      <c r="Z122" t="s">
        <v>4</v>
      </c>
      <c r="AK122">
        <v>5.6000000000000001E-2</v>
      </c>
      <c r="AL122" t="s">
        <v>3274</v>
      </c>
      <c r="AN122" t="s">
        <v>3275</v>
      </c>
      <c r="AO122">
        <v>0.98099999999999998</v>
      </c>
    </row>
    <row r="123" spans="1:41">
      <c r="B123" t="s">
        <v>3009</v>
      </c>
      <c r="C123" t="s">
        <v>1200</v>
      </c>
      <c r="D123" t="s">
        <v>1780</v>
      </c>
      <c r="E123" s="13" t="s">
        <v>2815</v>
      </c>
      <c r="F123" s="13" t="s">
        <v>2816</v>
      </c>
      <c r="G123">
        <v>62</v>
      </c>
      <c r="H123" s="13" t="s">
        <v>2976</v>
      </c>
      <c r="I123">
        <v>1</v>
      </c>
      <c r="K123" t="s">
        <v>1108</v>
      </c>
      <c r="M123">
        <v>20</v>
      </c>
      <c r="N123" t="s">
        <v>2976</v>
      </c>
      <c r="Q123" s="23">
        <f t="shared" si="3"/>
        <v>3.4657359027997263E-2</v>
      </c>
      <c r="R123" t="s">
        <v>3267</v>
      </c>
      <c r="W123">
        <v>0.91800000000000004</v>
      </c>
      <c r="X123" t="s">
        <v>3268</v>
      </c>
      <c r="Y123" t="s">
        <v>7</v>
      </c>
      <c r="Z123" t="s">
        <v>4</v>
      </c>
      <c r="AK123">
        <v>0.10100000000000001</v>
      </c>
      <c r="AL123" t="s">
        <v>3274</v>
      </c>
      <c r="AN123" t="s">
        <v>3275</v>
      </c>
      <c r="AO123">
        <v>0.93600000000000005</v>
      </c>
    </row>
    <row r="124" spans="1:41">
      <c r="B124" t="s">
        <v>3009</v>
      </c>
      <c r="C124" t="s">
        <v>1200</v>
      </c>
      <c r="D124" t="s">
        <v>1781</v>
      </c>
      <c r="E124" s="13" t="s">
        <v>2815</v>
      </c>
      <c r="F124" s="13" t="s">
        <v>2816</v>
      </c>
      <c r="G124">
        <v>62</v>
      </c>
      <c r="H124" s="13" t="s">
        <v>2976</v>
      </c>
      <c r="I124">
        <v>1</v>
      </c>
      <c r="K124" t="s">
        <v>1108</v>
      </c>
      <c r="M124">
        <v>21.7</v>
      </c>
      <c r="N124" t="s">
        <v>2976</v>
      </c>
      <c r="Q124" s="23">
        <f t="shared" si="3"/>
        <v>3.1942266385250939E-2</v>
      </c>
      <c r="R124" t="s">
        <v>3267</v>
      </c>
      <c r="W124">
        <v>0.93899999999999995</v>
      </c>
      <c r="X124" t="s">
        <v>3268</v>
      </c>
      <c r="Y124" t="s">
        <v>7</v>
      </c>
      <c r="Z124" t="s">
        <v>4</v>
      </c>
      <c r="AK124">
        <v>4.3999999999999997E-2</v>
      </c>
      <c r="AL124" t="s">
        <v>3274</v>
      </c>
      <c r="AN124" t="s">
        <v>3275</v>
      </c>
      <c r="AO124">
        <v>0.99199999999999999</v>
      </c>
    </row>
    <row r="125" spans="1:41">
      <c r="B125" t="s">
        <v>3009</v>
      </c>
      <c r="C125" t="s">
        <v>1200</v>
      </c>
      <c r="D125" t="s">
        <v>1785</v>
      </c>
      <c r="E125" s="13" t="s">
        <v>2815</v>
      </c>
      <c r="F125" s="13" t="s">
        <v>2816</v>
      </c>
      <c r="G125">
        <v>62</v>
      </c>
      <c r="H125" s="13" t="s">
        <v>2976</v>
      </c>
      <c r="I125">
        <v>1</v>
      </c>
      <c r="K125" t="s">
        <v>1108</v>
      </c>
      <c r="M125">
        <v>25.1</v>
      </c>
      <c r="N125" t="s">
        <v>2976</v>
      </c>
      <c r="Q125" s="23">
        <f t="shared" si="3"/>
        <v>2.7615425520316542E-2</v>
      </c>
      <c r="R125" t="s">
        <v>3267</v>
      </c>
      <c r="W125">
        <v>0.93200000000000005</v>
      </c>
      <c r="X125" t="s">
        <v>3268</v>
      </c>
      <c r="Y125" t="s">
        <v>7</v>
      </c>
      <c r="Z125" t="s">
        <v>4</v>
      </c>
      <c r="AK125">
        <v>2.5999999999999999E-2</v>
      </c>
      <c r="AL125" t="s">
        <v>3274</v>
      </c>
      <c r="AN125" t="s">
        <v>3275</v>
      </c>
      <c r="AO125">
        <v>0.997</v>
      </c>
    </row>
    <row r="126" spans="1:41">
      <c r="B126" t="s">
        <v>3009</v>
      </c>
      <c r="C126" t="s">
        <v>1200</v>
      </c>
      <c r="D126" t="s">
        <v>1788</v>
      </c>
      <c r="E126" s="13" t="s">
        <v>2815</v>
      </c>
      <c r="F126" s="13" t="s">
        <v>2816</v>
      </c>
      <c r="G126">
        <v>62</v>
      </c>
      <c r="H126" s="13" t="s">
        <v>2976</v>
      </c>
      <c r="I126">
        <v>1</v>
      </c>
      <c r="K126" t="s">
        <v>1108</v>
      </c>
      <c r="M126">
        <v>30.2</v>
      </c>
      <c r="N126" t="s">
        <v>2976</v>
      </c>
      <c r="Q126" s="23">
        <f t="shared" si="3"/>
        <v>2.2951893396024679E-2</v>
      </c>
      <c r="R126" t="s">
        <v>3267</v>
      </c>
      <c r="W126">
        <v>0.90400000000000003</v>
      </c>
      <c r="X126" t="s">
        <v>3268</v>
      </c>
      <c r="Y126" t="s">
        <v>7</v>
      </c>
      <c r="Z126" t="s">
        <v>4</v>
      </c>
      <c r="AK126">
        <v>7.6999999999999999E-2</v>
      </c>
      <c r="AL126" t="s">
        <v>3274</v>
      </c>
      <c r="AN126" t="s">
        <v>3275</v>
      </c>
      <c r="AO126">
        <v>0.96299999999999997</v>
      </c>
    </row>
    <row r="127" spans="1:41">
      <c r="B127" t="s">
        <v>3009</v>
      </c>
      <c r="C127" t="s">
        <v>1200</v>
      </c>
      <c r="D127" t="s">
        <v>1789</v>
      </c>
      <c r="E127" s="13" t="s">
        <v>2815</v>
      </c>
      <c r="F127" s="13" t="s">
        <v>2816</v>
      </c>
      <c r="G127">
        <v>62</v>
      </c>
      <c r="H127" s="13" t="s">
        <v>2976</v>
      </c>
      <c r="I127">
        <v>1</v>
      </c>
      <c r="K127" t="s">
        <v>1108</v>
      </c>
      <c r="M127">
        <v>17.3</v>
      </c>
      <c r="N127" t="s">
        <v>2976</v>
      </c>
      <c r="Q127" s="23">
        <f t="shared" si="3"/>
        <v>4.0066311015025738E-2</v>
      </c>
      <c r="R127" t="s">
        <v>3267</v>
      </c>
      <c r="W127">
        <v>0.82299999999999995</v>
      </c>
      <c r="X127" t="s">
        <v>3268</v>
      </c>
      <c r="Y127" t="s">
        <v>7</v>
      </c>
      <c r="Z127" t="s">
        <v>4</v>
      </c>
      <c r="AK127">
        <v>3.5000000000000003E-2</v>
      </c>
      <c r="AL127" t="s">
        <v>3274</v>
      </c>
      <c r="AN127" t="s">
        <v>3275</v>
      </c>
      <c r="AO127">
        <v>0.99299999999999999</v>
      </c>
    </row>
    <row r="128" spans="1:41">
      <c r="A128" t="s">
        <v>927</v>
      </c>
      <c r="B128" t="s">
        <v>3010</v>
      </c>
      <c r="C128" t="s">
        <v>1206</v>
      </c>
      <c r="D128" t="s">
        <v>1790</v>
      </c>
      <c r="E128" s="13" t="s">
        <v>2833</v>
      </c>
      <c r="F128" t="s">
        <v>2834</v>
      </c>
      <c r="G128">
        <v>180</v>
      </c>
      <c r="H128" s="13" t="s">
        <v>2976</v>
      </c>
      <c r="I128">
        <v>5</v>
      </c>
      <c r="K128" t="s">
        <v>1108</v>
      </c>
      <c r="M128">
        <v>65</v>
      </c>
      <c r="N128" t="s">
        <v>2976</v>
      </c>
      <c r="Q128">
        <v>1.0699999999999999E-2</v>
      </c>
      <c r="R128" t="s">
        <v>3267</v>
      </c>
      <c r="W128">
        <v>0.81</v>
      </c>
      <c r="X128" t="s">
        <v>3268</v>
      </c>
      <c r="Y128" t="s">
        <v>7</v>
      </c>
      <c r="Z128" t="s">
        <v>4</v>
      </c>
      <c r="AK128">
        <v>62</v>
      </c>
      <c r="AM128">
        <v>0.84</v>
      </c>
      <c r="AN128" t="s">
        <v>3270</v>
      </c>
      <c r="AO128">
        <v>0.91</v>
      </c>
    </row>
    <row r="129" spans="1:41">
      <c r="B129" t="s">
        <v>3010</v>
      </c>
      <c r="C129" t="s">
        <v>1206</v>
      </c>
      <c r="D129" t="s">
        <v>1791</v>
      </c>
      <c r="E129" s="13" t="s">
        <v>2833</v>
      </c>
      <c r="F129" t="s">
        <v>2834</v>
      </c>
      <c r="G129">
        <v>180</v>
      </c>
      <c r="H129" s="13" t="s">
        <v>2976</v>
      </c>
      <c r="I129">
        <v>5</v>
      </c>
      <c r="K129" t="s">
        <v>1108</v>
      </c>
      <c r="M129">
        <v>59</v>
      </c>
      <c r="N129" t="s">
        <v>2976</v>
      </c>
      <c r="Q129">
        <v>1.17E-2</v>
      </c>
      <c r="R129" t="s">
        <v>3267</v>
      </c>
      <c r="W129">
        <v>0.78</v>
      </c>
      <c r="X129" t="s">
        <v>3268</v>
      </c>
      <c r="Y129" t="s">
        <v>7</v>
      </c>
      <c r="Z129" t="s">
        <v>4</v>
      </c>
      <c r="AK129">
        <v>89</v>
      </c>
      <c r="AM129">
        <v>0.82</v>
      </c>
      <c r="AN129" t="s">
        <v>3270</v>
      </c>
      <c r="AO129">
        <v>0.98</v>
      </c>
    </row>
    <row r="130" spans="1:41">
      <c r="B130" t="s">
        <v>3010</v>
      </c>
      <c r="C130" t="s">
        <v>1206</v>
      </c>
      <c r="D130" t="s">
        <v>1794</v>
      </c>
      <c r="E130" s="13" t="s">
        <v>2833</v>
      </c>
      <c r="F130" t="s">
        <v>2834</v>
      </c>
      <c r="G130">
        <v>180</v>
      </c>
      <c r="H130" s="13" t="s">
        <v>2976</v>
      </c>
      <c r="I130">
        <v>5</v>
      </c>
      <c r="K130" t="s">
        <v>1108</v>
      </c>
      <c r="M130">
        <v>57</v>
      </c>
      <c r="N130" t="s">
        <v>2976</v>
      </c>
      <c r="Q130">
        <v>1.21E-2</v>
      </c>
      <c r="R130" t="s">
        <v>3267</v>
      </c>
      <c r="W130">
        <v>0.77</v>
      </c>
      <c r="X130" t="s">
        <v>3268</v>
      </c>
      <c r="Y130" t="s">
        <v>7</v>
      </c>
      <c r="Z130" t="s">
        <v>4</v>
      </c>
      <c r="AK130">
        <v>125</v>
      </c>
      <c r="AM130">
        <v>0.81</v>
      </c>
      <c r="AN130" t="s">
        <v>3270</v>
      </c>
      <c r="AO130">
        <v>0.97</v>
      </c>
    </row>
    <row r="131" spans="1:41">
      <c r="B131" t="s">
        <v>3010</v>
      </c>
      <c r="C131" t="s">
        <v>1206</v>
      </c>
      <c r="D131" t="s">
        <v>1796</v>
      </c>
      <c r="E131" s="13" t="s">
        <v>2833</v>
      </c>
      <c r="F131" t="s">
        <v>2834</v>
      </c>
      <c r="G131">
        <v>180</v>
      </c>
      <c r="H131" s="13" t="s">
        <v>2976</v>
      </c>
      <c r="I131">
        <v>5</v>
      </c>
      <c r="K131" t="s">
        <v>1108</v>
      </c>
      <c r="M131">
        <v>53</v>
      </c>
      <c r="N131" t="s">
        <v>2976</v>
      </c>
      <c r="Q131">
        <v>1.3100000000000001E-2</v>
      </c>
      <c r="R131" t="s">
        <v>3267</v>
      </c>
      <c r="W131">
        <v>0.74</v>
      </c>
      <c r="X131" t="s">
        <v>3268</v>
      </c>
      <c r="Y131" t="s">
        <v>7</v>
      </c>
      <c r="Z131" t="s">
        <v>4</v>
      </c>
      <c r="AK131">
        <v>196</v>
      </c>
      <c r="AM131">
        <v>0.79</v>
      </c>
      <c r="AN131" t="s">
        <v>3270</v>
      </c>
      <c r="AO131">
        <v>0.99</v>
      </c>
    </row>
    <row r="132" spans="1:41">
      <c r="B132" t="s">
        <v>3010</v>
      </c>
      <c r="C132" t="s">
        <v>1210</v>
      </c>
      <c r="D132" t="s">
        <v>1790</v>
      </c>
      <c r="E132" s="13" t="s">
        <v>2833</v>
      </c>
      <c r="F132" t="s">
        <v>2834</v>
      </c>
      <c r="G132">
        <v>180</v>
      </c>
      <c r="H132" s="13" t="s">
        <v>2976</v>
      </c>
      <c r="I132">
        <v>5</v>
      </c>
      <c r="K132" t="s">
        <v>1108</v>
      </c>
      <c r="M132">
        <v>108</v>
      </c>
      <c r="N132" t="s">
        <v>2976</v>
      </c>
      <c r="Q132">
        <v>6.4000000000000003E-3</v>
      </c>
      <c r="R132" t="s">
        <v>3267</v>
      </c>
      <c r="W132">
        <v>0.8</v>
      </c>
      <c r="X132" t="s">
        <v>3268</v>
      </c>
      <c r="Y132" t="s">
        <v>7</v>
      </c>
      <c r="Z132" t="s">
        <v>4</v>
      </c>
      <c r="AK132">
        <v>83</v>
      </c>
      <c r="AM132">
        <v>0.81</v>
      </c>
      <c r="AN132" t="s">
        <v>3270</v>
      </c>
      <c r="AO132">
        <v>0.92</v>
      </c>
    </row>
    <row r="133" spans="1:41">
      <c r="B133" t="s">
        <v>3010</v>
      </c>
      <c r="C133" t="s">
        <v>1210</v>
      </c>
      <c r="D133" t="s">
        <v>1791</v>
      </c>
      <c r="E133" s="13" t="s">
        <v>2833</v>
      </c>
      <c r="F133" t="s">
        <v>2834</v>
      </c>
      <c r="G133">
        <v>180</v>
      </c>
      <c r="H133" s="13" t="s">
        <v>2976</v>
      </c>
      <c r="I133">
        <v>5</v>
      </c>
      <c r="K133" t="s">
        <v>1108</v>
      </c>
      <c r="M133">
        <v>104</v>
      </c>
      <c r="N133" t="s">
        <v>2976</v>
      </c>
      <c r="Q133">
        <v>6.7000000000000002E-3</v>
      </c>
      <c r="R133" t="s">
        <v>3267</v>
      </c>
      <c r="W133">
        <v>0.77</v>
      </c>
      <c r="X133" t="s">
        <v>3268</v>
      </c>
      <c r="Y133" t="s">
        <v>7</v>
      </c>
      <c r="Z133" t="s">
        <v>4</v>
      </c>
      <c r="AK133">
        <v>112</v>
      </c>
      <c r="AM133">
        <v>0.8</v>
      </c>
      <c r="AN133" t="s">
        <v>3270</v>
      </c>
      <c r="AO133">
        <v>0.91</v>
      </c>
    </row>
    <row r="134" spans="1:41">
      <c r="B134" t="s">
        <v>3010</v>
      </c>
      <c r="C134" t="s">
        <v>1210</v>
      </c>
      <c r="D134" t="s">
        <v>1794</v>
      </c>
      <c r="E134" s="13" t="s">
        <v>2833</v>
      </c>
      <c r="F134" t="s">
        <v>2834</v>
      </c>
      <c r="G134">
        <v>180</v>
      </c>
      <c r="H134" s="13" t="s">
        <v>2976</v>
      </c>
      <c r="I134">
        <v>5</v>
      </c>
      <c r="K134" t="s">
        <v>1108</v>
      </c>
      <c r="M134">
        <v>85</v>
      </c>
      <c r="N134" t="s">
        <v>2976</v>
      </c>
      <c r="Q134">
        <v>8.0999999999999996E-3</v>
      </c>
      <c r="R134" t="s">
        <v>3267</v>
      </c>
      <c r="W134">
        <v>0.75</v>
      </c>
      <c r="X134" t="s">
        <v>3268</v>
      </c>
      <c r="Y134" t="s">
        <v>7</v>
      </c>
      <c r="Z134" t="s">
        <v>4</v>
      </c>
      <c r="AK134">
        <v>133</v>
      </c>
      <c r="AM134">
        <v>0.76</v>
      </c>
      <c r="AN134" t="s">
        <v>3270</v>
      </c>
      <c r="AO134">
        <v>0.97</v>
      </c>
    </row>
    <row r="135" spans="1:41">
      <c r="B135" t="s">
        <v>3010</v>
      </c>
      <c r="C135" t="s">
        <v>1210</v>
      </c>
      <c r="D135" t="s">
        <v>1796</v>
      </c>
      <c r="E135" s="13" t="s">
        <v>2833</v>
      </c>
      <c r="F135" t="s">
        <v>2834</v>
      </c>
      <c r="G135">
        <v>180</v>
      </c>
      <c r="H135" s="13" t="s">
        <v>2976</v>
      </c>
      <c r="I135">
        <v>5</v>
      </c>
      <c r="K135" t="s">
        <v>1108</v>
      </c>
      <c r="M135">
        <v>77</v>
      </c>
      <c r="N135" t="s">
        <v>2976</v>
      </c>
      <c r="Q135">
        <v>8.9999999999999993E-3</v>
      </c>
      <c r="R135" t="s">
        <v>3267</v>
      </c>
      <c r="W135">
        <v>0.72</v>
      </c>
      <c r="X135" t="s">
        <v>3268</v>
      </c>
      <c r="Y135" t="s">
        <v>7</v>
      </c>
      <c r="Z135" t="s">
        <v>4</v>
      </c>
      <c r="AK135">
        <v>184</v>
      </c>
      <c r="AM135">
        <v>0.74</v>
      </c>
      <c r="AN135" t="s">
        <v>3270</v>
      </c>
      <c r="AO135">
        <v>0.98</v>
      </c>
    </row>
    <row r="136" spans="1:41">
      <c r="B136" t="s">
        <v>3010</v>
      </c>
      <c r="C136" t="s">
        <v>1214</v>
      </c>
      <c r="D136" t="s">
        <v>1790</v>
      </c>
      <c r="E136" s="13" t="s">
        <v>2833</v>
      </c>
      <c r="F136" t="s">
        <v>2834</v>
      </c>
      <c r="G136">
        <v>180</v>
      </c>
      <c r="H136" s="13" t="s">
        <v>2976</v>
      </c>
      <c r="I136">
        <v>5</v>
      </c>
      <c r="K136" t="s">
        <v>1108</v>
      </c>
      <c r="M136">
        <v>45</v>
      </c>
      <c r="N136" t="s">
        <v>2976</v>
      </c>
      <c r="Q136">
        <v>1.5299999999999999E-2</v>
      </c>
      <c r="R136" t="s">
        <v>3267</v>
      </c>
      <c r="W136">
        <v>0.76</v>
      </c>
      <c r="X136" t="s">
        <v>3268</v>
      </c>
      <c r="Y136" t="s">
        <v>7</v>
      </c>
      <c r="Z136" t="s">
        <v>4</v>
      </c>
      <c r="AK136">
        <v>116</v>
      </c>
      <c r="AM136">
        <v>0.77</v>
      </c>
      <c r="AN136" t="s">
        <v>3270</v>
      </c>
      <c r="AO136">
        <v>0.99</v>
      </c>
    </row>
    <row r="137" spans="1:41">
      <c r="B137" t="s">
        <v>3010</v>
      </c>
      <c r="C137" t="s">
        <v>1214</v>
      </c>
      <c r="D137" t="s">
        <v>1791</v>
      </c>
      <c r="E137" s="13" t="s">
        <v>2833</v>
      </c>
      <c r="F137" t="s">
        <v>2834</v>
      </c>
      <c r="G137">
        <v>180</v>
      </c>
      <c r="H137" s="13" t="s">
        <v>2976</v>
      </c>
      <c r="I137">
        <v>5</v>
      </c>
      <c r="K137" t="s">
        <v>1108</v>
      </c>
      <c r="M137">
        <v>43</v>
      </c>
      <c r="N137" t="s">
        <v>2976</v>
      </c>
      <c r="Q137">
        <v>1.6199999999999999E-2</v>
      </c>
      <c r="R137" t="s">
        <v>3267</v>
      </c>
      <c r="W137">
        <v>0.74</v>
      </c>
      <c r="X137" t="s">
        <v>3268</v>
      </c>
      <c r="Y137" t="s">
        <v>7</v>
      </c>
      <c r="Z137" t="s">
        <v>4</v>
      </c>
      <c r="AK137">
        <v>146</v>
      </c>
      <c r="AM137">
        <v>0.77</v>
      </c>
      <c r="AN137" t="s">
        <v>3270</v>
      </c>
      <c r="AO137">
        <v>0.97</v>
      </c>
    </row>
    <row r="138" spans="1:41">
      <c r="B138" t="s">
        <v>3010</v>
      </c>
      <c r="C138" t="s">
        <v>1214</v>
      </c>
      <c r="D138" t="s">
        <v>1794</v>
      </c>
      <c r="E138" s="13" t="s">
        <v>2833</v>
      </c>
      <c r="F138" t="s">
        <v>2834</v>
      </c>
      <c r="G138">
        <v>180</v>
      </c>
      <c r="H138" s="13" t="s">
        <v>2976</v>
      </c>
      <c r="I138">
        <v>5</v>
      </c>
      <c r="K138" t="s">
        <v>1108</v>
      </c>
      <c r="M138">
        <v>42</v>
      </c>
      <c r="N138" t="s">
        <v>2976</v>
      </c>
      <c r="Q138">
        <v>1.66E-2</v>
      </c>
      <c r="R138" t="s">
        <v>3267</v>
      </c>
      <c r="W138">
        <v>0.72</v>
      </c>
      <c r="X138" t="s">
        <v>3268</v>
      </c>
      <c r="Y138" t="s">
        <v>7</v>
      </c>
      <c r="Z138" t="s">
        <v>4</v>
      </c>
      <c r="AK138">
        <v>172</v>
      </c>
      <c r="AM138">
        <v>0.76</v>
      </c>
      <c r="AN138" t="s">
        <v>3270</v>
      </c>
      <c r="AO138">
        <v>0.99</v>
      </c>
    </row>
    <row r="139" spans="1:41">
      <c r="B139" t="s">
        <v>3010</v>
      </c>
      <c r="C139" t="s">
        <v>1214</v>
      </c>
      <c r="D139" t="s">
        <v>1796</v>
      </c>
      <c r="E139" s="13" t="s">
        <v>2833</v>
      </c>
      <c r="F139" t="s">
        <v>2834</v>
      </c>
      <c r="G139">
        <v>180</v>
      </c>
      <c r="H139" s="13" t="s">
        <v>2976</v>
      </c>
      <c r="I139">
        <v>5</v>
      </c>
      <c r="K139" t="s">
        <v>1108</v>
      </c>
      <c r="M139">
        <v>35</v>
      </c>
      <c r="N139" t="s">
        <v>2976</v>
      </c>
      <c r="Q139">
        <v>1.9800000000000002E-2</v>
      </c>
      <c r="R139" t="s">
        <v>3267</v>
      </c>
      <c r="W139">
        <v>0.7</v>
      </c>
      <c r="X139" t="s">
        <v>3268</v>
      </c>
      <c r="Y139" t="s">
        <v>7</v>
      </c>
      <c r="Z139" t="s">
        <v>4</v>
      </c>
      <c r="AK139">
        <v>230</v>
      </c>
      <c r="AM139">
        <v>0.74</v>
      </c>
      <c r="AN139" t="s">
        <v>3270</v>
      </c>
      <c r="AO139">
        <v>0.98</v>
      </c>
    </row>
    <row r="140" spans="1:41">
      <c r="A140" t="s">
        <v>918</v>
      </c>
      <c r="B140" t="s">
        <v>3011</v>
      </c>
      <c r="C140" t="s">
        <v>1218</v>
      </c>
      <c r="D140" t="s">
        <v>1798</v>
      </c>
      <c r="E140" s="13" t="s">
        <v>2953</v>
      </c>
      <c r="F140" t="s">
        <v>2954</v>
      </c>
      <c r="I140">
        <v>20</v>
      </c>
      <c r="K140" t="s">
        <v>1108</v>
      </c>
      <c r="M140">
        <v>0.7</v>
      </c>
      <c r="N140" t="s">
        <v>2976</v>
      </c>
      <c r="Q140">
        <v>0.96</v>
      </c>
      <c r="R140" t="s">
        <v>3267</v>
      </c>
      <c r="W140">
        <v>0.97</v>
      </c>
      <c r="X140" t="s">
        <v>3268</v>
      </c>
      <c r="Y140" t="s">
        <v>7</v>
      </c>
      <c r="Z140" t="s">
        <v>4</v>
      </c>
      <c r="AK140">
        <v>0.6</v>
      </c>
      <c r="AL140" t="s">
        <v>3274</v>
      </c>
      <c r="AN140" t="s">
        <v>3275</v>
      </c>
    </row>
    <row r="141" spans="1:41">
      <c r="B141" t="s">
        <v>3011</v>
      </c>
      <c r="C141" t="s">
        <v>1218</v>
      </c>
      <c r="D141" t="s">
        <v>1799</v>
      </c>
      <c r="E141" s="13" t="s">
        <v>2953</v>
      </c>
      <c r="F141" t="s">
        <v>2954</v>
      </c>
      <c r="I141">
        <v>20</v>
      </c>
      <c r="K141" t="s">
        <v>1108</v>
      </c>
      <c r="M141">
        <v>1.9</v>
      </c>
      <c r="N141" t="s">
        <v>2976</v>
      </c>
      <c r="Q141">
        <v>0.36</v>
      </c>
      <c r="R141" t="s">
        <v>3267</v>
      </c>
      <c r="W141">
        <v>0.85399999999999998</v>
      </c>
      <c r="X141" t="s">
        <v>3268</v>
      </c>
      <c r="Y141" t="s">
        <v>7</v>
      </c>
      <c r="Z141" t="s">
        <v>4</v>
      </c>
      <c r="AK141">
        <v>3.6</v>
      </c>
      <c r="AL141" t="s">
        <v>3274</v>
      </c>
      <c r="AN141" t="s">
        <v>3275</v>
      </c>
    </row>
    <row r="142" spans="1:41">
      <c r="B142" t="s">
        <v>3011</v>
      </c>
      <c r="C142" t="s">
        <v>1218</v>
      </c>
      <c r="D142" t="s">
        <v>1801</v>
      </c>
      <c r="E142" s="13" t="s">
        <v>2953</v>
      </c>
      <c r="F142" t="s">
        <v>2954</v>
      </c>
      <c r="I142">
        <v>20</v>
      </c>
      <c r="K142" t="s">
        <v>1108</v>
      </c>
      <c r="M142">
        <v>3.7</v>
      </c>
      <c r="N142" t="s">
        <v>2976</v>
      </c>
      <c r="Q142">
        <v>0.19</v>
      </c>
      <c r="R142" t="s">
        <v>3267</v>
      </c>
      <c r="W142">
        <v>0.78500000000000003</v>
      </c>
      <c r="X142" t="s">
        <v>3268</v>
      </c>
      <c r="Y142" t="s">
        <v>7</v>
      </c>
      <c r="Z142" t="s">
        <v>4</v>
      </c>
      <c r="AK142">
        <v>5.8</v>
      </c>
      <c r="AL142" t="s">
        <v>3274</v>
      </c>
      <c r="AN142" t="s">
        <v>3275</v>
      </c>
    </row>
    <row r="143" spans="1:41">
      <c r="B143" t="s">
        <v>3013</v>
      </c>
      <c r="C143" t="s">
        <v>1218</v>
      </c>
      <c r="D143" t="s">
        <v>1798</v>
      </c>
      <c r="E143" s="13" t="s">
        <v>2953</v>
      </c>
      <c r="F143" t="s">
        <v>2954</v>
      </c>
      <c r="I143">
        <v>20</v>
      </c>
      <c r="K143" t="s">
        <v>1108</v>
      </c>
      <c r="M143">
        <v>2.2000000000000002</v>
      </c>
      <c r="N143" t="s">
        <v>2976</v>
      </c>
      <c r="Q143">
        <v>0.32</v>
      </c>
      <c r="R143" t="s">
        <v>3267</v>
      </c>
      <c r="W143">
        <v>0.91400000000000003</v>
      </c>
      <c r="X143" t="s">
        <v>3268</v>
      </c>
      <c r="Y143" t="s">
        <v>7</v>
      </c>
      <c r="Z143" t="s">
        <v>4</v>
      </c>
      <c r="AK143">
        <v>0.6</v>
      </c>
      <c r="AL143" t="s">
        <v>3274</v>
      </c>
      <c r="AN143" t="s">
        <v>3275</v>
      </c>
    </row>
    <row r="144" spans="1:41">
      <c r="B144" t="s">
        <v>3013</v>
      </c>
      <c r="C144" t="s">
        <v>1218</v>
      </c>
      <c r="D144" t="s">
        <v>1799</v>
      </c>
      <c r="E144" s="13" t="s">
        <v>2953</v>
      </c>
      <c r="F144" t="s">
        <v>2954</v>
      </c>
      <c r="I144">
        <v>20</v>
      </c>
      <c r="K144" t="s">
        <v>1108</v>
      </c>
      <c r="M144">
        <v>4.8</v>
      </c>
      <c r="N144" t="s">
        <v>2976</v>
      </c>
      <c r="Q144">
        <v>0.15</v>
      </c>
      <c r="R144" t="s">
        <v>3267</v>
      </c>
      <c r="W144">
        <v>0.55400000000000005</v>
      </c>
      <c r="X144" t="s">
        <v>3268</v>
      </c>
      <c r="Y144" t="s">
        <v>7</v>
      </c>
      <c r="Z144" t="s">
        <v>4</v>
      </c>
      <c r="AK144">
        <v>3.6</v>
      </c>
      <c r="AL144" t="s">
        <v>3274</v>
      </c>
      <c r="AN144" t="s">
        <v>3275</v>
      </c>
    </row>
    <row r="145" spans="1:40">
      <c r="B145" t="s">
        <v>3013</v>
      </c>
      <c r="C145" t="s">
        <v>1218</v>
      </c>
      <c r="D145" t="s">
        <v>1801</v>
      </c>
      <c r="E145" s="13" t="s">
        <v>2953</v>
      </c>
      <c r="F145" t="s">
        <v>2954</v>
      </c>
      <c r="I145">
        <v>20</v>
      </c>
      <c r="K145" t="s">
        <v>1108</v>
      </c>
      <c r="M145">
        <v>4.3</v>
      </c>
      <c r="N145" t="s">
        <v>2976</v>
      </c>
      <c r="Q145">
        <v>0.16</v>
      </c>
      <c r="R145" t="s">
        <v>3267</v>
      </c>
      <c r="W145">
        <v>0.74299999999999999</v>
      </c>
      <c r="X145" t="s">
        <v>3268</v>
      </c>
      <c r="Y145" t="s">
        <v>7</v>
      </c>
      <c r="Z145" t="s">
        <v>4</v>
      </c>
      <c r="AK145">
        <v>5.8</v>
      </c>
      <c r="AL145" t="s">
        <v>3274</v>
      </c>
      <c r="AN145" t="s">
        <v>3275</v>
      </c>
    </row>
    <row r="146" spans="1:40">
      <c r="A146" t="s">
        <v>914</v>
      </c>
      <c r="B146" t="s">
        <v>3015</v>
      </c>
      <c r="C146" t="s">
        <v>1223</v>
      </c>
      <c r="D146" t="s">
        <v>1802</v>
      </c>
      <c r="E146" s="13" t="s">
        <v>2915</v>
      </c>
      <c r="F146" t="s">
        <v>2916</v>
      </c>
      <c r="G146">
        <v>120</v>
      </c>
      <c r="H146" t="s">
        <v>2976</v>
      </c>
      <c r="I146">
        <v>0.1</v>
      </c>
      <c r="K146" t="s">
        <v>1108</v>
      </c>
      <c r="Y146" t="s">
        <v>7</v>
      </c>
      <c r="Z146" t="s">
        <v>12</v>
      </c>
    </row>
    <row r="147" spans="1:40">
      <c r="B147" t="s">
        <v>3015</v>
      </c>
      <c r="C147" t="s">
        <v>1223</v>
      </c>
      <c r="D147" t="s">
        <v>1803</v>
      </c>
      <c r="E147" s="13" t="s">
        <v>2915</v>
      </c>
      <c r="F147" t="s">
        <v>2916</v>
      </c>
      <c r="G147">
        <v>120</v>
      </c>
      <c r="H147" t="s">
        <v>2976</v>
      </c>
      <c r="I147">
        <v>0.1</v>
      </c>
      <c r="K147" t="s">
        <v>1108</v>
      </c>
      <c r="Y147" t="s">
        <v>7</v>
      </c>
      <c r="Z147" t="s">
        <v>12</v>
      </c>
    </row>
    <row r="148" spans="1:40">
      <c r="B148" t="s">
        <v>3015</v>
      </c>
      <c r="C148" t="s">
        <v>1223</v>
      </c>
      <c r="D148" t="s">
        <v>1807</v>
      </c>
      <c r="E148" s="13" t="s">
        <v>2915</v>
      </c>
      <c r="F148" t="s">
        <v>2916</v>
      </c>
      <c r="G148">
        <v>120</v>
      </c>
      <c r="H148" t="s">
        <v>2976</v>
      </c>
      <c r="I148">
        <v>0.1</v>
      </c>
      <c r="K148" t="s">
        <v>1108</v>
      </c>
      <c r="Y148" t="s">
        <v>7</v>
      </c>
      <c r="Z148" t="s">
        <v>12</v>
      </c>
    </row>
    <row r="149" spans="1:40">
      <c r="B149" t="s">
        <v>3017</v>
      </c>
      <c r="C149" t="s">
        <v>1223</v>
      </c>
      <c r="D149" t="s">
        <v>1802</v>
      </c>
      <c r="E149" s="13" t="s">
        <v>2915</v>
      </c>
      <c r="F149" t="s">
        <v>2916</v>
      </c>
      <c r="G149">
        <v>120</v>
      </c>
      <c r="H149" t="s">
        <v>2976</v>
      </c>
      <c r="I149">
        <v>0.1</v>
      </c>
      <c r="K149" t="s">
        <v>1108</v>
      </c>
      <c r="Y149" t="s">
        <v>7</v>
      </c>
      <c r="Z149" t="s">
        <v>12</v>
      </c>
    </row>
    <row r="150" spans="1:40">
      <c r="B150" t="s">
        <v>3017</v>
      </c>
      <c r="C150" t="s">
        <v>1223</v>
      </c>
      <c r="D150" t="s">
        <v>1803</v>
      </c>
      <c r="E150" s="13" t="s">
        <v>2915</v>
      </c>
      <c r="F150" t="s">
        <v>2916</v>
      </c>
      <c r="G150">
        <v>120</v>
      </c>
      <c r="H150" t="s">
        <v>2976</v>
      </c>
      <c r="I150">
        <v>0.1</v>
      </c>
      <c r="K150" t="s">
        <v>1108</v>
      </c>
      <c r="Y150" t="s">
        <v>7</v>
      </c>
      <c r="Z150" t="s">
        <v>12</v>
      </c>
    </row>
    <row r="151" spans="1:40">
      <c r="B151" t="s">
        <v>3017</v>
      </c>
      <c r="C151" t="s">
        <v>1223</v>
      </c>
      <c r="D151" t="s">
        <v>1807</v>
      </c>
      <c r="E151" s="13" t="s">
        <v>2915</v>
      </c>
      <c r="F151" t="s">
        <v>2916</v>
      </c>
      <c r="G151">
        <v>120</v>
      </c>
      <c r="H151" t="s">
        <v>2976</v>
      </c>
      <c r="I151">
        <v>0.1</v>
      </c>
      <c r="K151" t="s">
        <v>1108</v>
      </c>
      <c r="Y151" t="s">
        <v>7</v>
      </c>
      <c r="Z151" t="s">
        <v>12</v>
      </c>
    </row>
    <row r="152" spans="1:40">
      <c r="B152" t="s">
        <v>3018</v>
      </c>
      <c r="C152" t="s">
        <v>1223</v>
      </c>
      <c r="D152" t="s">
        <v>1802</v>
      </c>
      <c r="E152" s="13" t="s">
        <v>2915</v>
      </c>
      <c r="F152" t="s">
        <v>2916</v>
      </c>
      <c r="G152">
        <v>120</v>
      </c>
      <c r="H152" t="s">
        <v>2976</v>
      </c>
      <c r="I152">
        <v>0.1</v>
      </c>
      <c r="K152" t="s">
        <v>1108</v>
      </c>
      <c r="Y152" t="s">
        <v>7</v>
      </c>
      <c r="Z152" t="s">
        <v>12</v>
      </c>
    </row>
    <row r="153" spans="1:40">
      <c r="B153" t="s">
        <v>3018</v>
      </c>
      <c r="C153" t="s">
        <v>1223</v>
      </c>
      <c r="D153" t="s">
        <v>1803</v>
      </c>
      <c r="E153" s="13" t="s">
        <v>2915</v>
      </c>
      <c r="F153" t="s">
        <v>2916</v>
      </c>
      <c r="G153">
        <v>120</v>
      </c>
      <c r="H153" t="s">
        <v>2976</v>
      </c>
      <c r="I153">
        <v>0.1</v>
      </c>
      <c r="K153" t="s">
        <v>1108</v>
      </c>
      <c r="Y153" t="s">
        <v>7</v>
      </c>
      <c r="Z153" t="s">
        <v>12</v>
      </c>
    </row>
    <row r="154" spans="1:40">
      <c r="B154" t="s">
        <v>3018</v>
      </c>
      <c r="C154" t="s">
        <v>1223</v>
      </c>
      <c r="D154" t="s">
        <v>1807</v>
      </c>
      <c r="E154" s="13" t="s">
        <v>2915</v>
      </c>
      <c r="F154" t="s">
        <v>2916</v>
      </c>
      <c r="G154">
        <v>120</v>
      </c>
      <c r="H154" t="s">
        <v>2976</v>
      </c>
      <c r="I154">
        <v>0.1</v>
      </c>
      <c r="K154" t="s">
        <v>1108</v>
      </c>
      <c r="Y154" t="s">
        <v>7</v>
      </c>
      <c r="Z154" t="s">
        <v>12</v>
      </c>
    </row>
    <row r="155" spans="1:40">
      <c r="B155" t="s">
        <v>3015</v>
      </c>
      <c r="C155" t="s">
        <v>1223</v>
      </c>
      <c r="D155" t="s">
        <v>1802</v>
      </c>
      <c r="E155" s="13" t="s">
        <v>2796</v>
      </c>
      <c r="F155" t="s">
        <v>2797</v>
      </c>
      <c r="G155">
        <v>120</v>
      </c>
      <c r="H155" t="s">
        <v>2976</v>
      </c>
      <c r="I155">
        <v>0.1</v>
      </c>
      <c r="K155" t="s">
        <v>1108</v>
      </c>
      <c r="Y155" t="s">
        <v>7</v>
      </c>
      <c r="Z155" t="s">
        <v>12</v>
      </c>
    </row>
    <row r="156" spans="1:40">
      <c r="B156" t="s">
        <v>3015</v>
      </c>
      <c r="C156" t="s">
        <v>1223</v>
      </c>
      <c r="D156" t="s">
        <v>1803</v>
      </c>
      <c r="E156" s="13" t="s">
        <v>2796</v>
      </c>
      <c r="F156" t="s">
        <v>2797</v>
      </c>
      <c r="G156">
        <v>120</v>
      </c>
      <c r="H156" t="s">
        <v>2976</v>
      </c>
      <c r="I156">
        <v>0.1</v>
      </c>
      <c r="K156" t="s">
        <v>1108</v>
      </c>
      <c r="Y156" t="s">
        <v>7</v>
      </c>
      <c r="Z156" t="s">
        <v>12</v>
      </c>
    </row>
    <row r="157" spans="1:40">
      <c r="B157" t="s">
        <v>3015</v>
      </c>
      <c r="C157" t="s">
        <v>1223</v>
      </c>
      <c r="D157" t="s">
        <v>1807</v>
      </c>
      <c r="E157" s="13" t="s">
        <v>2796</v>
      </c>
      <c r="F157" t="s">
        <v>2797</v>
      </c>
      <c r="G157">
        <v>120</v>
      </c>
      <c r="H157" t="s">
        <v>2976</v>
      </c>
      <c r="I157">
        <v>0.1</v>
      </c>
      <c r="K157" t="s">
        <v>1108</v>
      </c>
      <c r="Y157" t="s">
        <v>7</v>
      </c>
      <c r="Z157" t="s">
        <v>12</v>
      </c>
    </row>
    <row r="158" spans="1:40">
      <c r="B158" t="s">
        <v>3017</v>
      </c>
      <c r="C158" t="s">
        <v>1223</v>
      </c>
      <c r="D158" t="s">
        <v>1802</v>
      </c>
      <c r="E158" s="13" t="s">
        <v>2796</v>
      </c>
      <c r="F158" t="s">
        <v>2797</v>
      </c>
      <c r="G158">
        <v>120</v>
      </c>
      <c r="H158" t="s">
        <v>2976</v>
      </c>
      <c r="I158">
        <v>0.1</v>
      </c>
      <c r="K158" t="s">
        <v>1108</v>
      </c>
      <c r="Y158" t="s">
        <v>7</v>
      </c>
      <c r="Z158" t="s">
        <v>12</v>
      </c>
    </row>
    <row r="159" spans="1:40">
      <c r="B159" t="s">
        <v>3017</v>
      </c>
      <c r="C159" t="s">
        <v>1223</v>
      </c>
      <c r="D159" t="s">
        <v>1803</v>
      </c>
      <c r="E159" s="13" t="s">
        <v>2796</v>
      </c>
      <c r="F159" t="s">
        <v>2797</v>
      </c>
      <c r="G159">
        <v>120</v>
      </c>
      <c r="H159" t="s">
        <v>2976</v>
      </c>
      <c r="I159">
        <v>0.1</v>
      </c>
      <c r="K159" t="s">
        <v>1108</v>
      </c>
      <c r="Y159" t="s">
        <v>7</v>
      </c>
      <c r="Z159" t="s">
        <v>12</v>
      </c>
    </row>
    <row r="160" spans="1:40">
      <c r="B160" t="s">
        <v>3017</v>
      </c>
      <c r="C160" t="s">
        <v>1223</v>
      </c>
      <c r="D160" t="s">
        <v>1807</v>
      </c>
      <c r="E160" s="13" t="s">
        <v>2796</v>
      </c>
      <c r="F160" t="s">
        <v>2797</v>
      </c>
      <c r="G160">
        <v>120</v>
      </c>
      <c r="H160" t="s">
        <v>2976</v>
      </c>
      <c r="I160">
        <v>0.1</v>
      </c>
      <c r="K160" t="s">
        <v>1108</v>
      </c>
      <c r="Y160" t="s">
        <v>7</v>
      </c>
      <c r="Z160" t="s">
        <v>12</v>
      </c>
    </row>
    <row r="161" spans="1:36">
      <c r="B161" t="s">
        <v>3018</v>
      </c>
      <c r="C161" t="s">
        <v>1223</v>
      </c>
      <c r="D161" t="s">
        <v>1802</v>
      </c>
      <c r="E161" s="13" t="s">
        <v>2796</v>
      </c>
      <c r="F161" t="s">
        <v>2797</v>
      </c>
      <c r="G161">
        <v>120</v>
      </c>
      <c r="H161" t="s">
        <v>2976</v>
      </c>
      <c r="I161">
        <v>0.1</v>
      </c>
      <c r="K161" t="s">
        <v>1108</v>
      </c>
      <c r="Y161" t="s">
        <v>7</v>
      </c>
      <c r="Z161" t="s">
        <v>12</v>
      </c>
    </row>
    <row r="162" spans="1:36">
      <c r="B162" t="s">
        <v>3018</v>
      </c>
      <c r="C162" t="s">
        <v>1223</v>
      </c>
      <c r="D162" t="s">
        <v>1803</v>
      </c>
      <c r="E162" s="13" t="s">
        <v>2796</v>
      </c>
      <c r="F162" t="s">
        <v>2797</v>
      </c>
      <c r="G162">
        <v>120</v>
      </c>
      <c r="H162" t="s">
        <v>2976</v>
      </c>
      <c r="I162">
        <v>0.1</v>
      </c>
      <c r="K162" t="s">
        <v>1108</v>
      </c>
      <c r="Y162" t="s">
        <v>7</v>
      </c>
      <c r="Z162" t="s">
        <v>12</v>
      </c>
    </row>
    <row r="163" spans="1:36">
      <c r="B163" t="s">
        <v>3018</v>
      </c>
      <c r="C163" t="s">
        <v>1223</v>
      </c>
      <c r="D163" t="s">
        <v>1807</v>
      </c>
      <c r="E163" s="13" t="s">
        <v>2796</v>
      </c>
      <c r="F163" t="s">
        <v>2797</v>
      </c>
      <c r="G163">
        <v>120</v>
      </c>
      <c r="H163" t="s">
        <v>2976</v>
      </c>
      <c r="I163">
        <v>0.1</v>
      </c>
      <c r="K163" t="s">
        <v>1108</v>
      </c>
      <c r="Y163" t="s">
        <v>7</v>
      </c>
      <c r="Z163" t="s">
        <v>12</v>
      </c>
    </row>
    <row r="164" spans="1:36">
      <c r="A164" t="s">
        <v>29</v>
      </c>
      <c r="B164" t="s">
        <v>3020</v>
      </c>
      <c r="C164" t="s">
        <v>3276</v>
      </c>
      <c r="D164" t="s">
        <v>1813</v>
      </c>
      <c r="E164" t="s">
        <v>2545</v>
      </c>
      <c r="F164" t="s">
        <v>2546</v>
      </c>
      <c r="G164">
        <v>100</v>
      </c>
      <c r="H164" t="s">
        <v>2976</v>
      </c>
      <c r="I164">
        <v>0.61</v>
      </c>
      <c r="K164" t="s">
        <v>1383</v>
      </c>
      <c r="Y164" t="s">
        <v>7</v>
      </c>
      <c r="Z164" t="s">
        <v>12</v>
      </c>
      <c r="AA164">
        <v>0.61</v>
      </c>
      <c r="AC164" t="s">
        <v>1383</v>
      </c>
      <c r="AD164" s="23">
        <v>32.941177375706602</v>
      </c>
      <c r="AE164" s="23">
        <f>LN(2)/AG164</f>
        <v>7.749030106184283</v>
      </c>
      <c r="AF164" s="23" t="s">
        <v>2976</v>
      </c>
      <c r="AG164" s="23">
        <v>8.9449540273016104E-2</v>
      </c>
      <c r="AH164" s="23"/>
      <c r="AI164" s="23"/>
      <c r="AJ164" s="23"/>
    </row>
    <row r="165" spans="1:36">
      <c r="B165" t="s">
        <v>3020</v>
      </c>
      <c r="C165" t="s">
        <v>3277</v>
      </c>
      <c r="D165" t="s">
        <v>1813</v>
      </c>
      <c r="E165" t="s">
        <v>2545</v>
      </c>
      <c r="F165" t="s">
        <v>2546</v>
      </c>
      <c r="G165">
        <v>100</v>
      </c>
      <c r="H165" t="s">
        <v>2976</v>
      </c>
      <c r="I165">
        <v>0.61</v>
      </c>
      <c r="K165" t="s">
        <v>1383</v>
      </c>
      <c r="Y165" t="s">
        <v>7</v>
      </c>
      <c r="Z165" t="s">
        <v>12</v>
      </c>
      <c r="AA165">
        <v>0.61</v>
      </c>
      <c r="AC165" t="s">
        <v>1383</v>
      </c>
      <c r="AD165" s="23">
        <v>26.1344555594236</v>
      </c>
      <c r="AE165" s="23">
        <f t="shared" ref="AE165:AE175" si="4">LN(2)/AG165</f>
        <v>19.249180454361326</v>
      </c>
      <c r="AF165" s="23" t="s">
        <v>2976</v>
      </c>
      <c r="AG165" s="23">
        <v>3.6009178790928603E-2</v>
      </c>
      <c r="AH165" s="23"/>
      <c r="AI165" s="23"/>
      <c r="AJ165" s="23"/>
    </row>
    <row r="166" spans="1:36">
      <c r="B166" t="s">
        <v>3020</v>
      </c>
      <c r="C166" t="s">
        <v>3278</v>
      </c>
      <c r="D166" t="s">
        <v>1813</v>
      </c>
      <c r="E166" t="s">
        <v>2545</v>
      </c>
      <c r="F166" t="s">
        <v>2546</v>
      </c>
      <c r="G166">
        <v>100</v>
      </c>
      <c r="H166" t="s">
        <v>2976</v>
      </c>
      <c r="I166">
        <v>0.61</v>
      </c>
      <c r="K166" t="s">
        <v>1383</v>
      </c>
      <c r="Y166" t="s">
        <v>7</v>
      </c>
      <c r="Z166" t="s">
        <v>12</v>
      </c>
      <c r="AA166">
        <v>0.61</v>
      </c>
      <c r="AC166" t="s">
        <v>1383</v>
      </c>
      <c r="AD166" s="23">
        <v>25.294116968219999</v>
      </c>
      <c r="AE166" s="23">
        <f t="shared" si="4"/>
        <v>16.075115284501631</v>
      </c>
      <c r="AF166" s="23" t="s">
        <v>2976</v>
      </c>
      <c r="AG166" s="23">
        <v>4.3119266536658901E-2</v>
      </c>
      <c r="AH166" s="23"/>
      <c r="AI166" s="23"/>
      <c r="AJ166" s="23"/>
    </row>
    <row r="167" spans="1:36">
      <c r="B167" t="s">
        <v>3020</v>
      </c>
      <c r="C167" t="s">
        <v>3279</v>
      </c>
      <c r="D167" t="s">
        <v>1813</v>
      </c>
      <c r="E167" t="s">
        <v>2545</v>
      </c>
      <c r="F167" t="s">
        <v>2546</v>
      </c>
      <c r="G167">
        <v>100</v>
      </c>
      <c r="H167" t="s">
        <v>2976</v>
      </c>
      <c r="I167">
        <v>0.61</v>
      </c>
      <c r="K167" t="s">
        <v>1383</v>
      </c>
      <c r="Y167" t="s">
        <v>7</v>
      </c>
      <c r="Z167" t="s">
        <v>12</v>
      </c>
      <c r="AA167">
        <v>0.61</v>
      </c>
      <c r="AC167" t="s">
        <v>1383</v>
      </c>
      <c r="AD167" s="23">
        <v>29.243697575968501</v>
      </c>
      <c r="AE167" s="23">
        <f>LN(2)/AG167</f>
        <v>11.851458504992536</v>
      </c>
      <c r="AF167" s="23" t="s">
        <v>2976</v>
      </c>
      <c r="AG167" s="23">
        <v>5.8486234438398503E-2</v>
      </c>
      <c r="AH167" s="23"/>
      <c r="AI167" s="23"/>
      <c r="AJ167" s="23"/>
    </row>
    <row r="168" spans="1:36">
      <c r="B168" t="s">
        <v>3020</v>
      </c>
      <c r="C168" t="s">
        <v>3276</v>
      </c>
      <c r="D168" t="s">
        <v>1814</v>
      </c>
      <c r="E168" t="s">
        <v>2545</v>
      </c>
      <c r="F168" t="s">
        <v>2546</v>
      </c>
      <c r="G168">
        <v>100</v>
      </c>
      <c r="H168" t="s">
        <v>2976</v>
      </c>
      <c r="I168">
        <v>0.61</v>
      </c>
      <c r="K168" t="s">
        <v>1383</v>
      </c>
      <c r="Y168" t="s">
        <v>7</v>
      </c>
      <c r="Z168" t="s">
        <v>12</v>
      </c>
      <c r="AA168">
        <v>0.61</v>
      </c>
      <c r="AC168" t="s">
        <v>1383</v>
      </c>
      <c r="AD168" s="23">
        <v>30.672270103612199</v>
      </c>
      <c r="AE168" s="23">
        <f t="shared" si="4"/>
        <v>8.9148139196846508</v>
      </c>
      <c r="AF168" s="23" t="s">
        <v>2976</v>
      </c>
      <c r="AG168" s="23">
        <v>7.77522881357533E-2</v>
      </c>
      <c r="AH168" s="23"/>
      <c r="AI168" s="23"/>
      <c r="AJ168" s="23"/>
    </row>
    <row r="169" spans="1:36">
      <c r="B169" t="s">
        <v>3020</v>
      </c>
      <c r="C169" t="s">
        <v>3277</v>
      </c>
      <c r="D169" t="s">
        <v>1814</v>
      </c>
      <c r="E169" t="s">
        <v>2545</v>
      </c>
      <c r="F169" t="s">
        <v>2546</v>
      </c>
      <c r="G169">
        <v>100</v>
      </c>
      <c r="H169" t="s">
        <v>2976</v>
      </c>
      <c r="I169">
        <v>0.61</v>
      </c>
      <c r="K169" t="s">
        <v>1383</v>
      </c>
      <c r="Y169" t="s">
        <v>7</v>
      </c>
      <c r="Z169" t="s">
        <v>12</v>
      </c>
      <c r="AA169">
        <v>0.61</v>
      </c>
      <c r="AC169" t="s">
        <v>1383</v>
      </c>
      <c r="AD169" s="23">
        <v>21.344540207224501</v>
      </c>
      <c r="AE169" s="23">
        <f t="shared" si="4"/>
        <v>47.970189186874556</v>
      </c>
      <c r="AF169" s="23" t="s">
        <v>2976</v>
      </c>
      <c r="AG169" s="23">
        <v>1.44495402730161E-2</v>
      </c>
      <c r="AH169" s="23"/>
      <c r="AI169" s="23"/>
      <c r="AJ169" s="23"/>
    </row>
    <row r="170" spans="1:36">
      <c r="B170" t="s">
        <v>3020</v>
      </c>
      <c r="C170" t="s">
        <v>3278</v>
      </c>
      <c r="D170" t="s">
        <v>1814</v>
      </c>
      <c r="E170" t="s">
        <v>2545</v>
      </c>
      <c r="F170" t="s">
        <v>2546</v>
      </c>
      <c r="G170">
        <v>100</v>
      </c>
      <c r="H170" t="s">
        <v>2976</v>
      </c>
      <c r="I170">
        <v>0.61</v>
      </c>
      <c r="K170" t="s">
        <v>1383</v>
      </c>
      <c r="Y170" t="s">
        <v>7</v>
      </c>
      <c r="Z170" t="s">
        <v>12</v>
      </c>
      <c r="AA170">
        <v>0.61</v>
      </c>
      <c r="AC170" t="s">
        <v>1383</v>
      </c>
      <c r="AD170" s="23">
        <v>24.537814544188599</v>
      </c>
      <c r="AE170" s="23">
        <f t="shared" si="4"/>
        <v>22.55314607939853</v>
      </c>
      <c r="AF170" s="23" t="s">
        <v>2976</v>
      </c>
      <c r="AG170" s="23">
        <v>3.0733946302645102E-2</v>
      </c>
      <c r="AH170" s="23"/>
      <c r="AI170" s="23"/>
      <c r="AJ170" s="23"/>
    </row>
    <row r="171" spans="1:36">
      <c r="B171" t="s">
        <v>3020</v>
      </c>
      <c r="C171" t="s">
        <v>3279</v>
      </c>
      <c r="D171" t="s">
        <v>1814</v>
      </c>
      <c r="E171" t="s">
        <v>2545</v>
      </c>
      <c r="F171" t="s">
        <v>2546</v>
      </c>
      <c r="G171">
        <v>100</v>
      </c>
      <c r="H171" t="s">
        <v>2976</v>
      </c>
      <c r="I171">
        <v>0.61</v>
      </c>
      <c r="K171" t="s">
        <v>1383</v>
      </c>
      <c r="Y171" t="s">
        <v>7</v>
      </c>
      <c r="Z171" t="s">
        <v>12</v>
      </c>
      <c r="AA171">
        <v>0.61</v>
      </c>
      <c r="AC171" t="s">
        <v>1383</v>
      </c>
      <c r="AD171" s="23">
        <v>28.067225856335298</v>
      </c>
      <c r="AE171" s="23">
        <f t="shared" si="4"/>
        <v>24.17697239889424</v>
      </c>
      <c r="AF171" s="23" t="s">
        <v>2976</v>
      </c>
      <c r="AG171" s="23">
        <v>2.8669726263642802E-2</v>
      </c>
      <c r="AH171" s="23"/>
      <c r="AI171" s="23"/>
      <c r="AJ171" s="23"/>
    </row>
    <row r="172" spans="1:36">
      <c r="B172" t="s">
        <v>3020</v>
      </c>
      <c r="C172" t="s">
        <v>3276</v>
      </c>
      <c r="D172" t="s">
        <v>1822</v>
      </c>
      <c r="E172" t="s">
        <v>2545</v>
      </c>
      <c r="F172" t="s">
        <v>2546</v>
      </c>
      <c r="G172">
        <v>100</v>
      </c>
      <c r="H172" t="s">
        <v>2976</v>
      </c>
      <c r="I172">
        <v>0.61</v>
      </c>
      <c r="K172" t="s">
        <v>1383</v>
      </c>
      <c r="Y172" t="s">
        <v>7</v>
      </c>
      <c r="Z172" t="s">
        <v>12</v>
      </c>
      <c r="AA172">
        <v>0.61</v>
      </c>
      <c r="AC172" t="s">
        <v>1383</v>
      </c>
      <c r="AD172" s="23">
        <v>38.235294343926597</v>
      </c>
      <c r="AE172" s="23">
        <f t="shared" si="4"/>
        <v>8.441680617747064</v>
      </c>
      <c r="AF172" s="23" t="s">
        <v>2976</v>
      </c>
      <c r="AG172" s="23">
        <v>8.21100929953133E-2</v>
      </c>
      <c r="AH172" s="23"/>
      <c r="AI172" s="23"/>
      <c r="AJ172" s="23"/>
    </row>
    <row r="173" spans="1:36">
      <c r="B173" t="s">
        <v>3020</v>
      </c>
      <c r="C173" t="s">
        <v>3277</v>
      </c>
      <c r="D173" t="s">
        <v>1822</v>
      </c>
      <c r="E173" t="s">
        <v>2545</v>
      </c>
      <c r="F173" t="s">
        <v>2546</v>
      </c>
      <c r="G173">
        <v>100</v>
      </c>
      <c r="H173" t="s">
        <v>2976</v>
      </c>
      <c r="I173">
        <v>0.61</v>
      </c>
      <c r="K173" t="s">
        <v>1383</v>
      </c>
      <c r="Y173" t="s">
        <v>7</v>
      </c>
      <c r="Z173" t="s">
        <v>12</v>
      </c>
      <c r="AA173">
        <v>0.61</v>
      </c>
      <c r="AC173" t="s">
        <v>1383</v>
      </c>
      <c r="AD173" s="23">
        <v>21.428572527643698</v>
      </c>
      <c r="AE173" s="23">
        <f t="shared" si="4"/>
        <v>79.529492243403965</v>
      </c>
      <c r="AF173" s="23" t="s">
        <v>2976</v>
      </c>
      <c r="AG173" s="23">
        <v>8.7155992199539501E-3</v>
      </c>
      <c r="AH173" s="23"/>
      <c r="AI173" s="23"/>
      <c r="AJ173" s="23"/>
    </row>
    <row r="174" spans="1:36">
      <c r="B174" t="s">
        <v>3020</v>
      </c>
      <c r="C174" t="s">
        <v>3278</v>
      </c>
      <c r="D174" t="s">
        <v>1822</v>
      </c>
      <c r="E174" t="s">
        <v>2545</v>
      </c>
      <c r="F174" t="s">
        <v>2546</v>
      </c>
      <c r="G174">
        <v>100</v>
      </c>
      <c r="H174" t="s">
        <v>2976</v>
      </c>
      <c r="I174">
        <v>0.61</v>
      </c>
      <c r="K174" t="s">
        <v>1383</v>
      </c>
      <c r="Y174" t="s">
        <v>7</v>
      </c>
      <c r="Z174" t="s">
        <v>12</v>
      </c>
      <c r="AA174">
        <v>0.61</v>
      </c>
      <c r="AC174" t="s">
        <v>1383</v>
      </c>
      <c r="AD174" s="23">
        <v>29.243697575968501</v>
      </c>
      <c r="AE174" s="23">
        <f t="shared" si="4"/>
        <v>12.970479488666452</v>
      </c>
      <c r="AF174" s="23" t="s">
        <v>2976</v>
      </c>
      <c r="AG174" s="23">
        <v>5.3440366731670498E-2</v>
      </c>
      <c r="AH174" s="23"/>
      <c r="AI174" s="23"/>
      <c r="AJ174" s="23"/>
    </row>
    <row r="175" spans="1:36">
      <c r="B175" t="s">
        <v>3020</v>
      </c>
      <c r="C175" t="s">
        <v>3279</v>
      </c>
      <c r="D175" t="s">
        <v>1822</v>
      </c>
      <c r="E175" t="s">
        <v>2545</v>
      </c>
      <c r="F175" t="s">
        <v>2546</v>
      </c>
      <c r="G175">
        <v>100</v>
      </c>
      <c r="H175" t="s">
        <v>2976</v>
      </c>
      <c r="I175">
        <v>0.61</v>
      </c>
      <c r="K175" t="s">
        <v>1383</v>
      </c>
      <c r="Y175" t="s">
        <v>7</v>
      </c>
      <c r="Z175" t="s">
        <v>12</v>
      </c>
      <c r="AA175">
        <v>0.61</v>
      </c>
      <c r="AC175" t="s">
        <v>1383</v>
      </c>
      <c r="AD175" s="23">
        <v>29.159665255549399</v>
      </c>
      <c r="AE175" s="23">
        <f t="shared" si="4"/>
        <v>13.431652972324875</v>
      </c>
      <c r="AF175" s="23" t="s">
        <v>2976</v>
      </c>
      <c r="AG175" s="23">
        <v>5.1605500975057499E-2</v>
      </c>
      <c r="AH175" s="23"/>
      <c r="AI175" s="23"/>
      <c r="AJ175" s="23"/>
    </row>
    <row r="176" spans="1:36">
      <c r="B176" t="s">
        <v>3020</v>
      </c>
      <c r="C176" t="s">
        <v>3279</v>
      </c>
      <c r="D176" t="s">
        <v>1820</v>
      </c>
      <c r="E176" t="s">
        <v>2545</v>
      </c>
      <c r="F176" t="s">
        <v>2546</v>
      </c>
      <c r="G176">
        <v>100</v>
      </c>
      <c r="H176" t="s">
        <v>2976</v>
      </c>
      <c r="I176">
        <v>0.61</v>
      </c>
      <c r="K176" t="s">
        <v>1383</v>
      </c>
      <c r="Y176" t="s">
        <v>7</v>
      </c>
      <c r="Z176" t="s">
        <v>12</v>
      </c>
      <c r="AA176">
        <v>0.61</v>
      </c>
      <c r="AC176" t="s">
        <v>1383</v>
      </c>
      <c r="AD176">
        <v>29.24</v>
      </c>
    </row>
    <row r="177" spans="1:30">
      <c r="B177" t="s">
        <v>3020</v>
      </c>
      <c r="C177" t="s">
        <v>3279</v>
      </c>
      <c r="D177" t="s">
        <v>1821</v>
      </c>
      <c r="E177" t="s">
        <v>2545</v>
      </c>
      <c r="F177" t="s">
        <v>2546</v>
      </c>
      <c r="G177">
        <v>100</v>
      </c>
      <c r="H177" t="s">
        <v>2976</v>
      </c>
      <c r="I177">
        <v>0.61</v>
      </c>
      <c r="K177" t="s">
        <v>1383</v>
      </c>
      <c r="Y177" t="s">
        <v>7</v>
      </c>
      <c r="Z177" t="s">
        <v>12</v>
      </c>
      <c r="AA177">
        <v>0.61</v>
      </c>
      <c r="AC177" t="s">
        <v>1383</v>
      </c>
      <c r="AD177">
        <v>14.62</v>
      </c>
    </row>
    <row r="178" spans="1:30">
      <c r="B178" t="s">
        <v>3020</v>
      </c>
      <c r="C178" t="s">
        <v>3279</v>
      </c>
      <c r="D178" t="s">
        <v>1827</v>
      </c>
      <c r="E178" t="s">
        <v>2545</v>
      </c>
      <c r="F178" t="s">
        <v>2546</v>
      </c>
      <c r="G178">
        <v>100</v>
      </c>
      <c r="H178" t="s">
        <v>2976</v>
      </c>
      <c r="I178">
        <v>0.61</v>
      </c>
      <c r="K178" t="s">
        <v>1383</v>
      </c>
      <c r="Y178" t="s">
        <v>7</v>
      </c>
      <c r="Z178" t="s">
        <v>12</v>
      </c>
      <c r="AA178">
        <v>0.61</v>
      </c>
      <c r="AC178" t="s">
        <v>1383</v>
      </c>
      <c r="AD178">
        <v>32.869999999999997</v>
      </c>
    </row>
    <row r="179" spans="1:30">
      <c r="B179" t="s">
        <v>3020</v>
      </c>
      <c r="C179" t="s">
        <v>3279</v>
      </c>
      <c r="D179" t="s">
        <v>1828</v>
      </c>
      <c r="E179" t="s">
        <v>2545</v>
      </c>
      <c r="F179" t="s">
        <v>2546</v>
      </c>
      <c r="G179">
        <v>100</v>
      </c>
      <c r="H179" t="s">
        <v>2976</v>
      </c>
      <c r="I179">
        <v>0.61</v>
      </c>
      <c r="K179" t="s">
        <v>1383</v>
      </c>
      <c r="Y179" t="s">
        <v>7</v>
      </c>
      <c r="Z179" t="s">
        <v>12</v>
      </c>
      <c r="AA179">
        <v>0.61</v>
      </c>
      <c r="AC179" t="s">
        <v>1383</v>
      </c>
      <c r="AD179">
        <v>24.94</v>
      </c>
    </row>
    <row r="180" spans="1:30">
      <c r="B180" t="s">
        <v>3020</v>
      </c>
      <c r="C180" t="s">
        <v>3279</v>
      </c>
      <c r="D180" t="s">
        <v>1814</v>
      </c>
      <c r="E180" t="s">
        <v>2545</v>
      </c>
      <c r="F180" t="s">
        <v>2546</v>
      </c>
      <c r="G180">
        <v>100</v>
      </c>
      <c r="H180" t="s">
        <v>2976</v>
      </c>
      <c r="I180">
        <v>0.61</v>
      </c>
      <c r="K180" t="s">
        <v>1383</v>
      </c>
      <c r="Y180" t="s">
        <v>7</v>
      </c>
      <c r="Z180" t="s">
        <v>12</v>
      </c>
      <c r="AA180">
        <v>0.61</v>
      </c>
      <c r="AC180" t="s">
        <v>1383</v>
      </c>
      <c r="AD180">
        <v>46.72</v>
      </c>
    </row>
    <row r="181" spans="1:30">
      <c r="B181" t="s">
        <v>3020</v>
      </c>
      <c r="C181" t="s">
        <v>3279</v>
      </c>
      <c r="D181" t="s">
        <v>1822</v>
      </c>
      <c r="E181" t="s">
        <v>2545</v>
      </c>
      <c r="F181" t="s">
        <v>2546</v>
      </c>
      <c r="G181">
        <v>100</v>
      </c>
      <c r="H181" t="s">
        <v>2976</v>
      </c>
      <c r="I181">
        <v>0.61</v>
      </c>
      <c r="K181" t="s">
        <v>1383</v>
      </c>
      <c r="Y181" t="s">
        <v>7</v>
      </c>
      <c r="Z181" t="s">
        <v>12</v>
      </c>
      <c r="AA181">
        <v>0.61</v>
      </c>
      <c r="AC181" t="s">
        <v>1383</v>
      </c>
      <c r="AD181">
        <v>46.7</v>
      </c>
    </row>
    <row r="182" spans="1:30">
      <c r="B182" t="s">
        <v>3020</v>
      </c>
      <c r="C182" t="s">
        <v>3279</v>
      </c>
      <c r="D182" t="s">
        <v>1814</v>
      </c>
      <c r="E182" t="s">
        <v>2545</v>
      </c>
      <c r="F182" t="s">
        <v>2546</v>
      </c>
      <c r="G182">
        <v>100</v>
      </c>
      <c r="H182" t="s">
        <v>2976</v>
      </c>
      <c r="I182">
        <v>0.61</v>
      </c>
      <c r="K182" t="s">
        <v>1383</v>
      </c>
      <c r="Y182" t="s">
        <v>7</v>
      </c>
      <c r="Z182" t="s">
        <v>12</v>
      </c>
      <c r="AA182">
        <v>0.61</v>
      </c>
      <c r="AC182" t="s">
        <v>1383</v>
      </c>
      <c r="AD182">
        <v>23.39</v>
      </c>
    </row>
    <row r="183" spans="1:30">
      <c r="B183" t="s">
        <v>3020</v>
      </c>
      <c r="C183" t="s">
        <v>3279</v>
      </c>
      <c r="D183" t="s">
        <v>1822</v>
      </c>
      <c r="E183" t="s">
        <v>2545</v>
      </c>
      <c r="F183" t="s">
        <v>2546</v>
      </c>
      <c r="G183">
        <v>100</v>
      </c>
      <c r="H183" t="s">
        <v>2976</v>
      </c>
      <c r="I183">
        <v>0.61</v>
      </c>
      <c r="K183" t="s">
        <v>1383</v>
      </c>
      <c r="Y183" t="s">
        <v>7</v>
      </c>
      <c r="Z183" t="s">
        <v>12</v>
      </c>
      <c r="AA183">
        <v>0.61</v>
      </c>
      <c r="AC183" t="s">
        <v>1383</v>
      </c>
      <c r="AD183">
        <v>26</v>
      </c>
    </row>
    <row r="184" spans="1:30">
      <c r="B184" t="s">
        <v>3020</v>
      </c>
      <c r="C184" t="s">
        <v>3279</v>
      </c>
      <c r="D184" t="s">
        <v>1814</v>
      </c>
      <c r="E184" t="s">
        <v>2545</v>
      </c>
      <c r="F184" t="s">
        <v>2546</v>
      </c>
      <c r="G184">
        <v>100</v>
      </c>
      <c r="H184" t="s">
        <v>2976</v>
      </c>
      <c r="I184">
        <v>0.61</v>
      </c>
      <c r="K184" t="s">
        <v>1383</v>
      </c>
      <c r="Y184" t="s">
        <v>7</v>
      </c>
      <c r="Z184" t="s">
        <v>12</v>
      </c>
      <c r="AA184">
        <v>0.61</v>
      </c>
      <c r="AC184" t="s">
        <v>1383</v>
      </c>
      <c r="AD184">
        <v>21.4</v>
      </c>
    </row>
    <row r="185" spans="1:30">
      <c r="B185" t="s">
        <v>3020</v>
      </c>
      <c r="C185" t="s">
        <v>3279</v>
      </c>
      <c r="D185" t="s">
        <v>1822</v>
      </c>
      <c r="E185" t="s">
        <v>2545</v>
      </c>
      <c r="F185" t="s">
        <v>2546</v>
      </c>
      <c r="G185">
        <v>100</v>
      </c>
      <c r="H185" t="s">
        <v>2976</v>
      </c>
      <c r="I185">
        <v>0.61</v>
      </c>
      <c r="K185" t="s">
        <v>1383</v>
      </c>
      <c r="Y185" t="s">
        <v>7</v>
      </c>
      <c r="Z185" t="s">
        <v>12</v>
      </c>
      <c r="AA185">
        <v>0.61</v>
      </c>
      <c r="AC185" t="s">
        <v>1383</v>
      </c>
      <c r="AD185">
        <v>21.4</v>
      </c>
    </row>
    <row r="186" spans="1:30">
      <c r="A186" t="s">
        <v>40</v>
      </c>
      <c r="B186" t="s">
        <v>3023</v>
      </c>
      <c r="C186" t="s">
        <v>1235</v>
      </c>
      <c r="D186" t="s">
        <v>1829</v>
      </c>
      <c r="E186" t="s">
        <v>2614</v>
      </c>
      <c r="F186" t="s">
        <v>2607</v>
      </c>
      <c r="G186">
        <v>40</v>
      </c>
      <c r="H186" t="s">
        <v>2976</v>
      </c>
      <c r="I186">
        <v>10</v>
      </c>
      <c r="J186" s="23">
        <v>7.3560769983898204</v>
      </c>
      <c r="K186" t="s">
        <v>1108</v>
      </c>
      <c r="L186">
        <f>(1-(J186/I186))*100</f>
        <v>26.439230016101799</v>
      </c>
      <c r="Y186" t="s">
        <v>7</v>
      </c>
      <c r="Z186" t="s">
        <v>12</v>
      </c>
    </row>
    <row r="187" spans="1:30">
      <c r="B187" t="s">
        <v>3023</v>
      </c>
      <c r="C187" t="s">
        <v>1239</v>
      </c>
      <c r="D187" t="s">
        <v>1829</v>
      </c>
      <c r="E187" t="s">
        <v>2614</v>
      </c>
      <c r="F187" t="s">
        <v>2607</v>
      </c>
      <c r="G187">
        <v>40</v>
      </c>
      <c r="H187" t="s">
        <v>2976</v>
      </c>
      <c r="I187">
        <v>10</v>
      </c>
      <c r="J187" s="23">
        <v>6.4818762181613803</v>
      </c>
      <c r="K187" t="s">
        <v>1108</v>
      </c>
      <c r="L187">
        <f t="shared" ref="L187:L191" si="5">(1-(J187/I187))*100</f>
        <v>35.181237818386201</v>
      </c>
      <c r="Y187" t="s">
        <v>7</v>
      </c>
      <c r="Z187" t="s">
        <v>12</v>
      </c>
    </row>
    <row r="188" spans="1:30">
      <c r="B188" t="s">
        <v>3023</v>
      </c>
      <c r="C188" t="s">
        <v>1235</v>
      </c>
      <c r="D188" t="s">
        <v>1832</v>
      </c>
      <c r="E188" t="s">
        <v>2614</v>
      </c>
      <c r="F188" t="s">
        <v>2607</v>
      </c>
      <c r="G188">
        <v>40</v>
      </c>
      <c r="H188" t="s">
        <v>2976</v>
      </c>
      <c r="I188">
        <v>10</v>
      </c>
      <c r="J188" s="23">
        <v>3.9445623774274199</v>
      </c>
      <c r="K188" t="s">
        <v>1108</v>
      </c>
      <c r="L188">
        <f t="shared" si="5"/>
        <v>60.554376225725804</v>
      </c>
      <c r="Y188" t="s">
        <v>7</v>
      </c>
      <c r="Z188" t="s">
        <v>12</v>
      </c>
    </row>
    <row r="189" spans="1:30">
      <c r="B189" t="s">
        <v>3023</v>
      </c>
      <c r="C189" t="s">
        <v>1235</v>
      </c>
      <c r="D189" t="s">
        <v>1830</v>
      </c>
      <c r="E189" t="s">
        <v>2614</v>
      </c>
      <c r="F189" t="s">
        <v>2607</v>
      </c>
      <c r="G189">
        <v>40</v>
      </c>
      <c r="H189" t="s">
        <v>2976</v>
      </c>
      <c r="I189">
        <v>10</v>
      </c>
      <c r="J189" s="23">
        <v>3.1982943471260099</v>
      </c>
      <c r="K189" t="s">
        <v>1108</v>
      </c>
      <c r="L189">
        <f t="shared" si="5"/>
        <v>68.0170565287399</v>
      </c>
      <c r="Y189" t="s">
        <v>7</v>
      </c>
      <c r="Z189" t="s">
        <v>12</v>
      </c>
    </row>
    <row r="190" spans="1:30">
      <c r="B190" t="s">
        <v>3023</v>
      </c>
      <c r="C190" t="s">
        <v>1239</v>
      </c>
      <c r="D190" t="s">
        <v>1832</v>
      </c>
      <c r="E190" t="s">
        <v>2614</v>
      </c>
      <c r="F190" t="s">
        <v>2607</v>
      </c>
      <c r="G190">
        <v>40</v>
      </c>
      <c r="H190" t="s">
        <v>2976</v>
      </c>
      <c r="I190">
        <v>10</v>
      </c>
      <c r="J190" s="23">
        <v>2.6012787516345002</v>
      </c>
      <c r="K190" t="s">
        <v>1108</v>
      </c>
      <c r="L190">
        <f t="shared" si="5"/>
        <v>73.987212483655</v>
      </c>
      <c r="Y190" t="s">
        <v>7</v>
      </c>
      <c r="Z190" t="s">
        <v>12</v>
      </c>
    </row>
    <row r="191" spans="1:30">
      <c r="B191" t="s">
        <v>3023</v>
      </c>
      <c r="C191" t="s">
        <v>1239</v>
      </c>
      <c r="D191" t="s">
        <v>1830</v>
      </c>
      <c r="E191" t="s">
        <v>2614</v>
      </c>
      <c r="F191" t="s">
        <v>2607</v>
      </c>
      <c r="G191">
        <v>40</v>
      </c>
      <c r="H191" t="s">
        <v>2976</v>
      </c>
      <c r="I191">
        <v>10</v>
      </c>
      <c r="J191" s="23">
        <v>1.5778245605541801</v>
      </c>
      <c r="K191" t="s">
        <v>1108</v>
      </c>
      <c r="L191">
        <f t="shared" si="5"/>
        <v>84.221754394458202</v>
      </c>
      <c r="Y191" t="s">
        <v>7</v>
      </c>
      <c r="Z191" t="s">
        <v>12</v>
      </c>
    </row>
    <row r="192" spans="1:30">
      <c r="A192" t="s">
        <v>45</v>
      </c>
      <c r="B192" t="s">
        <v>3025</v>
      </c>
      <c r="C192" t="s">
        <v>1241</v>
      </c>
      <c r="D192" t="s">
        <v>1834</v>
      </c>
      <c r="E192" t="s">
        <v>2812</v>
      </c>
      <c r="F192" t="s">
        <v>2813</v>
      </c>
      <c r="G192">
        <v>40</v>
      </c>
      <c r="H192" t="s">
        <v>2976</v>
      </c>
      <c r="I192">
        <v>200</v>
      </c>
      <c r="K192" t="s">
        <v>1108</v>
      </c>
      <c r="M192">
        <v>70.7</v>
      </c>
      <c r="N192" t="s">
        <v>2976</v>
      </c>
      <c r="Q192">
        <f>LN(2)/M192</f>
        <v>9.8040619598294947E-3</v>
      </c>
      <c r="R192" t="s">
        <v>3267</v>
      </c>
      <c r="W192">
        <v>0.9</v>
      </c>
      <c r="Y192" t="s">
        <v>7</v>
      </c>
      <c r="Z192" t="s">
        <v>4</v>
      </c>
    </row>
    <row r="193" spans="1:41">
      <c r="B193" t="s">
        <v>3025</v>
      </c>
      <c r="C193" t="s">
        <v>1241</v>
      </c>
      <c r="D193" t="s">
        <v>1836</v>
      </c>
      <c r="E193" t="s">
        <v>2812</v>
      </c>
      <c r="F193" t="s">
        <v>2813</v>
      </c>
      <c r="G193">
        <v>40</v>
      </c>
      <c r="H193" t="s">
        <v>2976</v>
      </c>
      <c r="I193">
        <v>200</v>
      </c>
      <c r="K193" t="s">
        <v>1108</v>
      </c>
      <c r="M193">
        <v>63</v>
      </c>
      <c r="N193" t="s">
        <v>2976</v>
      </c>
      <c r="Q193">
        <f>LN(2)/M193</f>
        <v>1.1002336199364211E-2</v>
      </c>
      <c r="R193" t="s">
        <v>3267</v>
      </c>
      <c r="W193">
        <v>0.96</v>
      </c>
      <c r="Y193" t="s">
        <v>7</v>
      </c>
      <c r="Z193" t="s">
        <v>4</v>
      </c>
    </row>
    <row r="194" spans="1:41">
      <c r="B194" t="s">
        <v>3025</v>
      </c>
      <c r="C194" t="s">
        <v>1241</v>
      </c>
      <c r="D194" t="s">
        <v>1839</v>
      </c>
      <c r="E194" t="s">
        <v>2812</v>
      </c>
      <c r="F194" t="s">
        <v>2813</v>
      </c>
      <c r="G194">
        <v>40</v>
      </c>
      <c r="H194" t="s">
        <v>2976</v>
      </c>
      <c r="I194">
        <v>200</v>
      </c>
      <c r="K194" t="s">
        <v>1108</v>
      </c>
      <c r="M194">
        <v>61.8</v>
      </c>
      <c r="N194" t="s">
        <v>2976</v>
      </c>
      <c r="Q194">
        <f>LN(2)/M194</f>
        <v>1.1215973795468371E-2</v>
      </c>
      <c r="R194" t="s">
        <v>3267</v>
      </c>
      <c r="W194">
        <v>0.94</v>
      </c>
      <c r="Y194" t="s">
        <v>7</v>
      </c>
      <c r="Z194" t="s">
        <v>4</v>
      </c>
    </row>
    <row r="195" spans="1:41">
      <c r="A195" t="s">
        <v>68</v>
      </c>
      <c r="B195" t="s">
        <v>3028</v>
      </c>
      <c r="C195" t="s">
        <v>1245</v>
      </c>
      <c r="D195" t="s">
        <v>1840</v>
      </c>
      <c r="E195" t="s">
        <v>2756</v>
      </c>
      <c r="F195" t="s">
        <v>2757</v>
      </c>
      <c r="G195">
        <v>150</v>
      </c>
      <c r="H195" t="s">
        <v>2976</v>
      </c>
      <c r="I195">
        <v>1</v>
      </c>
      <c r="K195" t="s">
        <v>1108</v>
      </c>
      <c r="M195">
        <v>138.6</v>
      </c>
      <c r="N195" t="s">
        <v>2976</v>
      </c>
      <c r="Q195">
        <f>LN(2)/M195</f>
        <v>5.0010619088019142E-3</v>
      </c>
      <c r="R195" t="s">
        <v>3267</v>
      </c>
      <c r="W195">
        <v>0.9899</v>
      </c>
      <c r="Y195" t="s">
        <v>7</v>
      </c>
      <c r="Z195" t="s">
        <v>4</v>
      </c>
    </row>
    <row r="196" spans="1:41">
      <c r="B196" t="s">
        <v>3028</v>
      </c>
      <c r="C196" t="s">
        <v>1245</v>
      </c>
      <c r="D196" t="s">
        <v>1841</v>
      </c>
      <c r="E196" t="s">
        <v>2756</v>
      </c>
      <c r="F196" t="s">
        <v>2757</v>
      </c>
      <c r="G196">
        <v>150</v>
      </c>
      <c r="H196" t="s">
        <v>2976</v>
      </c>
      <c r="I196">
        <v>1</v>
      </c>
      <c r="K196" t="s">
        <v>1108</v>
      </c>
      <c r="M196">
        <v>128.30000000000001</v>
      </c>
      <c r="N196" t="s">
        <v>2976</v>
      </c>
      <c r="Q196">
        <f t="shared" ref="Q196:Q199" si="6">LN(2)/M196</f>
        <v>5.4025501212778271E-3</v>
      </c>
      <c r="R196" t="s">
        <v>3267</v>
      </c>
      <c r="W196">
        <v>0.98209999999999997</v>
      </c>
      <c r="Y196" t="s">
        <v>7</v>
      </c>
      <c r="Z196" t="s">
        <v>4</v>
      </c>
    </row>
    <row r="197" spans="1:41">
      <c r="B197" t="s">
        <v>3028</v>
      </c>
      <c r="C197" t="s">
        <v>1245</v>
      </c>
      <c r="D197" t="s">
        <v>1844</v>
      </c>
      <c r="E197" t="s">
        <v>2756</v>
      </c>
      <c r="F197" t="s">
        <v>2757</v>
      </c>
      <c r="G197">
        <v>150</v>
      </c>
      <c r="H197" t="s">
        <v>2976</v>
      </c>
      <c r="I197">
        <v>1</v>
      </c>
      <c r="K197" t="s">
        <v>1108</v>
      </c>
      <c r="M197">
        <v>157.5</v>
      </c>
      <c r="N197" t="s">
        <v>2976</v>
      </c>
      <c r="Q197">
        <f t="shared" si="6"/>
        <v>4.4009344797456846E-3</v>
      </c>
      <c r="R197" t="s">
        <v>3267</v>
      </c>
      <c r="W197">
        <v>0.97719999999999996</v>
      </c>
      <c r="Y197" t="s">
        <v>7</v>
      </c>
      <c r="Z197" t="s">
        <v>4</v>
      </c>
    </row>
    <row r="198" spans="1:41">
      <c r="B198" t="s">
        <v>3028</v>
      </c>
      <c r="C198" t="s">
        <v>1245</v>
      </c>
      <c r="D198" t="s">
        <v>1845</v>
      </c>
      <c r="E198" t="s">
        <v>2756</v>
      </c>
      <c r="F198" t="s">
        <v>2757</v>
      </c>
      <c r="G198">
        <v>150</v>
      </c>
      <c r="H198" t="s">
        <v>2976</v>
      </c>
      <c r="I198">
        <v>1</v>
      </c>
      <c r="K198" t="s">
        <v>1108</v>
      </c>
      <c r="M198">
        <v>165</v>
      </c>
      <c r="N198" t="s">
        <v>2976</v>
      </c>
      <c r="Q198">
        <f t="shared" si="6"/>
        <v>4.2008920033936078E-3</v>
      </c>
      <c r="R198" t="s">
        <v>3267</v>
      </c>
      <c r="W198">
        <v>0.99270000000000003</v>
      </c>
      <c r="Y198" t="s">
        <v>7</v>
      </c>
      <c r="Z198" t="s">
        <v>4</v>
      </c>
    </row>
    <row r="199" spans="1:41">
      <c r="B199" t="s">
        <v>3028</v>
      </c>
      <c r="C199" t="s">
        <v>1245</v>
      </c>
      <c r="D199" t="s">
        <v>1851</v>
      </c>
      <c r="E199" t="s">
        <v>2756</v>
      </c>
      <c r="F199" t="s">
        <v>2757</v>
      </c>
      <c r="G199">
        <v>150</v>
      </c>
      <c r="H199" t="s">
        <v>2976</v>
      </c>
      <c r="I199">
        <v>1</v>
      </c>
      <c r="K199" t="s">
        <v>1108</v>
      </c>
      <c r="M199">
        <v>100.4</v>
      </c>
      <c r="N199" t="s">
        <v>2976</v>
      </c>
      <c r="Q199">
        <f t="shared" si="6"/>
        <v>6.9038563800791356E-3</v>
      </c>
      <c r="R199" t="s">
        <v>3267</v>
      </c>
      <c r="W199">
        <v>0.98529999999999995</v>
      </c>
      <c r="Y199" t="s">
        <v>7</v>
      </c>
      <c r="Z199" t="s">
        <v>4</v>
      </c>
    </row>
    <row r="200" spans="1:41">
      <c r="A200" t="s">
        <v>73</v>
      </c>
      <c r="B200" t="s">
        <v>3030</v>
      </c>
      <c r="C200" t="s">
        <v>1249</v>
      </c>
      <c r="D200" t="s">
        <v>1852</v>
      </c>
      <c r="E200" t="s">
        <v>2927</v>
      </c>
      <c r="F200" t="s">
        <v>2928</v>
      </c>
      <c r="G200">
        <v>90</v>
      </c>
      <c r="H200" t="s">
        <v>2976</v>
      </c>
      <c r="I200">
        <v>0.35</v>
      </c>
      <c r="K200" t="s">
        <v>1108</v>
      </c>
      <c r="M200">
        <v>75.900000000000006</v>
      </c>
      <c r="N200" t="s">
        <v>2976</v>
      </c>
      <c r="Q200" s="25">
        <f>LN(2)/M200</f>
        <v>9.1323739204208863E-3</v>
      </c>
      <c r="R200" t="s">
        <v>3267</v>
      </c>
      <c r="W200">
        <v>0.99319999999999997</v>
      </c>
      <c r="Y200" t="s">
        <v>7</v>
      </c>
      <c r="Z200" t="s">
        <v>4</v>
      </c>
      <c r="AK200">
        <v>1.32</v>
      </c>
      <c r="AL200" t="s">
        <v>3274</v>
      </c>
      <c r="AM200">
        <f>1/0.87</f>
        <v>1.1494252873563218</v>
      </c>
      <c r="AN200" t="s">
        <v>3270</v>
      </c>
      <c r="AO200">
        <v>0.98250000000000004</v>
      </c>
    </row>
    <row r="201" spans="1:41">
      <c r="B201" t="s">
        <v>3030</v>
      </c>
      <c r="C201" t="s">
        <v>1251</v>
      </c>
      <c r="D201" t="s">
        <v>1852</v>
      </c>
      <c r="E201" t="s">
        <v>2927</v>
      </c>
      <c r="F201" t="s">
        <v>2928</v>
      </c>
      <c r="G201">
        <v>90</v>
      </c>
      <c r="H201" t="s">
        <v>2976</v>
      </c>
      <c r="I201">
        <v>0.35</v>
      </c>
      <c r="K201" t="s">
        <v>1108</v>
      </c>
      <c r="M201">
        <v>71.3</v>
      </c>
      <c r="N201" t="s">
        <v>2976</v>
      </c>
      <c r="Q201" s="25">
        <f t="shared" ref="Q201:Q211" si="7">LN(2)/M201</f>
        <v>9.7215593346415899E-3</v>
      </c>
      <c r="R201" t="s">
        <v>3267</v>
      </c>
      <c r="W201">
        <v>0.97009999999999996</v>
      </c>
      <c r="Y201" t="s">
        <v>7</v>
      </c>
      <c r="Z201" t="s">
        <v>4</v>
      </c>
      <c r="AK201">
        <v>4.13</v>
      </c>
      <c r="AL201" t="s">
        <v>3274</v>
      </c>
      <c r="AM201">
        <f>1/0.86</f>
        <v>1.1627906976744187</v>
      </c>
      <c r="AN201" t="s">
        <v>3270</v>
      </c>
      <c r="AO201">
        <v>0.97989999999999999</v>
      </c>
    </row>
    <row r="202" spans="1:41">
      <c r="B202" t="s">
        <v>3030</v>
      </c>
      <c r="C202" t="s">
        <v>1253</v>
      </c>
      <c r="D202" t="s">
        <v>1852</v>
      </c>
      <c r="E202" t="s">
        <v>2927</v>
      </c>
      <c r="F202" t="s">
        <v>2928</v>
      </c>
      <c r="G202">
        <v>90</v>
      </c>
      <c r="H202" t="s">
        <v>2976</v>
      </c>
      <c r="I202">
        <v>0.35</v>
      </c>
      <c r="K202" t="s">
        <v>1108</v>
      </c>
      <c r="M202">
        <v>104.1</v>
      </c>
      <c r="N202" t="s">
        <v>2976</v>
      </c>
      <c r="Q202" s="25">
        <f t="shared" si="7"/>
        <v>6.6584743569639317E-3</v>
      </c>
      <c r="R202" t="s">
        <v>3267</v>
      </c>
      <c r="W202">
        <v>0.95989999999999998</v>
      </c>
      <c r="Y202" t="s">
        <v>7</v>
      </c>
      <c r="Z202" t="s">
        <v>4</v>
      </c>
      <c r="AK202">
        <v>8.06</v>
      </c>
      <c r="AL202" t="s">
        <v>3274</v>
      </c>
      <c r="AM202">
        <f>1/0.97</f>
        <v>1.0309278350515465</v>
      </c>
      <c r="AN202" t="s">
        <v>3270</v>
      </c>
      <c r="AO202">
        <v>0.98</v>
      </c>
    </row>
    <row r="203" spans="1:41">
      <c r="B203" t="s">
        <v>3030</v>
      </c>
      <c r="C203" t="s">
        <v>1249</v>
      </c>
      <c r="D203" t="s">
        <v>1853</v>
      </c>
      <c r="E203" t="s">
        <v>2927</v>
      </c>
      <c r="F203" t="s">
        <v>2928</v>
      </c>
      <c r="G203">
        <v>90</v>
      </c>
      <c r="H203" t="s">
        <v>2976</v>
      </c>
      <c r="I203">
        <v>0.35</v>
      </c>
      <c r="K203" t="s">
        <v>1108</v>
      </c>
      <c r="M203">
        <v>282.8</v>
      </c>
      <c r="N203" t="s">
        <v>2976</v>
      </c>
      <c r="Q203" s="25">
        <f t="shared" si="7"/>
        <v>2.4510154899573737E-3</v>
      </c>
      <c r="R203" t="s">
        <v>3267</v>
      </c>
      <c r="W203">
        <v>0.89439999999999997</v>
      </c>
      <c r="Y203" t="s">
        <v>7</v>
      </c>
      <c r="Z203" t="s">
        <v>4</v>
      </c>
      <c r="AK203">
        <v>18.46</v>
      </c>
      <c r="AL203" t="s">
        <v>3274</v>
      </c>
      <c r="AM203">
        <f>1/1.04</f>
        <v>0.96153846153846145</v>
      </c>
      <c r="AN203" t="s">
        <v>3270</v>
      </c>
      <c r="AO203">
        <v>0.98880000000000001</v>
      </c>
    </row>
    <row r="204" spans="1:41">
      <c r="B204" t="s">
        <v>3030</v>
      </c>
      <c r="C204" t="s">
        <v>1251</v>
      </c>
      <c r="D204" t="s">
        <v>1853</v>
      </c>
      <c r="E204" t="s">
        <v>2927</v>
      </c>
      <c r="F204" t="s">
        <v>2928</v>
      </c>
      <c r="G204">
        <v>90</v>
      </c>
      <c r="H204" t="s">
        <v>2976</v>
      </c>
      <c r="I204">
        <v>0.35</v>
      </c>
      <c r="K204" t="s">
        <v>1108</v>
      </c>
      <c r="M204">
        <v>305.3</v>
      </c>
      <c r="N204" t="s">
        <v>2976</v>
      </c>
      <c r="Q204" s="25">
        <f t="shared" si="7"/>
        <v>2.2703805455615632E-3</v>
      </c>
      <c r="R204" t="s">
        <v>3267</v>
      </c>
      <c r="W204">
        <v>0.93379999999999996</v>
      </c>
      <c r="Y204" t="s">
        <v>7</v>
      </c>
      <c r="Z204" t="s">
        <v>4</v>
      </c>
      <c r="AK204">
        <v>20.98</v>
      </c>
      <c r="AL204" t="s">
        <v>3274</v>
      </c>
      <c r="AM204">
        <f>1.2</f>
        <v>1.2</v>
      </c>
      <c r="AN204" t="s">
        <v>3270</v>
      </c>
      <c r="AO204">
        <v>0.9859</v>
      </c>
    </row>
    <row r="205" spans="1:41">
      <c r="B205" t="s">
        <v>3030</v>
      </c>
      <c r="C205" t="s">
        <v>1251</v>
      </c>
      <c r="D205" t="s">
        <v>1856</v>
      </c>
      <c r="E205" t="s">
        <v>2927</v>
      </c>
      <c r="F205" t="s">
        <v>2928</v>
      </c>
      <c r="G205">
        <v>90</v>
      </c>
      <c r="H205" t="s">
        <v>2976</v>
      </c>
      <c r="I205">
        <v>0.35</v>
      </c>
      <c r="K205" t="s">
        <v>1108</v>
      </c>
      <c r="M205">
        <v>277.2</v>
      </c>
      <c r="N205" t="s">
        <v>2976</v>
      </c>
      <c r="Q205" s="25">
        <f t="shared" si="7"/>
        <v>2.5005309544009571E-3</v>
      </c>
      <c r="R205" t="s">
        <v>3267</v>
      </c>
      <c r="W205">
        <v>0.91979999999999995</v>
      </c>
      <c r="Y205" t="s">
        <v>7</v>
      </c>
      <c r="Z205" t="s">
        <v>4</v>
      </c>
      <c r="AK205">
        <v>6.45</v>
      </c>
      <c r="AL205" t="s">
        <v>3274</v>
      </c>
      <c r="AM205">
        <f>1/0.95</f>
        <v>1.0526315789473684</v>
      </c>
      <c r="AN205" t="s">
        <v>3270</v>
      </c>
      <c r="AO205">
        <v>0.99860000000000004</v>
      </c>
    </row>
    <row r="206" spans="1:41">
      <c r="B206" t="s">
        <v>3032</v>
      </c>
      <c r="C206" t="s">
        <v>1249</v>
      </c>
      <c r="D206" t="s">
        <v>1852</v>
      </c>
      <c r="E206" t="s">
        <v>2927</v>
      </c>
      <c r="F206" t="s">
        <v>2928</v>
      </c>
      <c r="G206">
        <v>90</v>
      </c>
      <c r="H206" t="s">
        <v>2976</v>
      </c>
      <c r="I206">
        <v>0.35</v>
      </c>
      <c r="K206" t="s">
        <v>1108</v>
      </c>
      <c r="M206">
        <v>196.3</v>
      </c>
      <c r="N206" t="s">
        <v>2976</v>
      </c>
      <c r="Q206" s="25">
        <f t="shared" si="7"/>
        <v>3.5310605224653348E-3</v>
      </c>
      <c r="R206" t="s">
        <v>3267</v>
      </c>
      <c r="W206">
        <v>0.96860000000000002</v>
      </c>
      <c r="Y206" t="s">
        <v>7</v>
      </c>
      <c r="Z206" t="s">
        <v>4</v>
      </c>
    </row>
    <row r="207" spans="1:41">
      <c r="B207" t="s">
        <v>3032</v>
      </c>
      <c r="C207" t="s">
        <v>1251</v>
      </c>
      <c r="D207" t="s">
        <v>1852</v>
      </c>
      <c r="E207" t="s">
        <v>2927</v>
      </c>
      <c r="F207" t="s">
        <v>2928</v>
      </c>
      <c r="G207">
        <v>90</v>
      </c>
      <c r="H207" t="s">
        <v>2976</v>
      </c>
      <c r="I207">
        <v>0.35</v>
      </c>
      <c r="K207" t="s">
        <v>1108</v>
      </c>
      <c r="M207">
        <v>212</v>
      </c>
      <c r="N207" t="s">
        <v>2976</v>
      </c>
      <c r="Q207" s="25">
        <f t="shared" si="7"/>
        <v>3.2695621724525719E-3</v>
      </c>
      <c r="R207" t="s">
        <v>3267</v>
      </c>
      <c r="W207">
        <v>0.98529999999999995</v>
      </c>
      <c r="Y207" t="s">
        <v>7</v>
      </c>
      <c r="Z207" t="s">
        <v>4</v>
      </c>
    </row>
    <row r="208" spans="1:41">
      <c r="B208" t="s">
        <v>3032</v>
      </c>
      <c r="C208" t="s">
        <v>1253</v>
      </c>
      <c r="D208" t="s">
        <v>1852</v>
      </c>
      <c r="E208" t="s">
        <v>2927</v>
      </c>
      <c r="F208" t="s">
        <v>2928</v>
      </c>
      <c r="G208">
        <v>90</v>
      </c>
      <c r="H208" t="s">
        <v>2976</v>
      </c>
      <c r="I208">
        <v>0.35</v>
      </c>
      <c r="K208" t="s">
        <v>1108</v>
      </c>
      <c r="M208">
        <v>232.5</v>
      </c>
      <c r="N208" t="s">
        <v>2976</v>
      </c>
      <c r="Q208" s="25">
        <f t="shared" si="7"/>
        <v>2.9812781959567538E-3</v>
      </c>
      <c r="R208" t="s">
        <v>3267</v>
      </c>
      <c r="W208">
        <v>0.85929999999999995</v>
      </c>
      <c r="Y208" t="s">
        <v>7</v>
      </c>
      <c r="Z208" t="s">
        <v>4</v>
      </c>
    </row>
    <row r="209" spans="1:32">
      <c r="B209" t="s">
        <v>3032</v>
      </c>
      <c r="C209" t="s">
        <v>1249</v>
      </c>
      <c r="D209" t="s">
        <v>1853</v>
      </c>
      <c r="E209" t="s">
        <v>2927</v>
      </c>
      <c r="F209" t="s">
        <v>2928</v>
      </c>
      <c r="G209">
        <v>90</v>
      </c>
      <c r="H209" t="s">
        <v>2976</v>
      </c>
      <c r="I209">
        <v>0.35</v>
      </c>
      <c r="K209" t="s">
        <v>1108</v>
      </c>
      <c r="M209">
        <v>322.3</v>
      </c>
      <c r="N209" t="s">
        <v>2976</v>
      </c>
      <c r="Q209" s="25">
        <f t="shared" si="7"/>
        <v>2.1506273054916081E-3</v>
      </c>
      <c r="R209" t="s">
        <v>3267</v>
      </c>
      <c r="W209">
        <v>0.8911</v>
      </c>
      <c r="Y209" t="s">
        <v>7</v>
      </c>
      <c r="Z209" t="s">
        <v>4</v>
      </c>
    </row>
    <row r="210" spans="1:32">
      <c r="B210" t="s">
        <v>3032</v>
      </c>
      <c r="C210" t="s">
        <v>1251</v>
      </c>
      <c r="D210" t="s">
        <v>1853</v>
      </c>
      <c r="E210" t="s">
        <v>2927</v>
      </c>
      <c r="F210" t="s">
        <v>2928</v>
      </c>
      <c r="G210">
        <v>90</v>
      </c>
      <c r="H210" t="s">
        <v>2976</v>
      </c>
      <c r="I210">
        <v>0.35</v>
      </c>
      <c r="K210" t="s">
        <v>1108</v>
      </c>
      <c r="M210">
        <v>364.7</v>
      </c>
      <c r="N210" t="s">
        <v>2976</v>
      </c>
      <c r="Q210" s="25">
        <f t="shared" si="7"/>
        <v>1.9005955046886354E-3</v>
      </c>
      <c r="R210" t="s">
        <v>3267</v>
      </c>
      <c r="W210">
        <v>0.91210000000000002</v>
      </c>
      <c r="Y210" t="s">
        <v>7</v>
      </c>
      <c r="Z210" t="s">
        <v>4</v>
      </c>
    </row>
    <row r="211" spans="1:32">
      <c r="B211" t="s">
        <v>3032</v>
      </c>
      <c r="C211" t="s">
        <v>1251</v>
      </c>
      <c r="D211" t="s">
        <v>1856</v>
      </c>
      <c r="E211" t="s">
        <v>2927</v>
      </c>
      <c r="F211" t="s">
        <v>2928</v>
      </c>
      <c r="G211">
        <v>90</v>
      </c>
      <c r="H211" t="s">
        <v>2976</v>
      </c>
      <c r="I211">
        <v>0.35</v>
      </c>
      <c r="K211" t="s">
        <v>1108</v>
      </c>
      <c r="M211">
        <v>210.6</v>
      </c>
      <c r="N211" t="s">
        <v>2976</v>
      </c>
      <c r="Q211" s="25">
        <f t="shared" si="7"/>
        <v>3.2912971536559607E-3</v>
      </c>
      <c r="R211" t="s">
        <v>3267</v>
      </c>
      <c r="W211">
        <v>0.90059999999999996</v>
      </c>
      <c r="Y211" t="s">
        <v>7</v>
      </c>
      <c r="Z211" t="s">
        <v>4</v>
      </c>
    </row>
    <row r="212" spans="1:32">
      <c r="A212" t="s">
        <v>82</v>
      </c>
      <c r="B212" t="s">
        <v>3033</v>
      </c>
      <c r="C212" t="s">
        <v>1256</v>
      </c>
      <c r="D212" t="s">
        <v>1858</v>
      </c>
      <c r="E212" t="s">
        <v>2652</v>
      </c>
      <c r="F212" t="s">
        <v>2653</v>
      </c>
      <c r="G212">
        <v>28</v>
      </c>
      <c r="H212" t="s">
        <v>2976</v>
      </c>
      <c r="I212">
        <v>2</v>
      </c>
      <c r="K212" t="s">
        <v>1108</v>
      </c>
      <c r="L212" s="23">
        <v>86.585376405913493</v>
      </c>
      <c r="Y212" t="s">
        <v>7</v>
      </c>
      <c r="Z212" t="s">
        <v>12</v>
      </c>
      <c r="AE212" s="12">
        <v>1325.7140525350501</v>
      </c>
      <c r="AF212" t="s">
        <v>2976</v>
      </c>
    </row>
    <row r="213" spans="1:32">
      <c r="B213" t="s">
        <v>3033</v>
      </c>
      <c r="C213" t="s">
        <v>1256</v>
      </c>
      <c r="D213" t="s">
        <v>1859</v>
      </c>
      <c r="E213" t="s">
        <v>2652</v>
      </c>
      <c r="F213" t="s">
        <v>2653</v>
      </c>
      <c r="G213">
        <v>28</v>
      </c>
      <c r="H213" t="s">
        <v>2976</v>
      </c>
      <c r="I213">
        <v>2</v>
      </c>
      <c r="K213" t="s">
        <v>1108</v>
      </c>
      <c r="L213" s="23">
        <v>99.390253263310299</v>
      </c>
      <c r="Y213" t="s">
        <v>7</v>
      </c>
      <c r="Z213" t="s">
        <v>12</v>
      </c>
      <c r="AE213" s="12">
        <v>2331.4287747130202</v>
      </c>
      <c r="AF213" t="s">
        <v>2976</v>
      </c>
    </row>
    <row r="214" spans="1:32">
      <c r="B214" t="s">
        <v>3033</v>
      </c>
      <c r="C214" t="s">
        <v>1256</v>
      </c>
      <c r="D214" t="s">
        <v>1864</v>
      </c>
      <c r="E214" t="s">
        <v>2652</v>
      </c>
      <c r="F214" t="s">
        <v>2653</v>
      </c>
      <c r="G214">
        <v>28</v>
      </c>
      <c r="H214" t="s">
        <v>2976</v>
      </c>
      <c r="I214">
        <v>2</v>
      </c>
      <c r="K214" t="s">
        <v>1108</v>
      </c>
      <c r="L214" s="23">
        <v>91.463406124263201</v>
      </c>
      <c r="Y214" t="s">
        <v>7</v>
      </c>
      <c r="Z214" t="s">
        <v>12</v>
      </c>
      <c r="AE214" s="12">
        <v>1759.9994559151301</v>
      </c>
      <c r="AF214" t="s">
        <v>2976</v>
      </c>
    </row>
    <row r="215" spans="1:32">
      <c r="B215" t="s">
        <v>3033</v>
      </c>
      <c r="C215" t="s">
        <v>1256</v>
      </c>
      <c r="D215" t="s">
        <v>1866</v>
      </c>
      <c r="E215" t="s">
        <v>2652</v>
      </c>
      <c r="F215" t="s">
        <v>2653</v>
      </c>
      <c r="G215">
        <v>28</v>
      </c>
      <c r="H215" t="s">
        <v>2976</v>
      </c>
      <c r="I215">
        <v>2</v>
      </c>
      <c r="K215" t="s">
        <v>1108</v>
      </c>
      <c r="L215" s="23">
        <v>79.268303915972396</v>
      </c>
      <c r="Y215" t="s">
        <v>7</v>
      </c>
      <c r="Z215" t="s">
        <v>12</v>
      </c>
      <c r="AE215" s="12">
        <v>1348.5708486128301</v>
      </c>
      <c r="AF215" t="s">
        <v>2976</v>
      </c>
    </row>
    <row r="216" spans="1:32">
      <c r="B216" t="s">
        <v>3033</v>
      </c>
      <c r="C216" t="s">
        <v>1256</v>
      </c>
      <c r="D216" t="s">
        <v>1869</v>
      </c>
      <c r="E216" t="s">
        <v>2652</v>
      </c>
      <c r="F216" t="s">
        <v>2653</v>
      </c>
      <c r="G216">
        <v>28</v>
      </c>
      <c r="H216" t="s">
        <v>2976</v>
      </c>
      <c r="I216">
        <v>2</v>
      </c>
      <c r="K216" t="s">
        <v>1108</v>
      </c>
      <c r="L216" s="23">
        <v>84.756108283428205</v>
      </c>
      <c r="Y216" t="s">
        <v>7</v>
      </c>
      <c r="Z216" t="s">
        <v>12</v>
      </c>
      <c r="AE216" s="12">
        <v>1988.57160196111</v>
      </c>
      <c r="AF216" t="s">
        <v>2976</v>
      </c>
    </row>
    <row r="217" spans="1:32">
      <c r="B217" t="s">
        <v>3033</v>
      </c>
      <c r="C217" t="s">
        <v>1256</v>
      </c>
      <c r="D217" t="s">
        <v>1871</v>
      </c>
      <c r="E217" t="s">
        <v>2652</v>
      </c>
      <c r="F217" t="s">
        <v>2653</v>
      </c>
      <c r="G217">
        <v>28</v>
      </c>
      <c r="H217" t="s">
        <v>2976</v>
      </c>
      <c r="I217">
        <v>2</v>
      </c>
      <c r="K217" t="s">
        <v>1108</v>
      </c>
      <c r="L217" s="23">
        <v>100</v>
      </c>
      <c r="Y217" t="s">
        <v>7</v>
      </c>
      <c r="Z217" t="s">
        <v>12</v>
      </c>
      <c r="AE217" s="12">
        <v>1759.9994559151301</v>
      </c>
      <c r="AF217" t="s">
        <v>2976</v>
      </c>
    </row>
    <row r="218" spans="1:32">
      <c r="B218" t="s">
        <v>3033</v>
      </c>
      <c r="C218" t="s">
        <v>1256</v>
      </c>
      <c r="D218" t="s">
        <v>1874</v>
      </c>
      <c r="E218" t="s">
        <v>2652</v>
      </c>
      <c r="F218" t="s">
        <v>2653</v>
      </c>
      <c r="G218">
        <v>28</v>
      </c>
      <c r="H218" t="s">
        <v>2976</v>
      </c>
      <c r="I218">
        <v>2</v>
      </c>
      <c r="K218" t="s">
        <v>1108</v>
      </c>
      <c r="L218" s="23">
        <v>100</v>
      </c>
      <c r="Y218" t="s">
        <v>7</v>
      </c>
      <c r="Z218" t="s">
        <v>12</v>
      </c>
      <c r="AE218" s="12">
        <v>1508.57156010842</v>
      </c>
      <c r="AF218" t="s">
        <v>2976</v>
      </c>
    </row>
    <row r="219" spans="1:32">
      <c r="B219" t="s">
        <v>3033</v>
      </c>
      <c r="C219" t="s">
        <v>1256</v>
      </c>
      <c r="D219" t="s">
        <v>1876</v>
      </c>
      <c r="E219" t="s">
        <v>2652</v>
      </c>
      <c r="F219" t="s">
        <v>2653</v>
      </c>
      <c r="G219">
        <v>28</v>
      </c>
      <c r="H219" t="s">
        <v>2976</v>
      </c>
      <c r="I219">
        <v>2</v>
      </c>
      <c r="K219" t="s">
        <v>1108</v>
      </c>
      <c r="L219" s="23">
        <v>85.975601756807393</v>
      </c>
      <c r="Y219" t="s">
        <v>7</v>
      </c>
      <c r="Z219" t="s">
        <v>12</v>
      </c>
      <c r="AE219" s="12">
        <v>2102.8566286670398</v>
      </c>
      <c r="AF219" t="s">
        <v>2976</v>
      </c>
    </row>
    <row r="220" spans="1:32">
      <c r="B220" t="s">
        <v>3033</v>
      </c>
      <c r="C220" t="s">
        <v>1256</v>
      </c>
      <c r="D220" t="s">
        <v>1877</v>
      </c>
      <c r="E220" t="s">
        <v>2652</v>
      </c>
      <c r="F220" t="s">
        <v>2653</v>
      </c>
      <c r="G220">
        <v>28</v>
      </c>
      <c r="H220" t="s">
        <v>2976</v>
      </c>
      <c r="I220">
        <v>2</v>
      </c>
      <c r="K220" t="s">
        <v>1108</v>
      </c>
      <c r="L220" s="23">
        <v>98.170731877514697</v>
      </c>
      <c r="Y220" t="s">
        <v>7</v>
      </c>
      <c r="Z220" t="s">
        <v>12</v>
      </c>
      <c r="AE220" s="12">
        <v>2674.2859474649399</v>
      </c>
      <c r="AF220" t="s">
        <v>2976</v>
      </c>
    </row>
    <row r="221" spans="1:32">
      <c r="B221" t="s">
        <v>3033</v>
      </c>
      <c r="C221" t="s">
        <v>1256</v>
      </c>
      <c r="D221" t="s">
        <v>1878</v>
      </c>
      <c r="E221" t="s">
        <v>2652</v>
      </c>
      <c r="F221" t="s">
        <v>2653</v>
      </c>
      <c r="G221">
        <v>28</v>
      </c>
      <c r="H221" t="s">
        <v>2976</v>
      </c>
      <c r="I221">
        <v>2</v>
      </c>
      <c r="K221" t="s">
        <v>1108</v>
      </c>
      <c r="L221" s="23">
        <v>100</v>
      </c>
      <c r="Y221" t="s">
        <v>7</v>
      </c>
      <c r="Z221" t="s">
        <v>12</v>
      </c>
      <c r="AE221" s="12">
        <v>2011.42839803888</v>
      </c>
      <c r="AF221" t="s">
        <v>2976</v>
      </c>
    </row>
    <row r="222" spans="1:32">
      <c r="B222" t="s">
        <v>3033</v>
      </c>
      <c r="C222" t="s">
        <v>1256</v>
      </c>
      <c r="D222" t="s">
        <v>1879</v>
      </c>
      <c r="E222" t="s">
        <v>2652</v>
      </c>
      <c r="F222" t="s">
        <v>2653</v>
      </c>
      <c r="G222">
        <v>28</v>
      </c>
      <c r="H222" t="s">
        <v>2976</v>
      </c>
      <c r="I222">
        <v>2</v>
      </c>
      <c r="K222" t="s">
        <v>1108</v>
      </c>
      <c r="L222" s="23">
        <v>81.097572038457699</v>
      </c>
      <c r="Y222" t="s">
        <v>7</v>
      </c>
      <c r="Z222" t="s">
        <v>12</v>
      </c>
      <c r="AE222" s="12">
        <v>1462.8569216358201</v>
      </c>
      <c r="AF222" t="s">
        <v>2976</v>
      </c>
    </row>
    <row r="223" spans="1:32">
      <c r="B223" t="s">
        <v>3033</v>
      </c>
      <c r="C223" t="s">
        <v>1256</v>
      </c>
      <c r="D223" t="s">
        <v>1880</v>
      </c>
      <c r="E223" t="s">
        <v>2652</v>
      </c>
      <c r="F223" t="s">
        <v>2653</v>
      </c>
      <c r="G223">
        <v>28</v>
      </c>
      <c r="H223" t="s">
        <v>2976</v>
      </c>
      <c r="I223">
        <v>2</v>
      </c>
      <c r="K223" t="s">
        <v>1108</v>
      </c>
      <c r="L223" s="23">
        <v>100</v>
      </c>
      <c r="Y223" t="s">
        <v>7</v>
      </c>
      <c r="Z223" t="s">
        <v>12</v>
      </c>
      <c r="AE223" s="12">
        <v>1691.4280213647401</v>
      </c>
      <c r="AF223" t="s">
        <v>2976</v>
      </c>
    </row>
    <row r="224" spans="1:32">
      <c r="B224" t="s">
        <v>3033</v>
      </c>
      <c r="C224" t="s">
        <v>1256</v>
      </c>
      <c r="D224" t="s">
        <v>1881</v>
      </c>
      <c r="E224" t="s">
        <v>2652</v>
      </c>
      <c r="F224" t="s">
        <v>2653</v>
      </c>
      <c r="G224">
        <v>28</v>
      </c>
      <c r="H224" t="s">
        <v>2976</v>
      </c>
      <c r="I224">
        <v>2</v>
      </c>
      <c r="K224" t="s">
        <v>1108</v>
      </c>
      <c r="L224" s="23">
        <v>81.7073187751473</v>
      </c>
      <c r="Y224" t="s">
        <v>7</v>
      </c>
      <c r="Z224" t="s">
        <v>12</v>
      </c>
      <c r="AE224" s="12">
        <v>1691.4280213647401</v>
      </c>
      <c r="AF224" t="s">
        <v>2976</v>
      </c>
    </row>
    <row r="225" spans="1:32">
      <c r="B225" t="s">
        <v>3033</v>
      </c>
      <c r="C225" t="s">
        <v>1256</v>
      </c>
      <c r="D225" t="s">
        <v>1858</v>
      </c>
      <c r="E225" t="s">
        <v>2715</v>
      </c>
      <c r="F225" t="s">
        <v>2713</v>
      </c>
      <c r="G225">
        <v>28</v>
      </c>
      <c r="H225" t="s">
        <v>2976</v>
      </c>
      <c r="I225">
        <v>2</v>
      </c>
      <c r="K225" t="s">
        <v>1108</v>
      </c>
      <c r="L225" s="23">
        <v>48.170717921306498</v>
      </c>
      <c r="Y225" t="s">
        <v>7</v>
      </c>
      <c r="Z225" t="s">
        <v>12</v>
      </c>
      <c r="AE225" s="12">
        <v>531.42757144841403</v>
      </c>
      <c r="AF225" t="s">
        <v>2976</v>
      </c>
    </row>
    <row r="226" spans="1:32">
      <c r="B226" t="s">
        <v>3033</v>
      </c>
      <c r="C226" t="s">
        <v>1256</v>
      </c>
      <c r="D226" t="s">
        <v>1859</v>
      </c>
      <c r="E226" t="s">
        <v>2715</v>
      </c>
      <c r="F226" t="s">
        <v>2713</v>
      </c>
      <c r="G226">
        <v>28</v>
      </c>
      <c r="H226" t="s">
        <v>2976</v>
      </c>
      <c r="I226">
        <v>2</v>
      </c>
      <c r="K226" t="s">
        <v>1108</v>
      </c>
      <c r="L226" s="23">
        <v>96.341463755029395</v>
      </c>
      <c r="Y226" t="s">
        <v>7</v>
      </c>
      <c r="Z226" t="s">
        <v>12</v>
      </c>
      <c r="AE226" s="12">
        <v>1097.1426912268601</v>
      </c>
      <c r="AF226" t="s">
        <v>2976</v>
      </c>
    </row>
    <row r="227" spans="1:32">
      <c r="B227" t="s">
        <v>3033</v>
      </c>
      <c r="C227" t="s">
        <v>1256</v>
      </c>
      <c r="D227" t="s">
        <v>1864</v>
      </c>
      <c r="E227" t="s">
        <v>2715</v>
      </c>
      <c r="F227" t="s">
        <v>2713</v>
      </c>
      <c r="G227">
        <v>28</v>
      </c>
      <c r="H227" t="s">
        <v>2976</v>
      </c>
      <c r="I227">
        <v>2</v>
      </c>
      <c r="K227" t="s">
        <v>1108</v>
      </c>
      <c r="L227" s="23">
        <v>67.073173795265205</v>
      </c>
      <c r="Y227" t="s">
        <v>7</v>
      </c>
      <c r="Z227" t="s">
        <v>12</v>
      </c>
      <c r="AE227" s="12">
        <v>514.28575912787301</v>
      </c>
      <c r="AF227" t="s">
        <v>2976</v>
      </c>
    </row>
    <row r="228" spans="1:32">
      <c r="B228" t="s">
        <v>3033</v>
      </c>
      <c r="C228" t="s">
        <v>1256</v>
      </c>
      <c r="D228" t="s">
        <v>1866</v>
      </c>
      <c r="E228" t="s">
        <v>2715</v>
      </c>
      <c r="F228" t="s">
        <v>2713</v>
      </c>
      <c r="G228">
        <v>28</v>
      </c>
      <c r="H228" t="s">
        <v>2976</v>
      </c>
      <c r="I228">
        <v>2</v>
      </c>
      <c r="K228" t="s">
        <v>1108</v>
      </c>
      <c r="L228" s="23">
        <v>99.3902253508939</v>
      </c>
      <c r="Y228" t="s">
        <v>7</v>
      </c>
      <c r="Z228" t="s">
        <v>12</v>
      </c>
      <c r="AE228" s="12">
        <v>1645.71442920919</v>
      </c>
      <c r="AF228" t="s">
        <v>2976</v>
      </c>
    </row>
    <row r="229" spans="1:32">
      <c r="B229" t="s">
        <v>3033</v>
      </c>
      <c r="C229" t="s">
        <v>1256</v>
      </c>
      <c r="D229" t="s">
        <v>1869</v>
      </c>
      <c r="E229" t="s">
        <v>2715</v>
      </c>
      <c r="F229" t="s">
        <v>2713</v>
      </c>
      <c r="G229">
        <v>28</v>
      </c>
      <c r="H229" t="s">
        <v>2976</v>
      </c>
      <c r="I229">
        <v>2</v>
      </c>
      <c r="K229" t="s">
        <v>1108</v>
      </c>
      <c r="L229" s="23">
        <v>49.999986043791701</v>
      </c>
      <c r="Y229" t="s">
        <v>7</v>
      </c>
      <c r="Z229" t="s">
        <v>12</v>
      </c>
      <c r="AE229" s="12">
        <v>1011.42813645962</v>
      </c>
      <c r="AF229" t="s">
        <v>2976</v>
      </c>
    </row>
    <row r="230" spans="1:32">
      <c r="B230" t="s">
        <v>3033</v>
      </c>
      <c r="C230" t="s">
        <v>1256</v>
      </c>
      <c r="D230" t="s">
        <v>1871</v>
      </c>
      <c r="E230" t="s">
        <v>2715</v>
      </c>
      <c r="F230" t="s">
        <v>2713</v>
      </c>
      <c r="G230">
        <v>28</v>
      </c>
      <c r="H230" t="s">
        <v>2976</v>
      </c>
      <c r="I230">
        <v>2</v>
      </c>
      <c r="K230" t="s">
        <v>1108</v>
      </c>
      <c r="L230" s="23">
        <v>100</v>
      </c>
      <c r="Y230" t="s">
        <v>7</v>
      </c>
      <c r="Z230" t="s">
        <v>12</v>
      </c>
      <c r="AE230" s="12">
        <v>754.28525689568698</v>
      </c>
      <c r="AF230" t="s">
        <v>2976</v>
      </c>
    </row>
    <row r="231" spans="1:32">
      <c r="B231" t="s">
        <v>3033</v>
      </c>
      <c r="C231" t="s">
        <v>1256</v>
      </c>
      <c r="D231" t="s">
        <v>1874</v>
      </c>
      <c r="E231" t="s">
        <v>2715</v>
      </c>
      <c r="F231" t="s">
        <v>2713</v>
      </c>
      <c r="G231">
        <v>28</v>
      </c>
      <c r="H231" t="s">
        <v>2976</v>
      </c>
      <c r="I231">
        <v>2</v>
      </c>
      <c r="K231" t="s">
        <v>1108</v>
      </c>
      <c r="L231" s="23">
        <v>93.292674246748504</v>
      </c>
      <c r="Y231" t="s">
        <v>7</v>
      </c>
      <c r="Z231" t="s">
        <v>12</v>
      </c>
      <c r="AE231" s="12">
        <v>582.85614736120101</v>
      </c>
      <c r="AF231" t="s">
        <v>2976</v>
      </c>
    </row>
    <row r="232" spans="1:32">
      <c r="B232" t="s">
        <v>3033</v>
      </c>
      <c r="C232" t="s">
        <v>1256</v>
      </c>
      <c r="D232" t="s">
        <v>1876</v>
      </c>
      <c r="E232" t="s">
        <v>2715</v>
      </c>
      <c r="F232" t="s">
        <v>2713</v>
      </c>
      <c r="G232">
        <v>28</v>
      </c>
      <c r="H232" t="s">
        <v>2976</v>
      </c>
      <c r="I232">
        <v>2</v>
      </c>
      <c r="K232" t="s">
        <v>1108</v>
      </c>
      <c r="L232" s="23">
        <v>90.8536593875736</v>
      </c>
      <c r="Y232" t="s">
        <v>7</v>
      </c>
      <c r="Z232" t="s">
        <v>12</v>
      </c>
      <c r="AE232" s="12">
        <v>1114.2852882851901</v>
      </c>
      <c r="AF232" t="s">
        <v>2976</v>
      </c>
    </row>
    <row r="233" spans="1:32">
      <c r="B233" t="s">
        <v>3033</v>
      </c>
      <c r="C233" t="s">
        <v>1256</v>
      </c>
      <c r="D233" t="s">
        <v>1877</v>
      </c>
      <c r="E233" t="s">
        <v>2715</v>
      </c>
      <c r="F233" t="s">
        <v>2713</v>
      </c>
      <c r="G233">
        <v>28</v>
      </c>
      <c r="H233" t="s">
        <v>2976</v>
      </c>
      <c r="I233">
        <v>2</v>
      </c>
      <c r="K233" t="s">
        <v>1108</v>
      </c>
      <c r="L233" s="23">
        <v>75.609739758585505</v>
      </c>
      <c r="Y233" t="s">
        <v>7</v>
      </c>
      <c r="Z233" t="s">
        <v>12</v>
      </c>
      <c r="AE233" s="12">
        <v>977.14294234296005</v>
      </c>
      <c r="AF233" t="s">
        <v>2976</v>
      </c>
    </row>
    <row r="234" spans="1:32">
      <c r="B234" t="s">
        <v>3033</v>
      </c>
      <c r="C234" t="s">
        <v>1256</v>
      </c>
      <c r="D234" t="s">
        <v>1878</v>
      </c>
      <c r="E234" t="s">
        <v>2715</v>
      </c>
      <c r="F234" t="s">
        <v>2713</v>
      </c>
      <c r="G234">
        <v>28</v>
      </c>
      <c r="H234" t="s">
        <v>2976</v>
      </c>
      <c r="I234">
        <v>2</v>
      </c>
      <c r="K234" t="s">
        <v>1108</v>
      </c>
      <c r="L234" s="23">
        <v>88.414616615982297</v>
      </c>
      <c r="Y234" t="s">
        <v>7</v>
      </c>
      <c r="Z234" t="s">
        <v>12</v>
      </c>
      <c r="AE234" s="12">
        <v>1834.2853510642201</v>
      </c>
      <c r="AF234" t="s">
        <v>2976</v>
      </c>
    </row>
    <row r="235" spans="1:32">
      <c r="B235" t="s">
        <v>3033</v>
      </c>
      <c r="C235" t="s">
        <v>1256</v>
      </c>
      <c r="D235" t="s">
        <v>1879</v>
      </c>
      <c r="E235" t="s">
        <v>2715</v>
      </c>
      <c r="F235" t="s">
        <v>2713</v>
      </c>
      <c r="G235">
        <v>28</v>
      </c>
      <c r="H235" t="s">
        <v>2976</v>
      </c>
      <c r="I235">
        <v>2</v>
      </c>
      <c r="K235" t="s">
        <v>1108</v>
      </c>
      <c r="L235" s="23">
        <v>71.341456776925298</v>
      </c>
      <c r="Y235" t="s">
        <v>7</v>
      </c>
      <c r="Z235" t="s">
        <v>12</v>
      </c>
      <c r="AE235" s="12">
        <v>1045.7141153140701</v>
      </c>
      <c r="AF235" t="s">
        <v>2976</v>
      </c>
    </row>
    <row r="236" spans="1:32">
      <c r="B236" t="s">
        <v>3033</v>
      </c>
      <c r="C236" t="s">
        <v>1256</v>
      </c>
      <c r="D236" t="s">
        <v>1880</v>
      </c>
      <c r="E236" t="s">
        <v>2715</v>
      </c>
      <c r="F236" t="s">
        <v>2713</v>
      </c>
      <c r="G236">
        <v>28</v>
      </c>
      <c r="H236" t="s">
        <v>2976</v>
      </c>
      <c r="I236">
        <v>2</v>
      </c>
      <c r="K236" t="s">
        <v>1108</v>
      </c>
      <c r="L236" s="23">
        <v>82.926812248526502</v>
      </c>
      <c r="Y236" t="s">
        <v>7</v>
      </c>
      <c r="Z236" t="s">
        <v>12</v>
      </c>
      <c r="AE236" s="12">
        <v>531.42757144841403</v>
      </c>
      <c r="AF236" t="s">
        <v>2976</v>
      </c>
    </row>
    <row r="237" spans="1:32">
      <c r="B237" t="s">
        <v>3033</v>
      </c>
      <c r="C237" t="s">
        <v>1256</v>
      </c>
      <c r="D237" t="s">
        <v>1881</v>
      </c>
      <c r="E237" t="s">
        <v>2715</v>
      </c>
      <c r="F237" t="s">
        <v>2713</v>
      </c>
      <c r="G237">
        <v>28</v>
      </c>
      <c r="H237" t="s">
        <v>2976</v>
      </c>
      <c r="I237">
        <v>2</v>
      </c>
      <c r="K237" t="s">
        <v>1108</v>
      </c>
      <c r="L237" s="23">
        <v>60.365848042013702</v>
      </c>
      <c r="Y237" t="s">
        <v>7</v>
      </c>
      <c r="Z237" t="s">
        <v>12</v>
      </c>
      <c r="AE237" s="12">
        <v>360.00003138951098</v>
      </c>
      <c r="AF237" t="s">
        <v>2976</v>
      </c>
    </row>
    <row r="238" spans="1:32">
      <c r="A238" t="s">
        <v>92</v>
      </c>
      <c r="B238" t="s">
        <v>3036</v>
      </c>
      <c r="C238" t="s">
        <v>1259</v>
      </c>
      <c r="D238" t="s">
        <v>1882</v>
      </c>
      <c r="E238" t="s">
        <v>2667</v>
      </c>
      <c r="F238" t="s">
        <v>2668</v>
      </c>
      <c r="G238">
        <v>25</v>
      </c>
      <c r="H238" t="s">
        <v>2976</v>
      </c>
      <c r="I238">
        <v>2.5</v>
      </c>
      <c r="K238" t="s">
        <v>1108</v>
      </c>
      <c r="M238">
        <v>1.4</v>
      </c>
      <c r="N238" t="s">
        <v>2976</v>
      </c>
      <c r="Q238" s="23">
        <f t="shared" ref="Q238:Q251" si="8">LN(2)/M238</f>
        <v>0.49510512897138953</v>
      </c>
      <c r="R238" t="s">
        <v>3267</v>
      </c>
      <c r="Y238" t="s">
        <v>7</v>
      </c>
      <c r="Z238" t="s">
        <v>12</v>
      </c>
    </row>
    <row r="239" spans="1:32">
      <c r="B239" t="s">
        <v>3036</v>
      </c>
      <c r="C239" t="s">
        <v>1259</v>
      </c>
      <c r="D239" t="s">
        <v>1883</v>
      </c>
      <c r="E239" t="s">
        <v>2667</v>
      </c>
      <c r="F239" t="s">
        <v>2668</v>
      </c>
      <c r="G239">
        <v>25</v>
      </c>
      <c r="H239" t="s">
        <v>2976</v>
      </c>
      <c r="I239">
        <v>2.5</v>
      </c>
      <c r="K239" t="s">
        <v>1108</v>
      </c>
      <c r="M239">
        <v>3.8</v>
      </c>
      <c r="N239" t="s">
        <v>2976</v>
      </c>
      <c r="Q239" s="23">
        <f t="shared" si="8"/>
        <v>0.18240715277893299</v>
      </c>
      <c r="R239" t="s">
        <v>3267</v>
      </c>
      <c r="Y239" t="s">
        <v>7</v>
      </c>
      <c r="Z239" t="s">
        <v>12</v>
      </c>
    </row>
    <row r="240" spans="1:32">
      <c r="B240" t="s">
        <v>3036</v>
      </c>
      <c r="C240" t="s">
        <v>1259</v>
      </c>
      <c r="D240" t="s">
        <v>1887</v>
      </c>
      <c r="E240" t="s">
        <v>2667</v>
      </c>
      <c r="F240" t="s">
        <v>2668</v>
      </c>
      <c r="G240">
        <v>25</v>
      </c>
      <c r="H240" t="s">
        <v>2976</v>
      </c>
      <c r="I240">
        <v>2.5</v>
      </c>
      <c r="K240" t="s">
        <v>1108</v>
      </c>
      <c r="M240">
        <v>2.8</v>
      </c>
      <c r="N240" t="s">
        <v>2976</v>
      </c>
      <c r="Q240" s="23">
        <f t="shared" si="8"/>
        <v>0.24755256448569476</v>
      </c>
      <c r="R240" t="s">
        <v>3267</v>
      </c>
      <c r="Y240" t="s">
        <v>7</v>
      </c>
      <c r="Z240" t="s">
        <v>12</v>
      </c>
    </row>
    <row r="241" spans="1:41">
      <c r="B241" t="s">
        <v>3036</v>
      </c>
      <c r="C241" t="s">
        <v>1259</v>
      </c>
      <c r="D241" t="s">
        <v>1889</v>
      </c>
      <c r="E241" t="s">
        <v>2667</v>
      </c>
      <c r="F241" t="s">
        <v>2668</v>
      </c>
      <c r="G241">
        <v>25</v>
      </c>
      <c r="H241" t="s">
        <v>2976</v>
      </c>
      <c r="I241">
        <v>2.5</v>
      </c>
      <c r="K241" t="s">
        <v>1108</v>
      </c>
      <c r="M241">
        <v>2</v>
      </c>
      <c r="N241" t="s">
        <v>2976</v>
      </c>
      <c r="Q241" s="23">
        <f t="shared" si="8"/>
        <v>0.34657359027997264</v>
      </c>
      <c r="R241" t="s">
        <v>3267</v>
      </c>
      <c r="Y241" t="s">
        <v>7</v>
      </c>
      <c r="Z241" t="s">
        <v>12</v>
      </c>
    </row>
    <row r="242" spans="1:41">
      <c r="B242" t="s">
        <v>3036</v>
      </c>
      <c r="C242" t="s">
        <v>1259</v>
      </c>
      <c r="D242" t="s">
        <v>1891</v>
      </c>
      <c r="E242" t="s">
        <v>2667</v>
      </c>
      <c r="F242" t="s">
        <v>2668</v>
      </c>
      <c r="G242">
        <v>25</v>
      </c>
      <c r="H242" t="s">
        <v>2976</v>
      </c>
      <c r="I242">
        <v>2.5</v>
      </c>
      <c r="K242" t="s">
        <v>1108</v>
      </c>
      <c r="M242">
        <v>1.8</v>
      </c>
      <c r="N242" t="s">
        <v>2976</v>
      </c>
      <c r="Q242" s="23">
        <f t="shared" si="8"/>
        <v>0.38508176697774738</v>
      </c>
      <c r="R242" t="s">
        <v>3267</v>
      </c>
      <c r="Y242" t="s">
        <v>7</v>
      </c>
      <c r="Z242" t="s">
        <v>12</v>
      </c>
    </row>
    <row r="243" spans="1:41">
      <c r="B243" t="s">
        <v>3036</v>
      </c>
      <c r="C243" t="s">
        <v>1259</v>
      </c>
      <c r="D243" t="s">
        <v>1894</v>
      </c>
      <c r="E243" t="s">
        <v>2667</v>
      </c>
      <c r="F243" t="s">
        <v>2668</v>
      </c>
      <c r="G243">
        <v>25</v>
      </c>
      <c r="H243" t="s">
        <v>2976</v>
      </c>
      <c r="I243">
        <v>2.5</v>
      </c>
      <c r="K243" t="s">
        <v>1108</v>
      </c>
      <c r="M243">
        <v>4.0999999999999996</v>
      </c>
      <c r="N243" t="s">
        <v>2976</v>
      </c>
      <c r="Q243" s="23">
        <f t="shared" si="8"/>
        <v>0.16906028794145009</v>
      </c>
      <c r="R243" t="s">
        <v>3267</v>
      </c>
      <c r="Y243" t="s">
        <v>7</v>
      </c>
      <c r="Z243" t="s">
        <v>12</v>
      </c>
    </row>
    <row r="244" spans="1:41">
      <c r="B244" t="s">
        <v>3036</v>
      </c>
      <c r="C244" t="s">
        <v>1259</v>
      </c>
      <c r="D244" t="s">
        <v>1897</v>
      </c>
      <c r="E244" t="s">
        <v>2667</v>
      </c>
      <c r="F244" t="s">
        <v>2668</v>
      </c>
      <c r="G244">
        <v>25</v>
      </c>
      <c r="H244" t="s">
        <v>2976</v>
      </c>
      <c r="I244">
        <v>2.5</v>
      </c>
      <c r="K244" t="s">
        <v>1108</v>
      </c>
      <c r="M244">
        <v>6.7</v>
      </c>
      <c r="N244" t="s">
        <v>2976</v>
      </c>
      <c r="Q244" s="23">
        <f t="shared" si="8"/>
        <v>0.10345480306864854</v>
      </c>
      <c r="R244" t="s">
        <v>3267</v>
      </c>
      <c r="Y244" t="s">
        <v>7</v>
      </c>
      <c r="Z244" t="s">
        <v>12</v>
      </c>
    </row>
    <row r="245" spans="1:41">
      <c r="B245" t="s">
        <v>3036</v>
      </c>
      <c r="C245" t="s">
        <v>1259</v>
      </c>
      <c r="D245" t="s">
        <v>1900</v>
      </c>
      <c r="E245" t="s">
        <v>2667</v>
      </c>
      <c r="F245" t="s">
        <v>2668</v>
      </c>
      <c r="G245">
        <v>25</v>
      </c>
      <c r="H245" t="s">
        <v>2976</v>
      </c>
      <c r="I245">
        <v>2.5</v>
      </c>
      <c r="K245" t="s">
        <v>1108</v>
      </c>
      <c r="M245">
        <v>4.5</v>
      </c>
      <c r="N245" t="s">
        <v>2976</v>
      </c>
      <c r="Q245" s="23">
        <f t="shared" si="8"/>
        <v>0.15403270679109896</v>
      </c>
      <c r="R245" t="s">
        <v>3267</v>
      </c>
      <c r="Y245" t="s">
        <v>7</v>
      </c>
      <c r="Z245" t="s">
        <v>12</v>
      </c>
    </row>
    <row r="246" spans="1:41">
      <c r="B246" t="s">
        <v>3036</v>
      </c>
      <c r="C246" t="s">
        <v>1259</v>
      </c>
      <c r="D246" t="s">
        <v>1903</v>
      </c>
      <c r="E246" t="s">
        <v>2667</v>
      </c>
      <c r="F246" t="s">
        <v>2668</v>
      </c>
      <c r="G246">
        <v>25</v>
      </c>
      <c r="H246" t="s">
        <v>2976</v>
      </c>
      <c r="I246">
        <v>2.5</v>
      </c>
      <c r="K246" t="s">
        <v>1108</v>
      </c>
      <c r="M246">
        <v>2.4</v>
      </c>
      <c r="N246" t="s">
        <v>2976</v>
      </c>
      <c r="Q246" s="23">
        <f t="shared" si="8"/>
        <v>0.28881132523331055</v>
      </c>
      <c r="R246" t="s">
        <v>3267</v>
      </c>
      <c r="Y246" t="s">
        <v>7</v>
      </c>
      <c r="Z246" t="s">
        <v>12</v>
      </c>
    </row>
    <row r="247" spans="1:41">
      <c r="B247" t="s">
        <v>3038</v>
      </c>
      <c r="C247" t="s">
        <v>1259</v>
      </c>
      <c r="D247" t="s">
        <v>1882</v>
      </c>
      <c r="E247" t="s">
        <v>2667</v>
      </c>
      <c r="F247" t="s">
        <v>2668</v>
      </c>
      <c r="G247">
        <v>25</v>
      </c>
      <c r="H247" t="s">
        <v>2976</v>
      </c>
      <c r="I247">
        <v>2.5</v>
      </c>
      <c r="K247" t="s">
        <v>1108</v>
      </c>
      <c r="M247">
        <v>2.4</v>
      </c>
      <c r="N247" t="s">
        <v>2976</v>
      </c>
      <c r="Q247" s="23">
        <f t="shared" si="8"/>
        <v>0.28881132523331055</v>
      </c>
      <c r="R247" t="s">
        <v>3267</v>
      </c>
      <c r="Y247" t="s">
        <v>7</v>
      </c>
      <c r="Z247" t="s">
        <v>12</v>
      </c>
    </row>
    <row r="248" spans="1:41">
      <c r="B248" t="s">
        <v>3038</v>
      </c>
      <c r="C248" t="s">
        <v>1259</v>
      </c>
      <c r="D248" t="s">
        <v>1883</v>
      </c>
      <c r="E248" t="s">
        <v>2667</v>
      </c>
      <c r="F248" t="s">
        <v>2668</v>
      </c>
      <c r="G248">
        <v>25</v>
      </c>
      <c r="H248" t="s">
        <v>2976</v>
      </c>
      <c r="I248">
        <v>2.5</v>
      </c>
      <c r="K248" t="s">
        <v>1108</v>
      </c>
      <c r="M248">
        <v>7.2</v>
      </c>
      <c r="N248" t="s">
        <v>2976</v>
      </c>
      <c r="Q248" s="23">
        <f t="shared" si="8"/>
        <v>9.6270441744436844E-2</v>
      </c>
      <c r="R248" t="s">
        <v>3267</v>
      </c>
      <c r="Y248" t="s">
        <v>7</v>
      </c>
      <c r="Z248" t="s">
        <v>12</v>
      </c>
    </row>
    <row r="249" spans="1:41">
      <c r="B249" t="s">
        <v>3038</v>
      </c>
      <c r="C249" t="s">
        <v>1259</v>
      </c>
      <c r="D249" t="s">
        <v>1887</v>
      </c>
      <c r="E249" t="s">
        <v>2667</v>
      </c>
      <c r="F249" t="s">
        <v>2668</v>
      </c>
      <c r="G249">
        <v>25</v>
      </c>
      <c r="H249" t="s">
        <v>2976</v>
      </c>
      <c r="I249">
        <v>2.5</v>
      </c>
      <c r="K249" t="s">
        <v>1108</v>
      </c>
      <c r="M249">
        <v>5</v>
      </c>
      <c r="N249" t="s">
        <v>2976</v>
      </c>
      <c r="Q249" s="23">
        <f t="shared" si="8"/>
        <v>0.13862943611198905</v>
      </c>
      <c r="R249" t="s">
        <v>3267</v>
      </c>
      <c r="Y249" t="s">
        <v>7</v>
      </c>
      <c r="Z249" t="s">
        <v>12</v>
      </c>
    </row>
    <row r="250" spans="1:41">
      <c r="B250" t="s">
        <v>3038</v>
      </c>
      <c r="C250" t="s">
        <v>1259</v>
      </c>
      <c r="D250" t="s">
        <v>1889</v>
      </c>
      <c r="E250" t="s">
        <v>2667</v>
      </c>
      <c r="F250" t="s">
        <v>2668</v>
      </c>
      <c r="G250">
        <v>25</v>
      </c>
      <c r="H250" t="s">
        <v>2976</v>
      </c>
      <c r="I250">
        <v>2.5</v>
      </c>
      <c r="K250" t="s">
        <v>1108</v>
      </c>
      <c r="M250">
        <v>5.8</v>
      </c>
      <c r="N250" t="s">
        <v>2976</v>
      </c>
      <c r="Q250" s="23">
        <f t="shared" si="8"/>
        <v>0.11950813457930091</v>
      </c>
      <c r="R250" t="s">
        <v>3267</v>
      </c>
      <c r="Y250" t="s">
        <v>7</v>
      </c>
      <c r="Z250" t="s">
        <v>12</v>
      </c>
    </row>
    <row r="251" spans="1:41">
      <c r="B251" t="s">
        <v>3038</v>
      </c>
      <c r="C251" t="s">
        <v>1259</v>
      </c>
      <c r="D251" t="s">
        <v>1891</v>
      </c>
      <c r="E251" t="s">
        <v>2667</v>
      </c>
      <c r="F251" t="s">
        <v>2668</v>
      </c>
      <c r="G251">
        <v>25</v>
      </c>
      <c r="H251" t="s">
        <v>2976</v>
      </c>
      <c r="I251">
        <v>2.5</v>
      </c>
      <c r="K251" t="s">
        <v>1108</v>
      </c>
      <c r="M251">
        <v>3</v>
      </c>
      <c r="N251" t="s">
        <v>2976</v>
      </c>
      <c r="Q251" s="23">
        <f t="shared" si="8"/>
        <v>0.23104906018664842</v>
      </c>
      <c r="R251" t="s">
        <v>3267</v>
      </c>
      <c r="Y251" t="s">
        <v>7</v>
      </c>
      <c r="Z251" t="s">
        <v>12</v>
      </c>
    </row>
    <row r="252" spans="1:41">
      <c r="A252" t="s">
        <v>910</v>
      </c>
      <c r="B252" t="s">
        <v>3040</v>
      </c>
      <c r="C252" t="s">
        <v>1263</v>
      </c>
      <c r="D252" t="s">
        <v>1906</v>
      </c>
      <c r="E252" t="s">
        <v>2882</v>
      </c>
      <c r="F252" t="s">
        <v>2883</v>
      </c>
      <c r="G252">
        <v>7</v>
      </c>
      <c r="H252" t="s">
        <v>2976</v>
      </c>
      <c r="I252">
        <v>9</v>
      </c>
      <c r="K252" t="s">
        <v>1108</v>
      </c>
      <c r="M252">
        <v>0.38</v>
      </c>
      <c r="N252" t="s">
        <v>2976</v>
      </c>
      <c r="Q252">
        <v>1.8129999999999999</v>
      </c>
      <c r="R252" t="s">
        <v>3267</v>
      </c>
      <c r="W252">
        <v>0.94499999999999995</v>
      </c>
      <c r="X252" t="s">
        <v>3268</v>
      </c>
      <c r="Y252" t="s">
        <v>7</v>
      </c>
      <c r="Z252" t="s">
        <v>4</v>
      </c>
      <c r="AK252">
        <v>0.38</v>
      </c>
      <c r="AL252" t="s">
        <v>3274</v>
      </c>
      <c r="AN252" t="s">
        <v>3275</v>
      </c>
      <c r="AO252">
        <v>98.6</v>
      </c>
    </row>
    <row r="253" spans="1:41">
      <c r="B253" t="s">
        <v>3040</v>
      </c>
      <c r="C253" t="s">
        <v>1263</v>
      </c>
      <c r="D253" t="s">
        <v>1908</v>
      </c>
      <c r="E253" t="s">
        <v>2882</v>
      </c>
      <c r="F253" t="s">
        <v>2883</v>
      </c>
      <c r="G253">
        <v>7</v>
      </c>
      <c r="H253" t="s">
        <v>2976</v>
      </c>
      <c r="I253">
        <v>9</v>
      </c>
      <c r="K253" t="s">
        <v>1108</v>
      </c>
      <c r="M253">
        <v>3.87</v>
      </c>
      <c r="N253" t="s">
        <v>2976</v>
      </c>
      <c r="Q253">
        <v>0.17899999999999999</v>
      </c>
      <c r="R253" t="s">
        <v>3267</v>
      </c>
      <c r="W253">
        <v>0.88600000000000001</v>
      </c>
      <c r="X253" t="s">
        <v>3268</v>
      </c>
      <c r="Y253" t="s">
        <v>7</v>
      </c>
      <c r="Z253" t="s">
        <v>4</v>
      </c>
      <c r="AK253">
        <v>4.1399999999999997</v>
      </c>
      <c r="AL253" t="s">
        <v>3274</v>
      </c>
      <c r="AN253" t="s">
        <v>3275</v>
      </c>
      <c r="AO253">
        <v>87</v>
      </c>
    </row>
    <row r="254" spans="1:41">
      <c r="B254" t="s">
        <v>3040</v>
      </c>
      <c r="C254" t="s">
        <v>1263</v>
      </c>
      <c r="D254" t="s">
        <v>1910</v>
      </c>
      <c r="E254" t="s">
        <v>2882</v>
      </c>
      <c r="F254" t="s">
        <v>2883</v>
      </c>
      <c r="G254">
        <v>7</v>
      </c>
      <c r="H254" t="s">
        <v>2976</v>
      </c>
      <c r="I254">
        <v>9</v>
      </c>
      <c r="K254" t="s">
        <v>1108</v>
      </c>
      <c r="M254">
        <v>0.5</v>
      </c>
      <c r="N254" t="s">
        <v>2976</v>
      </c>
      <c r="Q254">
        <v>1.3979999999999999</v>
      </c>
      <c r="R254" t="s">
        <v>3267</v>
      </c>
      <c r="W254">
        <v>0.95199999999999996</v>
      </c>
      <c r="X254" t="s">
        <v>3268</v>
      </c>
      <c r="Y254" t="s">
        <v>7</v>
      </c>
      <c r="Z254" t="s">
        <v>4</v>
      </c>
      <c r="AK254">
        <v>0.99</v>
      </c>
      <c r="AL254" t="s">
        <v>3274</v>
      </c>
      <c r="AN254" t="s">
        <v>3275</v>
      </c>
      <c r="AO254">
        <v>76.8</v>
      </c>
    </row>
    <row r="255" spans="1:41">
      <c r="B255" t="s">
        <v>3040</v>
      </c>
      <c r="C255" t="s">
        <v>1263</v>
      </c>
      <c r="D255" t="s">
        <v>1913</v>
      </c>
      <c r="E255" t="s">
        <v>2882</v>
      </c>
      <c r="F255" t="s">
        <v>2883</v>
      </c>
      <c r="G255">
        <v>7</v>
      </c>
      <c r="H255" t="s">
        <v>2976</v>
      </c>
      <c r="I255">
        <v>9</v>
      </c>
      <c r="K255" t="s">
        <v>1108</v>
      </c>
      <c r="M255">
        <v>1.5</v>
      </c>
      <c r="N255" t="s">
        <v>2976</v>
      </c>
      <c r="Q255">
        <v>0.46300000000000002</v>
      </c>
      <c r="R255" t="s">
        <v>3267</v>
      </c>
      <c r="W255">
        <v>0.98</v>
      </c>
      <c r="X255" t="s">
        <v>3268</v>
      </c>
      <c r="Y255" t="s">
        <v>7</v>
      </c>
      <c r="Z255" t="s">
        <v>4</v>
      </c>
      <c r="AK255">
        <v>1.54</v>
      </c>
      <c r="AL255" t="s">
        <v>3274</v>
      </c>
      <c r="AN255" t="s">
        <v>3275</v>
      </c>
      <c r="AO255">
        <v>81.3</v>
      </c>
    </row>
    <row r="256" spans="1:41">
      <c r="A256" t="s">
        <v>902</v>
      </c>
      <c r="B256" t="s">
        <v>3043</v>
      </c>
      <c r="C256" t="s">
        <v>1266</v>
      </c>
      <c r="D256" t="s">
        <v>1914</v>
      </c>
      <c r="E256" t="s">
        <v>2770</v>
      </c>
      <c r="F256" t="s">
        <v>2771</v>
      </c>
      <c r="G256">
        <v>35</v>
      </c>
      <c r="H256" t="s">
        <v>2976</v>
      </c>
      <c r="I256">
        <v>1</v>
      </c>
      <c r="K256" t="s">
        <v>1108</v>
      </c>
      <c r="L256">
        <v>76.900000000000006</v>
      </c>
      <c r="Y256" t="s">
        <v>7</v>
      </c>
    </row>
    <row r="257" spans="1:26">
      <c r="B257" t="s">
        <v>3043</v>
      </c>
      <c r="C257" t="s">
        <v>1266</v>
      </c>
      <c r="D257" t="s">
        <v>1915</v>
      </c>
      <c r="E257" t="s">
        <v>2770</v>
      </c>
      <c r="F257" t="s">
        <v>2771</v>
      </c>
      <c r="G257">
        <v>35</v>
      </c>
      <c r="H257" t="s">
        <v>2976</v>
      </c>
      <c r="I257">
        <v>1</v>
      </c>
      <c r="K257" t="s">
        <v>1108</v>
      </c>
      <c r="L257">
        <v>76.8</v>
      </c>
      <c r="Y257" t="s">
        <v>7</v>
      </c>
    </row>
    <row r="258" spans="1:26">
      <c r="B258" t="s">
        <v>3043</v>
      </c>
      <c r="C258" t="s">
        <v>1266</v>
      </c>
      <c r="D258" t="s">
        <v>1918</v>
      </c>
      <c r="E258" t="s">
        <v>2770</v>
      </c>
      <c r="F258" t="s">
        <v>2771</v>
      </c>
      <c r="G258">
        <v>35</v>
      </c>
      <c r="H258" t="s">
        <v>2976</v>
      </c>
      <c r="I258">
        <v>1</v>
      </c>
      <c r="K258" t="s">
        <v>1108</v>
      </c>
      <c r="L258">
        <v>77.400000000000006</v>
      </c>
      <c r="Y258" t="s">
        <v>7</v>
      </c>
    </row>
    <row r="259" spans="1:26">
      <c r="B259" t="s">
        <v>3043</v>
      </c>
      <c r="C259" t="s">
        <v>1266</v>
      </c>
      <c r="D259" t="s">
        <v>1922</v>
      </c>
      <c r="E259" t="s">
        <v>2770</v>
      </c>
      <c r="F259" t="s">
        <v>2771</v>
      </c>
      <c r="G259">
        <v>35</v>
      </c>
      <c r="H259" t="s">
        <v>2976</v>
      </c>
      <c r="I259">
        <v>1</v>
      </c>
      <c r="K259" t="s">
        <v>1108</v>
      </c>
      <c r="L259">
        <v>71</v>
      </c>
      <c r="Y259" t="s">
        <v>7</v>
      </c>
    </row>
    <row r="260" spans="1:26">
      <c r="B260" t="s">
        <v>3043</v>
      </c>
      <c r="C260" t="s">
        <v>1266</v>
      </c>
      <c r="D260" t="s">
        <v>1914</v>
      </c>
      <c r="E260" t="s">
        <v>2647</v>
      </c>
      <c r="F260" t="s">
        <v>2648</v>
      </c>
      <c r="G260">
        <v>35</v>
      </c>
      <c r="H260" t="s">
        <v>2976</v>
      </c>
      <c r="I260">
        <v>1</v>
      </c>
      <c r="K260" t="s">
        <v>1108</v>
      </c>
      <c r="L260">
        <v>77.400000000000006</v>
      </c>
      <c r="Y260" t="s">
        <v>7</v>
      </c>
    </row>
    <row r="261" spans="1:26">
      <c r="B261" t="s">
        <v>3043</v>
      </c>
      <c r="C261" t="s">
        <v>1266</v>
      </c>
      <c r="D261" t="s">
        <v>1915</v>
      </c>
      <c r="E261" t="s">
        <v>2647</v>
      </c>
      <c r="F261" t="s">
        <v>2648</v>
      </c>
      <c r="G261">
        <v>35</v>
      </c>
      <c r="H261" t="s">
        <v>2976</v>
      </c>
      <c r="I261">
        <v>1</v>
      </c>
      <c r="K261" t="s">
        <v>1108</v>
      </c>
      <c r="L261">
        <v>71.5</v>
      </c>
      <c r="Y261" t="s">
        <v>7</v>
      </c>
    </row>
    <row r="262" spans="1:26">
      <c r="B262" t="s">
        <v>3043</v>
      </c>
      <c r="C262" t="s">
        <v>1266</v>
      </c>
      <c r="D262" t="s">
        <v>1918</v>
      </c>
      <c r="E262" t="s">
        <v>2647</v>
      </c>
      <c r="F262" t="s">
        <v>2648</v>
      </c>
      <c r="G262">
        <v>35</v>
      </c>
      <c r="H262" t="s">
        <v>2976</v>
      </c>
      <c r="I262">
        <v>1</v>
      </c>
      <c r="K262" t="s">
        <v>1108</v>
      </c>
      <c r="L262">
        <v>73.5</v>
      </c>
      <c r="Y262" t="s">
        <v>7</v>
      </c>
    </row>
    <row r="263" spans="1:26">
      <c r="B263" t="s">
        <v>3043</v>
      </c>
      <c r="C263" t="s">
        <v>1266</v>
      </c>
      <c r="D263" t="s">
        <v>1922</v>
      </c>
      <c r="E263" t="s">
        <v>2647</v>
      </c>
      <c r="F263" t="s">
        <v>2648</v>
      </c>
      <c r="G263">
        <v>35</v>
      </c>
      <c r="H263" t="s">
        <v>2976</v>
      </c>
      <c r="I263">
        <v>1</v>
      </c>
      <c r="K263" t="s">
        <v>1108</v>
      </c>
      <c r="L263">
        <v>68.099999999999994</v>
      </c>
      <c r="Y263" t="s">
        <v>7</v>
      </c>
    </row>
    <row r="264" spans="1:26">
      <c r="B264" t="s">
        <v>3043</v>
      </c>
      <c r="C264" t="s">
        <v>1266</v>
      </c>
      <c r="D264" t="s">
        <v>1914</v>
      </c>
      <c r="E264" t="s">
        <v>2818</v>
      </c>
      <c r="F264" t="s">
        <v>2816</v>
      </c>
      <c r="G264">
        <v>35</v>
      </c>
      <c r="H264" t="s">
        <v>2976</v>
      </c>
      <c r="I264">
        <v>1</v>
      </c>
      <c r="K264" t="s">
        <v>1108</v>
      </c>
      <c r="L264">
        <v>77.5</v>
      </c>
      <c r="Y264" t="s">
        <v>7</v>
      </c>
    </row>
    <row r="265" spans="1:26">
      <c r="B265" t="s">
        <v>3043</v>
      </c>
      <c r="C265" t="s">
        <v>1266</v>
      </c>
      <c r="D265" t="s">
        <v>1915</v>
      </c>
      <c r="E265" t="s">
        <v>2818</v>
      </c>
      <c r="F265" t="s">
        <v>2816</v>
      </c>
      <c r="G265">
        <v>35</v>
      </c>
      <c r="H265" t="s">
        <v>2976</v>
      </c>
      <c r="I265">
        <v>1</v>
      </c>
      <c r="K265" t="s">
        <v>1108</v>
      </c>
      <c r="L265">
        <v>75</v>
      </c>
      <c r="Y265" t="s">
        <v>7</v>
      </c>
    </row>
    <row r="266" spans="1:26">
      <c r="B266" t="s">
        <v>3043</v>
      </c>
      <c r="C266" t="s">
        <v>1266</v>
      </c>
      <c r="D266" t="s">
        <v>1918</v>
      </c>
      <c r="E266" t="s">
        <v>2818</v>
      </c>
      <c r="F266" t="s">
        <v>2816</v>
      </c>
      <c r="G266">
        <v>35</v>
      </c>
      <c r="H266" t="s">
        <v>2976</v>
      </c>
      <c r="I266">
        <v>1</v>
      </c>
      <c r="K266" t="s">
        <v>1108</v>
      </c>
      <c r="L266">
        <v>71.099999999999994</v>
      </c>
      <c r="Y266" t="s">
        <v>7</v>
      </c>
    </row>
    <row r="267" spans="1:26">
      <c r="B267" t="s">
        <v>3043</v>
      </c>
      <c r="C267" t="s">
        <v>1266</v>
      </c>
      <c r="D267" t="s">
        <v>1922</v>
      </c>
      <c r="E267" t="s">
        <v>2818</v>
      </c>
      <c r="F267" t="s">
        <v>2816</v>
      </c>
      <c r="G267">
        <v>35</v>
      </c>
      <c r="H267" t="s">
        <v>2976</v>
      </c>
      <c r="I267">
        <v>1</v>
      </c>
      <c r="K267" t="s">
        <v>1108</v>
      </c>
      <c r="L267">
        <v>69.5</v>
      </c>
      <c r="Y267" t="s">
        <v>7</v>
      </c>
    </row>
    <row r="268" spans="1:26">
      <c r="A268" t="s">
        <v>883</v>
      </c>
      <c r="B268" t="s">
        <v>3044</v>
      </c>
      <c r="C268" t="s">
        <v>1270</v>
      </c>
      <c r="D268" t="s">
        <v>1924</v>
      </c>
      <c r="E268" t="s">
        <v>2820</v>
      </c>
      <c r="F268" t="s">
        <v>2816</v>
      </c>
      <c r="G268">
        <v>150</v>
      </c>
      <c r="H268" t="s">
        <v>2976</v>
      </c>
      <c r="I268">
        <v>7.22</v>
      </c>
      <c r="K268" t="s">
        <v>1108</v>
      </c>
      <c r="M268">
        <v>7.37</v>
      </c>
      <c r="N268" t="s">
        <v>2976</v>
      </c>
      <c r="Q268">
        <v>9.4E-2</v>
      </c>
      <c r="R268" t="s">
        <v>3267</v>
      </c>
      <c r="W268">
        <v>0.98899999999999999</v>
      </c>
      <c r="X268" t="s">
        <v>3268</v>
      </c>
      <c r="Y268" t="s">
        <v>7</v>
      </c>
      <c r="Z268" t="s">
        <v>4</v>
      </c>
    </row>
    <row r="269" spans="1:26">
      <c r="B269" t="s">
        <v>3044</v>
      </c>
      <c r="C269" t="s">
        <v>1270</v>
      </c>
      <c r="D269" t="s">
        <v>1925</v>
      </c>
      <c r="E269" t="s">
        <v>2820</v>
      </c>
      <c r="F269" t="s">
        <v>2816</v>
      </c>
      <c r="G269">
        <v>150</v>
      </c>
      <c r="H269" t="s">
        <v>2976</v>
      </c>
      <c r="I269">
        <v>5.61</v>
      </c>
      <c r="K269" t="s">
        <v>1108</v>
      </c>
      <c r="M269">
        <v>7.35</v>
      </c>
      <c r="N269" t="s">
        <v>2976</v>
      </c>
      <c r="Q269">
        <v>9.4E-2</v>
      </c>
      <c r="R269" t="s">
        <v>3267</v>
      </c>
      <c r="W269">
        <v>0.97599999999999998</v>
      </c>
      <c r="X269" t="s">
        <v>3268</v>
      </c>
      <c r="Y269" t="s">
        <v>7</v>
      </c>
      <c r="Z269" t="s">
        <v>4</v>
      </c>
    </row>
    <row r="270" spans="1:26">
      <c r="B270" t="s">
        <v>3044</v>
      </c>
      <c r="C270" t="s">
        <v>1270</v>
      </c>
      <c r="D270" t="s">
        <v>1927</v>
      </c>
      <c r="E270" t="s">
        <v>2820</v>
      </c>
      <c r="F270" t="s">
        <v>2816</v>
      </c>
      <c r="G270">
        <v>150</v>
      </c>
      <c r="H270" t="s">
        <v>2976</v>
      </c>
      <c r="I270">
        <v>6.39</v>
      </c>
      <c r="K270" t="s">
        <v>1108</v>
      </c>
      <c r="M270">
        <v>7.7</v>
      </c>
      <c r="N270" t="s">
        <v>2976</v>
      </c>
      <c r="Q270">
        <v>0.09</v>
      </c>
      <c r="R270" t="s">
        <v>3267</v>
      </c>
      <c r="W270">
        <v>0.94799999999999995</v>
      </c>
      <c r="X270" t="s">
        <v>3268</v>
      </c>
      <c r="Y270" t="s">
        <v>7</v>
      </c>
      <c r="Z270" t="s">
        <v>4</v>
      </c>
    </row>
    <row r="271" spans="1:26">
      <c r="B271" t="s">
        <v>3044</v>
      </c>
      <c r="C271" t="s">
        <v>1270</v>
      </c>
      <c r="D271" t="s">
        <v>1928</v>
      </c>
      <c r="E271" t="s">
        <v>2820</v>
      </c>
      <c r="F271" t="s">
        <v>2816</v>
      </c>
      <c r="G271">
        <v>150</v>
      </c>
      <c r="H271" t="s">
        <v>2976</v>
      </c>
      <c r="I271">
        <v>6.91</v>
      </c>
      <c r="K271" t="s">
        <v>1108</v>
      </c>
      <c r="M271">
        <v>7.45</v>
      </c>
      <c r="N271" t="s">
        <v>2976</v>
      </c>
      <c r="Q271">
        <v>9.2999999999999999E-2</v>
      </c>
      <c r="R271" t="s">
        <v>3267</v>
      </c>
      <c r="W271">
        <v>0.95499999999999996</v>
      </c>
      <c r="X271" t="s">
        <v>3268</v>
      </c>
      <c r="Y271" t="s">
        <v>7</v>
      </c>
      <c r="Z271" t="s">
        <v>4</v>
      </c>
    </row>
    <row r="272" spans="1:26">
      <c r="B272" t="s">
        <v>3044</v>
      </c>
      <c r="C272" t="s">
        <v>1270</v>
      </c>
      <c r="D272" t="s">
        <v>1929</v>
      </c>
      <c r="E272" t="s">
        <v>2820</v>
      </c>
      <c r="F272" t="s">
        <v>2816</v>
      </c>
      <c r="G272">
        <v>150</v>
      </c>
      <c r="H272" t="s">
        <v>2976</v>
      </c>
      <c r="I272">
        <v>7.64</v>
      </c>
      <c r="K272" t="s">
        <v>1108</v>
      </c>
      <c r="M272">
        <v>6.72</v>
      </c>
      <c r="N272" t="s">
        <v>2976</v>
      </c>
      <c r="Q272">
        <v>0.10299999999999999</v>
      </c>
      <c r="R272" t="s">
        <v>3267</v>
      </c>
      <c r="W272">
        <v>0.94</v>
      </c>
      <c r="X272" t="s">
        <v>3268</v>
      </c>
      <c r="Y272" t="s">
        <v>7</v>
      </c>
      <c r="Z272" t="s">
        <v>4</v>
      </c>
    </row>
    <row r="273" spans="1:26">
      <c r="B273" t="s">
        <v>3044</v>
      </c>
      <c r="C273" t="s">
        <v>1270</v>
      </c>
      <c r="D273" t="s">
        <v>1930</v>
      </c>
      <c r="E273" t="s">
        <v>2820</v>
      </c>
      <c r="F273" t="s">
        <v>2816</v>
      </c>
      <c r="G273">
        <v>150</v>
      </c>
      <c r="H273" t="s">
        <v>2976</v>
      </c>
      <c r="I273">
        <v>11.55</v>
      </c>
      <c r="K273" t="s">
        <v>1108</v>
      </c>
      <c r="M273">
        <v>9.6199999999999992</v>
      </c>
      <c r="N273" t="s">
        <v>2976</v>
      </c>
      <c r="Q273">
        <v>7.1999999999999995E-2</v>
      </c>
      <c r="R273" t="s">
        <v>3267</v>
      </c>
      <c r="W273">
        <v>0.96199999999999997</v>
      </c>
      <c r="X273" t="s">
        <v>3268</v>
      </c>
      <c r="Y273" t="s">
        <v>7</v>
      </c>
      <c r="Z273" t="s">
        <v>4</v>
      </c>
    </row>
    <row r="274" spans="1:26">
      <c r="B274" t="s">
        <v>3044</v>
      </c>
      <c r="C274" t="s">
        <v>1270</v>
      </c>
      <c r="D274" t="s">
        <v>1931</v>
      </c>
      <c r="E274" t="s">
        <v>2820</v>
      </c>
      <c r="F274" t="s">
        <v>2816</v>
      </c>
      <c r="G274">
        <v>150</v>
      </c>
      <c r="H274" t="s">
        <v>2976</v>
      </c>
      <c r="I274">
        <v>10.89</v>
      </c>
      <c r="K274" t="s">
        <v>1108</v>
      </c>
      <c r="M274">
        <v>17.32</v>
      </c>
      <c r="N274" t="s">
        <v>2976</v>
      </c>
      <c r="Q274">
        <v>0.04</v>
      </c>
      <c r="R274" t="s">
        <v>3267</v>
      </c>
      <c r="W274">
        <v>0.94699999999999995</v>
      </c>
      <c r="X274" t="s">
        <v>3268</v>
      </c>
      <c r="Y274" t="s">
        <v>7</v>
      </c>
      <c r="Z274" t="s">
        <v>4</v>
      </c>
    </row>
    <row r="275" spans="1:26">
      <c r="B275" t="s">
        <v>3044</v>
      </c>
      <c r="C275" t="s">
        <v>1270</v>
      </c>
      <c r="D275" t="s">
        <v>1932</v>
      </c>
      <c r="E275" t="s">
        <v>2820</v>
      </c>
      <c r="F275" t="s">
        <v>2816</v>
      </c>
      <c r="G275">
        <v>150</v>
      </c>
      <c r="H275" t="s">
        <v>2976</v>
      </c>
      <c r="I275">
        <v>9.02</v>
      </c>
      <c r="K275" t="s">
        <v>1108</v>
      </c>
      <c r="M275">
        <v>3.14</v>
      </c>
      <c r="N275" t="s">
        <v>2976</v>
      </c>
      <c r="Q275">
        <v>0.22</v>
      </c>
      <c r="R275" t="s">
        <v>3267</v>
      </c>
      <c r="W275">
        <v>0.96599999999999997</v>
      </c>
      <c r="X275" t="s">
        <v>3268</v>
      </c>
      <c r="Y275" t="s">
        <v>7</v>
      </c>
      <c r="Z275" t="s">
        <v>4</v>
      </c>
    </row>
    <row r="276" spans="1:26">
      <c r="B276" t="s">
        <v>3044</v>
      </c>
      <c r="C276" t="s">
        <v>1270</v>
      </c>
      <c r="D276" t="s">
        <v>1934</v>
      </c>
      <c r="E276" t="s">
        <v>2820</v>
      </c>
      <c r="F276" t="s">
        <v>2816</v>
      </c>
      <c r="G276">
        <v>150</v>
      </c>
      <c r="H276" t="s">
        <v>2976</v>
      </c>
      <c r="I276">
        <v>8.4499999999999993</v>
      </c>
      <c r="K276" t="s">
        <v>1108</v>
      </c>
      <c r="M276">
        <v>4.4400000000000004</v>
      </c>
      <c r="N276" t="s">
        <v>2976</v>
      </c>
      <c r="Q276">
        <v>0.156</v>
      </c>
      <c r="R276" t="s">
        <v>3267</v>
      </c>
      <c r="W276">
        <v>0.99099999999999999</v>
      </c>
      <c r="X276" t="s">
        <v>3268</v>
      </c>
      <c r="Y276" t="s">
        <v>7</v>
      </c>
      <c r="Z276" t="s">
        <v>4</v>
      </c>
    </row>
    <row r="277" spans="1:26">
      <c r="B277" t="s">
        <v>3044</v>
      </c>
      <c r="C277" t="s">
        <v>1270</v>
      </c>
      <c r="D277" t="s">
        <v>1935</v>
      </c>
      <c r="E277" t="s">
        <v>2820</v>
      </c>
      <c r="F277" t="s">
        <v>2816</v>
      </c>
      <c r="G277">
        <v>150</v>
      </c>
      <c r="H277" t="s">
        <v>2976</v>
      </c>
      <c r="I277">
        <v>9.4</v>
      </c>
      <c r="K277" t="s">
        <v>1108</v>
      </c>
      <c r="M277">
        <v>3.46</v>
      </c>
      <c r="N277" t="s">
        <v>2976</v>
      </c>
      <c r="Q277">
        <v>0.19900000000000001</v>
      </c>
      <c r="R277" t="s">
        <v>3267</v>
      </c>
      <c r="W277">
        <v>0.99099999999999999</v>
      </c>
      <c r="X277" t="s">
        <v>3268</v>
      </c>
      <c r="Y277" t="s">
        <v>7</v>
      </c>
      <c r="Z277" t="s">
        <v>4</v>
      </c>
    </row>
    <row r="278" spans="1:26">
      <c r="B278" t="s">
        <v>3044</v>
      </c>
      <c r="C278" t="s">
        <v>1270</v>
      </c>
      <c r="D278" t="s">
        <v>1936</v>
      </c>
      <c r="E278" t="s">
        <v>2820</v>
      </c>
      <c r="F278" t="s">
        <v>2816</v>
      </c>
      <c r="G278">
        <v>150</v>
      </c>
      <c r="H278" t="s">
        <v>2976</v>
      </c>
      <c r="I278">
        <v>5.75</v>
      </c>
      <c r="K278" t="s">
        <v>1108</v>
      </c>
      <c r="M278">
        <v>5.17</v>
      </c>
      <c r="N278" t="s">
        <v>2976</v>
      </c>
      <c r="Q278">
        <v>0.13400000000000001</v>
      </c>
      <c r="R278" t="s">
        <v>3267</v>
      </c>
      <c r="W278">
        <v>0.98699999999999999</v>
      </c>
      <c r="X278" t="s">
        <v>3268</v>
      </c>
      <c r="Y278" t="s">
        <v>7</v>
      </c>
      <c r="Z278" t="s">
        <v>4</v>
      </c>
    </row>
    <row r="279" spans="1:26">
      <c r="B279" t="s">
        <v>3044</v>
      </c>
      <c r="C279" t="s">
        <v>1270</v>
      </c>
      <c r="D279" t="s">
        <v>1937</v>
      </c>
      <c r="E279" t="s">
        <v>2820</v>
      </c>
      <c r="F279" t="s">
        <v>2816</v>
      </c>
      <c r="G279">
        <v>150</v>
      </c>
      <c r="H279" t="s">
        <v>2976</v>
      </c>
      <c r="I279">
        <v>8.07</v>
      </c>
      <c r="K279" t="s">
        <v>1108</v>
      </c>
      <c r="M279">
        <v>5.0199999999999996</v>
      </c>
      <c r="N279" t="s">
        <v>2976</v>
      </c>
      <c r="Q279">
        <v>0.13800000000000001</v>
      </c>
      <c r="R279" t="s">
        <v>3267</v>
      </c>
      <c r="W279">
        <v>0.99099999999999999</v>
      </c>
      <c r="X279" t="s">
        <v>3268</v>
      </c>
      <c r="Y279" t="s">
        <v>7</v>
      </c>
      <c r="Z279" t="s">
        <v>4</v>
      </c>
    </row>
    <row r="280" spans="1:26">
      <c r="B280" t="s">
        <v>3044</v>
      </c>
      <c r="C280" t="s">
        <v>1270</v>
      </c>
      <c r="D280" t="s">
        <v>1938</v>
      </c>
      <c r="E280" t="s">
        <v>2820</v>
      </c>
      <c r="F280" t="s">
        <v>2816</v>
      </c>
      <c r="G280">
        <v>150</v>
      </c>
      <c r="H280" t="s">
        <v>2976</v>
      </c>
      <c r="I280">
        <v>8.6300000000000008</v>
      </c>
      <c r="K280" t="s">
        <v>1108</v>
      </c>
      <c r="M280">
        <v>6.08</v>
      </c>
      <c r="N280" t="s">
        <v>2976</v>
      </c>
      <c r="Q280">
        <v>0.114</v>
      </c>
      <c r="R280" t="s">
        <v>3267</v>
      </c>
      <c r="W280">
        <v>0.98299999999999998</v>
      </c>
      <c r="X280" t="s">
        <v>3268</v>
      </c>
      <c r="Y280" t="s">
        <v>7</v>
      </c>
      <c r="Z280" t="s">
        <v>4</v>
      </c>
    </row>
    <row r="281" spans="1:26">
      <c r="B281" t="s">
        <v>3044</v>
      </c>
      <c r="C281" t="s">
        <v>1270</v>
      </c>
      <c r="D281" t="s">
        <v>1939</v>
      </c>
      <c r="E281" t="s">
        <v>2820</v>
      </c>
      <c r="F281" t="s">
        <v>2816</v>
      </c>
      <c r="G281">
        <v>150</v>
      </c>
      <c r="H281" t="s">
        <v>2976</v>
      </c>
      <c r="I281">
        <v>5.22</v>
      </c>
      <c r="K281" t="s">
        <v>1108</v>
      </c>
      <c r="M281">
        <v>6.3</v>
      </c>
      <c r="N281" t="s">
        <v>2976</v>
      </c>
      <c r="Q281">
        <v>0.11</v>
      </c>
      <c r="R281" t="s">
        <v>3267</v>
      </c>
      <c r="W281">
        <v>0.97</v>
      </c>
      <c r="X281" t="s">
        <v>3268</v>
      </c>
      <c r="Y281" t="s">
        <v>7</v>
      </c>
      <c r="Z281" t="s">
        <v>4</v>
      </c>
    </row>
    <row r="282" spans="1:26">
      <c r="B282" t="s">
        <v>3044</v>
      </c>
      <c r="C282" t="s">
        <v>1270</v>
      </c>
      <c r="D282" t="s">
        <v>1941</v>
      </c>
      <c r="E282" t="s">
        <v>2820</v>
      </c>
      <c r="F282" t="s">
        <v>2816</v>
      </c>
      <c r="G282">
        <v>150</v>
      </c>
      <c r="H282" t="s">
        <v>2976</v>
      </c>
      <c r="I282">
        <v>6.85</v>
      </c>
      <c r="K282" t="s">
        <v>1108</v>
      </c>
      <c r="M282">
        <v>5.13</v>
      </c>
      <c r="N282" t="s">
        <v>2976</v>
      </c>
      <c r="Q282">
        <v>0.13500000000000001</v>
      </c>
      <c r="R282" t="s">
        <v>3267</v>
      </c>
      <c r="W282">
        <v>0.97199999999999998</v>
      </c>
      <c r="X282" t="s">
        <v>3268</v>
      </c>
      <c r="Y282" t="s">
        <v>7</v>
      </c>
      <c r="Z282" t="s">
        <v>4</v>
      </c>
    </row>
    <row r="283" spans="1:26">
      <c r="B283" t="s">
        <v>3044</v>
      </c>
      <c r="C283" t="s">
        <v>1270</v>
      </c>
      <c r="D283" t="s">
        <v>1942</v>
      </c>
      <c r="E283" t="s">
        <v>2820</v>
      </c>
      <c r="F283" t="s">
        <v>2816</v>
      </c>
      <c r="G283">
        <v>150</v>
      </c>
      <c r="H283" t="s">
        <v>2976</v>
      </c>
      <c r="I283">
        <v>8.18</v>
      </c>
      <c r="K283" t="s">
        <v>1108</v>
      </c>
      <c r="M283">
        <v>4.1500000000000004</v>
      </c>
      <c r="N283" t="s">
        <v>2976</v>
      </c>
      <c r="Q283">
        <v>0.157</v>
      </c>
      <c r="R283" t="s">
        <v>3267</v>
      </c>
      <c r="W283">
        <v>0.98599999999999999</v>
      </c>
      <c r="X283" t="s">
        <v>3268</v>
      </c>
      <c r="Y283" t="s">
        <v>7</v>
      </c>
      <c r="Z283" t="s">
        <v>4</v>
      </c>
    </row>
    <row r="284" spans="1:26">
      <c r="B284" t="s">
        <v>3044</v>
      </c>
      <c r="C284" t="s">
        <v>1270</v>
      </c>
      <c r="D284" t="s">
        <v>1943</v>
      </c>
      <c r="E284" t="s">
        <v>2820</v>
      </c>
      <c r="F284" t="s">
        <v>2816</v>
      </c>
      <c r="G284">
        <v>150</v>
      </c>
      <c r="H284" t="s">
        <v>2976</v>
      </c>
      <c r="I284">
        <v>6.41</v>
      </c>
      <c r="K284" t="s">
        <v>1108</v>
      </c>
      <c r="M284">
        <v>6.08</v>
      </c>
      <c r="N284" t="s">
        <v>2976</v>
      </c>
      <c r="Q284">
        <v>0.114</v>
      </c>
      <c r="R284" t="s">
        <v>3267</v>
      </c>
      <c r="W284">
        <v>0.96699999999999997</v>
      </c>
      <c r="X284" t="s">
        <v>3268</v>
      </c>
      <c r="Y284" t="s">
        <v>7</v>
      </c>
      <c r="Z284" t="s">
        <v>4</v>
      </c>
    </row>
    <row r="285" spans="1:26">
      <c r="B285" t="s">
        <v>3044</v>
      </c>
      <c r="C285" t="s">
        <v>1270</v>
      </c>
      <c r="D285" t="s">
        <v>1944</v>
      </c>
      <c r="E285" t="s">
        <v>2820</v>
      </c>
      <c r="F285" t="s">
        <v>2816</v>
      </c>
      <c r="G285">
        <v>150</v>
      </c>
      <c r="H285" t="s">
        <v>2976</v>
      </c>
      <c r="I285">
        <v>7.15</v>
      </c>
      <c r="K285" t="s">
        <v>1108</v>
      </c>
      <c r="M285">
        <v>6.86</v>
      </c>
      <c r="N285" t="s">
        <v>2976</v>
      </c>
      <c r="Q285">
        <v>0.10100000000000001</v>
      </c>
      <c r="R285" t="s">
        <v>3267</v>
      </c>
      <c r="W285">
        <v>0.96</v>
      </c>
      <c r="X285" t="s">
        <v>3268</v>
      </c>
      <c r="Y285" t="s">
        <v>7</v>
      </c>
      <c r="Z285" t="s">
        <v>4</v>
      </c>
    </row>
    <row r="286" spans="1:26">
      <c r="B286" t="s">
        <v>3044</v>
      </c>
      <c r="C286" t="s">
        <v>1270</v>
      </c>
      <c r="D286" t="s">
        <v>1945</v>
      </c>
      <c r="E286" t="s">
        <v>2820</v>
      </c>
      <c r="F286" t="s">
        <v>2816</v>
      </c>
      <c r="G286">
        <v>150</v>
      </c>
      <c r="H286" t="s">
        <v>2976</v>
      </c>
      <c r="I286">
        <v>6.04</v>
      </c>
      <c r="K286" t="s">
        <v>1108</v>
      </c>
      <c r="M286">
        <v>7.14</v>
      </c>
      <c r="N286" t="s">
        <v>2976</v>
      </c>
      <c r="Q286">
        <v>9.7000000000000003E-2</v>
      </c>
      <c r="R286" t="s">
        <v>3267</v>
      </c>
      <c r="W286">
        <v>0.98</v>
      </c>
      <c r="X286" t="s">
        <v>3268</v>
      </c>
      <c r="Y286" t="s">
        <v>7</v>
      </c>
      <c r="Z286" t="s">
        <v>4</v>
      </c>
    </row>
    <row r="287" spans="1:26">
      <c r="A287" t="s">
        <v>120</v>
      </c>
      <c r="B287" t="s">
        <v>3046</v>
      </c>
      <c r="C287" t="s">
        <v>1275</v>
      </c>
      <c r="D287" t="s">
        <v>1947</v>
      </c>
      <c r="E287" t="s">
        <v>2800</v>
      </c>
      <c r="F287" t="s">
        <v>2801</v>
      </c>
      <c r="G287">
        <v>135</v>
      </c>
      <c r="H287" t="s">
        <v>2976</v>
      </c>
      <c r="I287">
        <v>2</v>
      </c>
      <c r="K287" t="s">
        <v>1108</v>
      </c>
      <c r="M287">
        <v>59.1</v>
      </c>
      <c r="N287" t="s">
        <v>2976</v>
      </c>
      <c r="Q287" s="27">
        <f>LN(2)/M287</f>
        <v>1.1728378689677585E-2</v>
      </c>
      <c r="R287" t="s">
        <v>3267</v>
      </c>
      <c r="W287">
        <v>0.97</v>
      </c>
      <c r="X287" t="s">
        <v>3268</v>
      </c>
      <c r="Y287" t="s">
        <v>7</v>
      </c>
      <c r="Z287" t="s">
        <v>4</v>
      </c>
    </row>
    <row r="288" spans="1:26">
      <c r="B288" t="s">
        <v>3046</v>
      </c>
      <c r="C288" t="s">
        <v>1275</v>
      </c>
      <c r="D288" t="s">
        <v>1949</v>
      </c>
      <c r="E288" t="s">
        <v>2800</v>
      </c>
      <c r="F288" t="s">
        <v>2801</v>
      </c>
      <c r="G288">
        <v>135</v>
      </c>
      <c r="H288" t="s">
        <v>2976</v>
      </c>
      <c r="I288">
        <v>2</v>
      </c>
      <c r="K288" t="s">
        <v>1108</v>
      </c>
      <c r="M288">
        <v>29.4</v>
      </c>
      <c r="N288" t="s">
        <v>2976</v>
      </c>
      <c r="Q288" s="27">
        <f t="shared" ref="Q288:Q295" si="9">LN(2)/M288</f>
        <v>2.3576434712923311E-2</v>
      </c>
      <c r="R288" t="s">
        <v>3267</v>
      </c>
      <c r="W288">
        <v>0.96</v>
      </c>
      <c r="X288" t="s">
        <v>3268</v>
      </c>
      <c r="Y288" t="s">
        <v>7</v>
      </c>
      <c r="Z288" t="s">
        <v>4</v>
      </c>
    </row>
    <row r="289" spans="1:40">
      <c r="B289" t="s">
        <v>3046</v>
      </c>
      <c r="C289" t="s">
        <v>1275</v>
      </c>
      <c r="D289" t="s">
        <v>1947</v>
      </c>
      <c r="E289" t="s">
        <v>2800</v>
      </c>
      <c r="F289" t="s">
        <v>2801</v>
      </c>
      <c r="G289">
        <v>135</v>
      </c>
      <c r="H289" t="s">
        <v>2976</v>
      </c>
      <c r="I289">
        <v>10</v>
      </c>
      <c r="K289" t="s">
        <v>1108</v>
      </c>
      <c r="M289">
        <v>48.7</v>
      </c>
      <c r="N289" t="s">
        <v>2976</v>
      </c>
      <c r="Q289" s="27">
        <f t="shared" si="9"/>
        <v>1.4233001654208322E-2</v>
      </c>
      <c r="R289" t="s">
        <v>3267</v>
      </c>
      <c r="W289">
        <v>0.99</v>
      </c>
      <c r="X289" t="s">
        <v>3268</v>
      </c>
      <c r="Y289" t="s">
        <v>7</v>
      </c>
      <c r="Z289" t="s">
        <v>4</v>
      </c>
    </row>
    <row r="290" spans="1:40">
      <c r="B290" t="s">
        <v>3046</v>
      </c>
      <c r="C290" t="s">
        <v>1275</v>
      </c>
      <c r="D290" t="s">
        <v>1949</v>
      </c>
      <c r="E290" t="s">
        <v>2800</v>
      </c>
      <c r="F290" t="s">
        <v>2801</v>
      </c>
      <c r="G290">
        <v>135</v>
      </c>
      <c r="H290" t="s">
        <v>2976</v>
      </c>
      <c r="I290">
        <v>10</v>
      </c>
      <c r="K290" t="s">
        <v>1108</v>
      </c>
      <c r="M290">
        <v>42.1</v>
      </c>
      <c r="N290" t="s">
        <v>2976</v>
      </c>
      <c r="Q290" s="27">
        <f t="shared" si="9"/>
        <v>1.6464303576245731E-2</v>
      </c>
      <c r="R290" t="s">
        <v>3267</v>
      </c>
      <c r="W290">
        <v>0.98</v>
      </c>
      <c r="X290" t="s">
        <v>3268</v>
      </c>
      <c r="Y290" t="s">
        <v>7</v>
      </c>
      <c r="Z290" t="s">
        <v>4</v>
      </c>
    </row>
    <row r="291" spans="1:40">
      <c r="B291" t="s">
        <v>3046</v>
      </c>
      <c r="C291" t="s">
        <v>1275</v>
      </c>
      <c r="D291" t="s">
        <v>1947</v>
      </c>
      <c r="E291" t="s">
        <v>2800</v>
      </c>
      <c r="F291" t="s">
        <v>2801</v>
      </c>
      <c r="G291">
        <v>135</v>
      </c>
      <c r="H291" t="s">
        <v>2976</v>
      </c>
      <c r="I291">
        <v>50</v>
      </c>
      <c r="K291" t="s">
        <v>1108</v>
      </c>
      <c r="M291">
        <v>47.2</v>
      </c>
      <c r="N291" t="s">
        <v>2976</v>
      </c>
      <c r="Q291" s="27">
        <f t="shared" si="9"/>
        <v>1.4685321622032739E-2</v>
      </c>
      <c r="R291" t="s">
        <v>3267</v>
      </c>
      <c r="W291">
        <v>0.99</v>
      </c>
      <c r="X291" t="s">
        <v>3268</v>
      </c>
      <c r="Y291" t="s">
        <v>7</v>
      </c>
      <c r="Z291" t="s">
        <v>4</v>
      </c>
    </row>
    <row r="292" spans="1:40">
      <c r="B292" t="s">
        <v>3046</v>
      </c>
      <c r="C292" t="s">
        <v>1275</v>
      </c>
      <c r="D292" t="s">
        <v>1949</v>
      </c>
      <c r="E292" t="s">
        <v>2800</v>
      </c>
      <c r="F292" t="s">
        <v>2801</v>
      </c>
      <c r="G292">
        <v>135</v>
      </c>
      <c r="H292" t="s">
        <v>2976</v>
      </c>
      <c r="I292">
        <v>50</v>
      </c>
      <c r="K292" t="s">
        <v>1108</v>
      </c>
      <c r="M292">
        <v>46.6</v>
      </c>
      <c r="N292" t="s">
        <v>2976</v>
      </c>
      <c r="Q292" s="27">
        <f t="shared" si="9"/>
        <v>1.4874403016307838E-2</v>
      </c>
      <c r="R292" t="s">
        <v>3267</v>
      </c>
      <c r="W292">
        <v>0.97</v>
      </c>
      <c r="X292" t="s">
        <v>3268</v>
      </c>
      <c r="Y292" t="s">
        <v>7</v>
      </c>
      <c r="Z292" t="s">
        <v>4</v>
      </c>
    </row>
    <row r="293" spans="1:40">
      <c r="B293" t="s">
        <v>3046</v>
      </c>
      <c r="C293" t="s">
        <v>1275</v>
      </c>
      <c r="D293" t="s">
        <v>1946</v>
      </c>
      <c r="E293" t="s">
        <v>2800</v>
      </c>
      <c r="F293" t="s">
        <v>2801</v>
      </c>
      <c r="G293">
        <v>135</v>
      </c>
      <c r="H293" t="s">
        <v>2976</v>
      </c>
      <c r="I293">
        <v>2</v>
      </c>
      <c r="K293" t="s">
        <v>1108</v>
      </c>
      <c r="M293">
        <v>9.6999999999999993</v>
      </c>
      <c r="N293" t="s">
        <v>2976</v>
      </c>
      <c r="Q293" s="27">
        <f t="shared" si="9"/>
        <v>7.1458472222674776E-2</v>
      </c>
      <c r="R293" t="s">
        <v>3267</v>
      </c>
      <c r="W293">
        <v>0.93</v>
      </c>
      <c r="X293" t="s">
        <v>3268</v>
      </c>
      <c r="Y293" t="s">
        <v>7</v>
      </c>
      <c r="Z293" t="s">
        <v>4</v>
      </c>
    </row>
    <row r="294" spans="1:40">
      <c r="B294" t="s">
        <v>3046</v>
      </c>
      <c r="C294" t="s">
        <v>1275</v>
      </c>
      <c r="D294" t="s">
        <v>1946</v>
      </c>
      <c r="E294" t="s">
        <v>2800</v>
      </c>
      <c r="F294" t="s">
        <v>2801</v>
      </c>
      <c r="G294">
        <v>135</v>
      </c>
      <c r="H294" t="s">
        <v>2976</v>
      </c>
      <c r="I294">
        <v>10</v>
      </c>
      <c r="K294" t="s">
        <v>1108</v>
      </c>
      <c r="M294">
        <v>42.9</v>
      </c>
      <c r="N294" t="s">
        <v>2976</v>
      </c>
      <c r="Q294" s="27">
        <f t="shared" si="9"/>
        <v>1.6157276936129263E-2</v>
      </c>
      <c r="R294" t="s">
        <v>3267</v>
      </c>
      <c r="W294">
        <v>0.99</v>
      </c>
      <c r="X294" t="s">
        <v>3268</v>
      </c>
      <c r="Y294" t="s">
        <v>7</v>
      </c>
      <c r="Z294" t="s">
        <v>4</v>
      </c>
    </row>
    <row r="295" spans="1:40">
      <c r="B295" t="s">
        <v>3046</v>
      </c>
      <c r="C295" t="s">
        <v>1275</v>
      </c>
      <c r="D295" t="s">
        <v>1946</v>
      </c>
      <c r="E295" t="s">
        <v>2800</v>
      </c>
      <c r="F295" t="s">
        <v>2801</v>
      </c>
      <c r="G295">
        <v>135</v>
      </c>
      <c r="H295" t="s">
        <v>2976</v>
      </c>
      <c r="I295">
        <v>50</v>
      </c>
      <c r="K295" t="s">
        <v>1108</v>
      </c>
      <c r="M295">
        <v>43.2</v>
      </c>
      <c r="N295" t="s">
        <v>2976</v>
      </c>
      <c r="Q295" s="27">
        <f t="shared" si="9"/>
        <v>1.6045073624072807E-2</v>
      </c>
      <c r="R295" t="s">
        <v>3267</v>
      </c>
      <c r="W295">
        <v>0.99</v>
      </c>
      <c r="X295" t="s">
        <v>3268</v>
      </c>
      <c r="Y295" t="s">
        <v>7</v>
      </c>
      <c r="Z295" t="s">
        <v>4</v>
      </c>
    </row>
    <row r="296" spans="1:40">
      <c r="A296" t="s">
        <v>879</v>
      </c>
      <c r="B296" t="s">
        <v>3048</v>
      </c>
      <c r="C296" t="s">
        <v>1279</v>
      </c>
      <c r="D296" t="s">
        <v>1952</v>
      </c>
      <c r="E296" t="s">
        <v>2675</v>
      </c>
      <c r="F296" t="s">
        <v>2676</v>
      </c>
      <c r="G296">
        <v>273</v>
      </c>
      <c r="H296" t="s">
        <v>2976</v>
      </c>
      <c r="I296">
        <v>14</v>
      </c>
      <c r="K296" t="s">
        <v>1108</v>
      </c>
      <c r="M296">
        <v>38.6</v>
      </c>
      <c r="N296" t="s">
        <v>2976</v>
      </c>
      <c r="Q296">
        <v>1.7999999999999999E-2</v>
      </c>
      <c r="R296" t="s">
        <v>3267</v>
      </c>
      <c r="W296">
        <v>0.99</v>
      </c>
      <c r="X296" t="s">
        <v>3268</v>
      </c>
      <c r="Y296" t="s">
        <v>7</v>
      </c>
      <c r="Z296" t="s">
        <v>4</v>
      </c>
      <c r="AK296">
        <v>1.56</v>
      </c>
      <c r="AL296" t="s">
        <v>3274</v>
      </c>
      <c r="AN296" t="s">
        <v>3275</v>
      </c>
    </row>
    <row r="297" spans="1:40">
      <c r="B297" t="s">
        <v>3048</v>
      </c>
      <c r="C297" t="s">
        <v>1279</v>
      </c>
      <c r="D297" t="s">
        <v>1953</v>
      </c>
      <c r="E297" t="s">
        <v>2675</v>
      </c>
      <c r="F297" t="s">
        <v>2676</v>
      </c>
      <c r="G297">
        <v>273</v>
      </c>
      <c r="H297" t="s">
        <v>2976</v>
      </c>
      <c r="I297">
        <v>14</v>
      </c>
      <c r="K297" t="s">
        <v>1108</v>
      </c>
      <c r="M297">
        <v>51.3</v>
      </c>
      <c r="N297" t="s">
        <v>2976</v>
      </c>
      <c r="Q297">
        <v>1.2999999999999999E-2</v>
      </c>
      <c r="R297" t="s">
        <v>3267</v>
      </c>
      <c r="W297">
        <v>0.99</v>
      </c>
      <c r="X297" t="s">
        <v>3268</v>
      </c>
      <c r="Y297" t="s">
        <v>7</v>
      </c>
      <c r="Z297" t="s">
        <v>4</v>
      </c>
      <c r="AK297">
        <v>6.93</v>
      </c>
      <c r="AL297" t="s">
        <v>3274</v>
      </c>
      <c r="AN297" t="s">
        <v>3275</v>
      </c>
    </row>
    <row r="298" spans="1:40">
      <c r="B298" t="s">
        <v>3048</v>
      </c>
      <c r="C298" t="s">
        <v>1279</v>
      </c>
      <c r="D298" t="s">
        <v>1956</v>
      </c>
      <c r="E298" t="s">
        <v>2675</v>
      </c>
      <c r="F298" t="s">
        <v>2676</v>
      </c>
      <c r="G298">
        <v>273</v>
      </c>
      <c r="H298" t="s">
        <v>2976</v>
      </c>
      <c r="I298">
        <v>14</v>
      </c>
      <c r="K298" t="s">
        <v>1108</v>
      </c>
      <c r="M298">
        <v>67.599999999999994</v>
      </c>
      <c r="N298" t="s">
        <v>2976</v>
      </c>
      <c r="Q298">
        <v>0.01</v>
      </c>
      <c r="R298" t="s">
        <v>3267</v>
      </c>
      <c r="W298">
        <v>0.98</v>
      </c>
      <c r="X298" t="s">
        <v>3268</v>
      </c>
      <c r="Y298" t="s">
        <v>7</v>
      </c>
      <c r="Z298" t="s">
        <v>4</v>
      </c>
      <c r="AK298">
        <v>4.05</v>
      </c>
      <c r="AL298" t="s">
        <v>3274</v>
      </c>
      <c r="AN298" t="s">
        <v>3275</v>
      </c>
    </row>
    <row r="299" spans="1:40">
      <c r="B299" t="s">
        <v>3050</v>
      </c>
      <c r="C299" t="s">
        <v>1279</v>
      </c>
      <c r="D299" t="s">
        <v>1952</v>
      </c>
      <c r="E299" t="s">
        <v>2675</v>
      </c>
      <c r="F299" t="s">
        <v>2676</v>
      </c>
      <c r="G299">
        <v>273</v>
      </c>
      <c r="H299" t="s">
        <v>2976</v>
      </c>
      <c r="I299">
        <v>14</v>
      </c>
      <c r="K299" t="s">
        <v>1108</v>
      </c>
      <c r="M299">
        <v>16.8</v>
      </c>
      <c r="N299" t="s">
        <v>2976</v>
      </c>
      <c r="Q299">
        <v>4.1000000000000002E-2</v>
      </c>
      <c r="R299" t="s">
        <v>3267</v>
      </c>
      <c r="W299">
        <v>0.96</v>
      </c>
      <c r="X299" t="s">
        <v>3268</v>
      </c>
      <c r="Y299" t="s">
        <v>7</v>
      </c>
      <c r="Z299" t="s">
        <v>4</v>
      </c>
      <c r="AK299">
        <v>1.57</v>
      </c>
      <c r="AL299" t="s">
        <v>3274</v>
      </c>
      <c r="AN299" t="s">
        <v>3275</v>
      </c>
    </row>
    <row r="300" spans="1:40">
      <c r="B300" t="s">
        <v>3050</v>
      </c>
      <c r="C300" t="s">
        <v>1279</v>
      </c>
      <c r="D300" t="s">
        <v>1953</v>
      </c>
      <c r="E300" t="s">
        <v>2675</v>
      </c>
      <c r="F300" t="s">
        <v>2676</v>
      </c>
      <c r="G300">
        <v>273</v>
      </c>
      <c r="H300" t="s">
        <v>2976</v>
      </c>
      <c r="I300">
        <v>14</v>
      </c>
      <c r="K300" t="s">
        <v>1108</v>
      </c>
      <c r="M300">
        <v>27.3</v>
      </c>
      <c r="N300" t="s">
        <v>2976</v>
      </c>
      <c r="Q300">
        <v>2.5999999999999999E-2</v>
      </c>
      <c r="R300" t="s">
        <v>3267</v>
      </c>
      <c r="W300">
        <v>0.91</v>
      </c>
      <c r="X300" t="s">
        <v>3268</v>
      </c>
      <c r="Y300" t="s">
        <v>7</v>
      </c>
      <c r="Z300" t="s">
        <v>4</v>
      </c>
      <c r="AK300">
        <v>7.28</v>
      </c>
      <c r="AL300" t="s">
        <v>3274</v>
      </c>
      <c r="AN300" t="s">
        <v>3275</v>
      </c>
    </row>
    <row r="301" spans="1:40">
      <c r="B301" t="s">
        <v>3050</v>
      </c>
      <c r="C301" t="s">
        <v>1279</v>
      </c>
      <c r="D301" t="s">
        <v>1956</v>
      </c>
      <c r="E301" t="s">
        <v>2675</v>
      </c>
      <c r="F301" t="s">
        <v>2676</v>
      </c>
      <c r="G301">
        <v>273</v>
      </c>
      <c r="H301" t="s">
        <v>2976</v>
      </c>
      <c r="I301">
        <v>14</v>
      </c>
      <c r="K301" t="s">
        <v>1108</v>
      </c>
      <c r="M301">
        <v>23.9</v>
      </c>
      <c r="N301" t="s">
        <v>2976</v>
      </c>
      <c r="Q301">
        <v>2.9000000000000001E-2</v>
      </c>
      <c r="R301" t="s">
        <v>3267</v>
      </c>
      <c r="W301">
        <v>0.93</v>
      </c>
      <c r="X301" t="s">
        <v>3268</v>
      </c>
      <c r="Y301" t="s">
        <v>7</v>
      </c>
      <c r="Z301" t="s">
        <v>4</v>
      </c>
      <c r="AK301">
        <v>4.37</v>
      </c>
      <c r="AL301" t="s">
        <v>3274</v>
      </c>
      <c r="AN301" t="s">
        <v>3275</v>
      </c>
    </row>
    <row r="302" spans="1:40">
      <c r="B302" t="s">
        <v>3048</v>
      </c>
      <c r="C302" t="s">
        <v>1279</v>
      </c>
      <c r="D302" t="s">
        <v>1952</v>
      </c>
      <c r="E302" t="s">
        <v>2730</v>
      </c>
      <c r="F302" t="s">
        <v>2731</v>
      </c>
      <c r="G302">
        <v>273</v>
      </c>
      <c r="H302" t="s">
        <v>2976</v>
      </c>
      <c r="I302">
        <v>5.5</v>
      </c>
      <c r="K302" t="s">
        <v>1108</v>
      </c>
      <c r="M302">
        <v>49.3</v>
      </c>
      <c r="N302" t="s">
        <v>2976</v>
      </c>
      <c r="U302">
        <v>2.8</v>
      </c>
      <c r="V302">
        <v>49.3</v>
      </c>
      <c r="W302">
        <v>0.87</v>
      </c>
      <c r="X302" t="s">
        <v>3273</v>
      </c>
      <c r="Y302" t="s">
        <v>7</v>
      </c>
      <c r="Z302" t="s">
        <v>4</v>
      </c>
      <c r="AK302">
        <v>1.62</v>
      </c>
      <c r="AL302" t="s">
        <v>3274</v>
      </c>
      <c r="AN302" t="s">
        <v>3275</v>
      </c>
    </row>
    <row r="303" spans="1:40">
      <c r="B303" t="s">
        <v>3048</v>
      </c>
      <c r="C303" t="s">
        <v>1279</v>
      </c>
      <c r="D303" t="s">
        <v>1953</v>
      </c>
      <c r="E303" t="s">
        <v>2730</v>
      </c>
      <c r="F303" t="s">
        <v>2731</v>
      </c>
      <c r="G303">
        <v>273</v>
      </c>
      <c r="H303" t="s">
        <v>2976</v>
      </c>
      <c r="I303">
        <v>5.5</v>
      </c>
      <c r="K303" t="s">
        <v>1108</v>
      </c>
      <c r="M303">
        <v>93.9</v>
      </c>
      <c r="N303" t="s">
        <v>2976</v>
      </c>
      <c r="U303">
        <v>38.700000000000003</v>
      </c>
      <c r="V303">
        <v>93.9</v>
      </c>
      <c r="W303">
        <v>0.96</v>
      </c>
      <c r="X303" t="s">
        <v>3273</v>
      </c>
      <c r="Y303" t="s">
        <v>7</v>
      </c>
      <c r="Z303" t="s">
        <v>4</v>
      </c>
      <c r="AK303">
        <v>7.44</v>
      </c>
      <c r="AL303" t="s">
        <v>3274</v>
      </c>
      <c r="AN303" t="s">
        <v>3275</v>
      </c>
    </row>
    <row r="304" spans="1:40">
      <c r="B304" t="s">
        <v>3048</v>
      </c>
      <c r="C304" t="s">
        <v>1279</v>
      </c>
      <c r="D304" t="s">
        <v>1956</v>
      </c>
      <c r="E304" t="s">
        <v>2730</v>
      </c>
      <c r="F304" t="s">
        <v>2731</v>
      </c>
      <c r="G304">
        <v>273</v>
      </c>
      <c r="H304" t="s">
        <v>2976</v>
      </c>
      <c r="I304">
        <v>5.5</v>
      </c>
      <c r="K304" t="s">
        <v>1108</v>
      </c>
      <c r="M304">
        <v>91.7</v>
      </c>
      <c r="N304" t="s">
        <v>2976</v>
      </c>
      <c r="U304">
        <v>9.1</v>
      </c>
      <c r="V304">
        <v>91.7</v>
      </c>
      <c r="W304">
        <v>0.97</v>
      </c>
      <c r="X304" t="s">
        <v>3273</v>
      </c>
      <c r="Y304" t="s">
        <v>7</v>
      </c>
      <c r="Z304" t="s">
        <v>4</v>
      </c>
      <c r="AK304">
        <v>3.98</v>
      </c>
      <c r="AL304" t="s">
        <v>3274</v>
      </c>
      <c r="AN304" t="s">
        <v>3275</v>
      </c>
    </row>
    <row r="305" spans="1:42">
      <c r="B305" t="s">
        <v>3050</v>
      </c>
      <c r="C305" t="s">
        <v>1279</v>
      </c>
      <c r="D305" t="s">
        <v>1952</v>
      </c>
      <c r="E305" t="s">
        <v>2730</v>
      </c>
      <c r="F305" t="s">
        <v>2731</v>
      </c>
      <c r="G305">
        <v>273</v>
      </c>
      <c r="H305" t="s">
        <v>2976</v>
      </c>
      <c r="I305">
        <v>5.5</v>
      </c>
      <c r="K305" t="s">
        <v>1108</v>
      </c>
      <c r="M305">
        <v>21.2</v>
      </c>
      <c r="N305" t="s">
        <v>2976</v>
      </c>
      <c r="U305">
        <v>15.6</v>
      </c>
      <c r="V305">
        <v>21.2</v>
      </c>
      <c r="W305">
        <v>0.94</v>
      </c>
      <c r="X305" t="s">
        <v>3273</v>
      </c>
      <c r="Y305" t="s">
        <v>7</v>
      </c>
      <c r="Z305" t="s">
        <v>4</v>
      </c>
      <c r="AK305">
        <v>1.54</v>
      </c>
      <c r="AL305" t="s">
        <v>3274</v>
      </c>
      <c r="AN305" t="s">
        <v>3275</v>
      </c>
    </row>
    <row r="306" spans="1:42">
      <c r="B306" t="s">
        <v>3050</v>
      </c>
      <c r="C306" t="s">
        <v>1279</v>
      </c>
      <c r="D306" t="s">
        <v>1953</v>
      </c>
      <c r="E306" t="s">
        <v>2730</v>
      </c>
      <c r="F306" t="s">
        <v>2731</v>
      </c>
      <c r="G306">
        <v>273</v>
      </c>
      <c r="H306" t="s">
        <v>2976</v>
      </c>
      <c r="I306">
        <v>5.5</v>
      </c>
      <c r="K306" t="s">
        <v>1108</v>
      </c>
      <c r="M306">
        <v>40.200000000000003</v>
      </c>
      <c r="N306" t="s">
        <v>2976</v>
      </c>
      <c r="U306">
        <v>8.6</v>
      </c>
      <c r="V306">
        <v>40.200000000000003</v>
      </c>
      <c r="W306">
        <v>0.98</v>
      </c>
      <c r="X306" t="s">
        <v>3273</v>
      </c>
      <c r="Y306" t="s">
        <v>7</v>
      </c>
      <c r="Z306" t="s">
        <v>4</v>
      </c>
      <c r="AK306">
        <v>8.24</v>
      </c>
      <c r="AL306" t="s">
        <v>3274</v>
      </c>
      <c r="AN306" t="s">
        <v>3275</v>
      </c>
    </row>
    <row r="307" spans="1:42">
      <c r="B307" t="s">
        <v>3050</v>
      </c>
      <c r="C307" t="s">
        <v>1279</v>
      </c>
      <c r="D307" t="s">
        <v>1956</v>
      </c>
      <c r="E307" t="s">
        <v>2730</v>
      </c>
      <c r="F307" t="s">
        <v>2731</v>
      </c>
      <c r="G307">
        <v>273</v>
      </c>
      <c r="H307" t="s">
        <v>2976</v>
      </c>
      <c r="I307">
        <v>5.5</v>
      </c>
      <c r="K307" t="s">
        <v>1108</v>
      </c>
      <c r="M307">
        <v>36.1</v>
      </c>
      <c r="N307" t="s">
        <v>2976</v>
      </c>
      <c r="U307">
        <v>49.9</v>
      </c>
      <c r="V307">
        <v>36.1</v>
      </c>
      <c r="W307">
        <v>0.99</v>
      </c>
      <c r="X307" t="s">
        <v>3273</v>
      </c>
      <c r="Y307" t="s">
        <v>7</v>
      </c>
      <c r="Z307" t="s">
        <v>4</v>
      </c>
      <c r="AK307">
        <v>4.3600000000000003</v>
      </c>
      <c r="AL307" t="s">
        <v>3274</v>
      </c>
      <c r="AN307" t="s">
        <v>3275</v>
      </c>
    </row>
    <row r="308" spans="1:42">
      <c r="A308" t="s">
        <v>874</v>
      </c>
      <c r="B308" t="s">
        <v>3052</v>
      </c>
      <c r="C308" t="s">
        <v>1282</v>
      </c>
      <c r="D308" t="s">
        <v>1958</v>
      </c>
      <c r="E308" t="s">
        <v>2565</v>
      </c>
      <c r="F308" t="s">
        <v>2562</v>
      </c>
      <c r="G308">
        <v>77</v>
      </c>
      <c r="H308" t="s">
        <v>2976</v>
      </c>
      <c r="I308">
        <v>50</v>
      </c>
      <c r="K308" t="s">
        <v>1108</v>
      </c>
      <c r="Y308" t="s">
        <v>7</v>
      </c>
      <c r="Z308" t="s">
        <v>12</v>
      </c>
      <c r="AD308">
        <v>4.0999999999999996</v>
      </c>
      <c r="AP308" t="s">
        <v>3280</v>
      </c>
    </row>
    <row r="309" spans="1:42">
      <c r="B309" t="s">
        <v>3052</v>
      </c>
      <c r="C309" t="s">
        <v>1282</v>
      </c>
      <c r="D309" t="s">
        <v>1959</v>
      </c>
      <c r="E309" t="s">
        <v>2565</v>
      </c>
      <c r="F309" t="s">
        <v>2562</v>
      </c>
      <c r="G309">
        <v>77</v>
      </c>
      <c r="H309" t="s">
        <v>2976</v>
      </c>
      <c r="I309">
        <v>50</v>
      </c>
      <c r="K309" t="s">
        <v>1108</v>
      </c>
      <c r="Y309" t="s">
        <v>7</v>
      </c>
      <c r="Z309" t="s">
        <v>12</v>
      </c>
      <c r="AD309">
        <v>27</v>
      </c>
      <c r="AP309" t="s">
        <v>3280</v>
      </c>
    </row>
    <row r="310" spans="1:42">
      <c r="A310" t="s">
        <v>124</v>
      </c>
      <c r="B310" t="s">
        <v>3054</v>
      </c>
      <c r="C310" t="s">
        <v>1286</v>
      </c>
      <c r="D310" t="s">
        <v>1963</v>
      </c>
      <c r="E310" t="s">
        <v>2587</v>
      </c>
      <c r="F310" t="s">
        <v>2585</v>
      </c>
      <c r="G310">
        <v>10</v>
      </c>
      <c r="H310" t="s">
        <v>2976</v>
      </c>
      <c r="I310">
        <v>2.7</v>
      </c>
      <c r="J310">
        <v>1.8872550642063901</v>
      </c>
      <c r="K310" t="s">
        <v>1108</v>
      </c>
      <c r="Y310" t="s">
        <v>7</v>
      </c>
      <c r="Z310" t="s">
        <v>12</v>
      </c>
    </row>
    <row r="311" spans="1:42">
      <c r="B311" t="s">
        <v>3054</v>
      </c>
      <c r="C311" t="s">
        <v>1286</v>
      </c>
      <c r="D311" t="s">
        <v>1965</v>
      </c>
      <c r="E311" t="s">
        <v>2587</v>
      </c>
      <c r="F311" t="s">
        <v>2585</v>
      </c>
      <c r="G311">
        <v>10</v>
      </c>
      <c r="H311" t="s">
        <v>2976</v>
      </c>
      <c r="I311">
        <v>2.7</v>
      </c>
      <c r="J311">
        <v>0.67401990621006802</v>
      </c>
      <c r="K311" t="s">
        <v>1108</v>
      </c>
      <c r="Y311" t="s">
        <v>7</v>
      </c>
      <c r="Z311" t="s">
        <v>12</v>
      </c>
    </row>
    <row r="312" spans="1:42">
      <c r="B312" t="s">
        <v>3054</v>
      </c>
      <c r="C312" t="s">
        <v>1286</v>
      </c>
      <c r="D312" t="s">
        <v>1963</v>
      </c>
      <c r="E312" t="s">
        <v>2641</v>
      </c>
      <c r="F312" t="s">
        <v>2642</v>
      </c>
      <c r="G312">
        <v>10</v>
      </c>
      <c r="H312" t="s">
        <v>2976</v>
      </c>
      <c r="I312">
        <v>10.8</v>
      </c>
      <c r="J312">
        <v>9.2263159137419102</v>
      </c>
      <c r="K312" t="s">
        <v>1108</v>
      </c>
      <c r="Y312" t="s">
        <v>7</v>
      </c>
      <c r="Z312" t="s">
        <v>12</v>
      </c>
    </row>
    <row r="313" spans="1:42">
      <c r="B313" t="s">
        <v>3054</v>
      </c>
      <c r="C313" t="s">
        <v>1286</v>
      </c>
      <c r="D313" t="s">
        <v>1965</v>
      </c>
      <c r="E313" t="s">
        <v>2641</v>
      </c>
      <c r="F313" t="s">
        <v>2642</v>
      </c>
      <c r="G313">
        <v>10</v>
      </c>
      <c r="H313" t="s">
        <v>2976</v>
      </c>
      <c r="I313">
        <v>10.8</v>
      </c>
      <c r="J313">
        <v>4.91579029030403</v>
      </c>
      <c r="K313" t="s">
        <v>1108</v>
      </c>
      <c r="Y313" t="s">
        <v>7</v>
      </c>
      <c r="Z313" t="s">
        <v>12</v>
      </c>
    </row>
    <row r="314" spans="1:42">
      <c r="B314" t="s">
        <v>3054</v>
      </c>
      <c r="C314" t="s">
        <v>1286</v>
      </c>
      <c r="D314" t="s">
        <v>1963</v>
      </c>
      <c r="E314" t="s">
        <v>2853</v>
      </c>
      <c r="F314" t="s">
        <v>2854</v>
      </c>
      <c r="G314">
        <v>10</v>
      </c>
      <c r="H314" t="s">
        <v>2976</v>
      </c>
      <c r="I314">
        <v>12.9</v>
      </c>
      <c r="J314">
        <v>10.9729738824814</v>
      </c>
      <c r="K314" t="s">
        <v>1108</v>
      </c>
      <c r="Y314" t="s">
        <v>7</v>
      </c>
      <c r="Z314" t="s">
        <v>12</v>
      </c>
    </row>
    <row r="315" spans="1:42">
      <c r="B315" t="s">
        <v>3054</v>
      </c>
      <c r="C315" t="s">
        <v>1286</v>
      </c>
      <c r="D315" t="s">
        <v>1965</v>
      </c>
      <c r="E315" t="s">
        <v>2853</v>
      </c>
      <c r="F315" t="s">
        <v>2854</v>
      </c>
      <c r="G315">
        <v>10</v>
      </c>
      <c r="H315" t="s">
        <v>2976</v>
      </c>
      <c r="I315">
        <v>12.9</v>
      </c>
      <c r="J315">
        <v>3.5675682630740302</v>
      </c>
      <c r="K315" t="s">
        <v>1108</v>
      </c>
      <c r="Y315" t="s">
        <v>7</v>
      </c>
      <c r="Z315" t="s">
        <v>12</v>
      </c>
    </row>
    <row r="316" spans="1:42">
      <c r="B316" t="s">
        <v>3054</v>
      </c>
      <c r="C316" t="s">
        <v>1286</v>
      </c>
      <c r="D316" t="s">
        <v>1963</v>
      </c>
      <c r="E316" t="s">
        <v>2850</v>
      </c>
      <c r="F316" t="s">
        <v>2851</v>
      </c>
      <c r="G316">
        <v>10</v>
      </c>
      <c r="H316" t="s">
        <v>2976</v>
      </c>
      <c r="I316">
        <v>2</v>
      </c>
      <c r="J316">
        <v>2.0760734769737801</v>
      </c>
      <c r="K316" t="s">
        <v>1108</v>
      </c>
      <c r="Y316" t="s">
        <v>7</v>
      </c>
      <c r="Z316" t="s">
        <v>12</v>
      </c>
    </row>
    <row r="317" spans="1:42">
      <c r="B317" t="s">
        <v>3054</v>
      </c>
      <c r="C317" t="s">
        <v>1286</v>
      </c>
      <c r="D317" t="s">
        <v>1965</v>
      </c>
      <c r="E317" t="s">
        <v>2850</v>
      </c>
      <c r="F317" t="s">
        <v>2851</v>
      </c>
      <c r="G317">
        <v>10</v>
      </c>
      <c r="H317" t="s">
        <v>2976</v>
      </c>
      <c r="I317">
        <v>2</v>
      </c>
      <c r="J317">
        <v>1.3987730247425501</v>
      </c>
      <c r="K317" t="s">
        <v>1108</v>
      </c>
      <c r="Y317" t="s">
        <v>7</v>
      </c>
      <c r="Z317" t="s">
        <v>12</v>
      </c>
    </row>
    <row r="318" spans="1:42">
      <c r="B318" t="s">
        <v>3054</v>
      </c>
      <c r="C318" t="s">
        <v>1286</v>
      </c>
      <c r="D318" t="s">
        <v>1963</v>
      </c>
      <c r="E318" t="s">
        <v>2830</v>
      </c>
      <c r="F318" t="s">
        <v>2831</v>
      </c>
      <c r="G318">
        <v>10</v>
      </c>
      <c r="H318" t="s">
        <v>2976</v>
      </c>
      <c r="I318">
        <v>3.1</v>
      </c>
      <c r="J318">
        <v>2.3090914639559599</v>
      </c>
      <c r="K318" t="s">
        <v>1108</v>
      </c>
      <c r="Y318" t="s">
        <v>7</v>
      </c>
      <c r="Z318" t="s">
        <v>12</v>
      </c>
    </row>
    <row r="319" spans="1:42">
      <c r="B319" t="s">
        <v>3054</v>
      </c>
      <c r="C319" t="s">
        <v>1286</v>
      </c>
      <c r="D319" t="s">
        <v>1965</v>
      </c>
      <c r="E319" t="s">
        <v>2830</v>
      </c>
      <c r="F319" t="s">
        <v>2831</v>
      </c>
      <c r="G319">
        <v>10</v>
      </c>
      <c r="H319" t="s">
        <v>2976</v>
      </c>
      <c r="I319">
        <v>3.1</v>
      </c>
      <c r="J319">
        <v>0.30909035422585202</v>
      </c>
      <c r="K319" t="s">
        <v>1108</v>
      </c>
      <c r="Y319" t="s">
        <v>7</v>
      </c>
      <c r="Z319" t="s">
        <v>12</v>
      </c>
    </row>
    <row r="320" spans="1:42">
      <c r="B320" t="s">
        <v>3054</v>
      </c>
      <c r="C320" t="s">
        <v>1286</v>
      </c>
      <c r="D320" t="s">
        <v>1963</v>
      </c>
      <c r="E320" t="s">
        <v>2847</v>
      </c>
      <c r="F320" t="s">
        <v>2848</v>
      </c>
      <c r="G320">
        <v>10</v>
      </c>
      <c r="H320" t="s">
        <v>2976</v>
      </c>
      <c r="I320">
        <v>2.6</v>
      </c>
      <c r="J320">
        <v>2.0760734769737801</v>
      </c>
      <c r="K320" t="s">
        <v>1108</v>
      </c>
      <c r="Y320" t="s">
        <v>7</v>
      </c>
      <c r="Z320" t="s">
        <v>12</v>
      </c>
    </row>
    <row r="321" spans="1:42">
      <c r="B321" t="s">
        <v>3054</v>
      </c>
      <c r="C321" t="s">
        <v>1286</v>
      </c>
      <c r="D321" t="s">
        <v>1965</v>
      </c>
      <c r="E321" t="s">
        <v>2847</v>
      </c>
      <c r="F321" t="s">
        <v>2848</v>
      </c>
      <c r="G321">
        <v>10</v>
      </c>
      <c r="H321" t="s">
        <v>2976</v>
      </c>
      <c r="I321">
        <v>2.6</v>
      </c>
      <c r="J321">
        <v>1.3987730247425501</v>
      </c>
      <c r="K321" t="s">
        <v>1108</v>
      </c>
      <c r="Y321" t="s">
        <v>7</v>
      </c>
      <c r="Z321" t="s">
        <v>12</v>
      </c>
    </row>
    <row r="322" spans="1:42">
      <c r="A322" t="s">
        <v>856</v>
      </c>
      <c r="B322" t="s">
        <v>3055</v>
      </c>
      <c r="C322" t="s">
        <v>1293</v>
      </c>
      <c r="D322" t="s">
        <v>1968</v>
      </c>
      <c r="E322" t="s">
        <v>2803</v>
      </c>
      <c r="F322" t="s">
        <v>2804</v>
      </c>
      <c r="G322">
        <v>35</v>
      </c>
      <c r="H322" t="s">
        <v>2976</v>
      </c>
      <c r="I322">
        <v>15</v>
      </c>
      <c r="K322" t="s">
        <v>1108</v>
      </c>
      <c r="M322">
        <v>66</v>
      </c>
      <c r="N322" t="s">
        <v>2976</v>
      </c>
      <c r="Q322">
        <f t="shared" ref="Q322:Q329" si="10">LN(2)/M322</f>
        <v>1.050223000848402E-2</v>
      </c>
      <c r="R322" t="s">
        <v>3267</v>
      </c>
      <c r="W322">
        <v>0.98</v>
      </c>
      <c r="X322" t="s">
        <v>3268</v>
      </c>
      <c r="Y322" t="s">
        <v>7</v>
      </c>
      <c r="Z322" t="s">
        <v>4</v>
      </c>
      <c r="AK322">
        <v>0.26</v>
      </c>
      <c r="AL322" t="s">
        <v>3281</v>
      </c>
      <c r="AM322">
        <v>1.25</v>
      </c>
      <c r="AN322" t="s">
        <v>3270</v>
      </c>
      <c r="AO322">
        <v>0.99</v>
      </c>
    </row>
    <row r="323" spans="1:42">
      <c r="B323" t="s">
        <v>3055</v>
      </c>
      <c r="C323" t="s">
        <v>1293</v>
      </c>
      <c r="D323" t="s">
        <v>1969</v>
      </c>
      <c r="E323" t="s">
        <v>2803</v>
      </c>
      <c r="F323" t="s">
        <v>2804</v>
      </c>
      <c r="G323">
        <v>35</v>
      </c>
      <c r="H323" t="s">
        <v>2976</v>
      </c>
      <c r="I323">
        <v>15</v>
      </c>
      <c r="K323" t="s">
        <v>1108</v>
      </c>
      <c r="M323">
        <v>110</v>
      </c>
      <c r="N323" t="s">
        <v>2976</v>
      </c>
      <c r="Q323">
        <f t="shared" si="10"/>
        <v>6.3013380050904117E-3</v>
      </c>
      <c r="R323" t="s">
        <v>3267</v>
      </c>
      <c r="W323">
        <v>0.74</v>
      </c>
      <c r="X323" t="s">
        <v>3268</v>
      </c>
      <c r="Y323" t="s">
        <v>7</v>
      </c>
      <c r="Z323" t="s">
        <v>4</v>
      </c>
      <c r="AK323">
        <v>1.61</v>
      </c>
      <c r="AL323" t="s">
        <v>3281</v>
      </c>
      <c r="AM323">
        <v>0.97</v>
      </c>
      <c r="AN323" t="s">
        <v>3270</v>
      </c>
      <c r="AO323">
        <v>0.99099999999999999</v>
      </c>
    </row>
    <row r="324" spans="1:42">
      <c r="B324" t="s">
        <v>3055</v>
      </c>
      <c r="C324" t="s">
        <v>1293</v>
      </c>
      <c r="D324" t="s">
        <v>1973</v>
      </c>
      <c r="E324" t="s">
        <v>2803</v>
      </c>
      <c r="F324" t="s">
        <v>2804</v>
      </c>
      <c r="G324">
        <v>35</v>
      </c>
      <c r="H324" t="s">
        <v>2976</v>
      </c>
      <c r="I324">
        <v>15</v>
      </c>
      <c r="K324" t="s">
        <v>1108</v>
      </c>
      <c r="M324">
        <v>231</v>
      </c>
      <c r="N324" t="s">
        <v>2976</v>
      </c>
      <c r="Q324">
        <f t="shared" si="10"/>
        <v>3.0006371452811482E-3</v>
      </c>
      <c r="R324" t="s">
        <v>3267</v>
      </c>
      <c r="W324">
        <v>0.74</v>
      </c>
      <c r="X324" t="s">
        <v>3268</v>
      </c>
      <c r="Y324" t="s">
        <v>7</v>
      </c>
      <c r="Z324" t="s">
        <v>4</v>
      </c>
      <c r="AK324">
        <v>0.3</v>
      </c>
      <c r="AL324" t="s">
        <v>3281</v>
      </c>
      <c r="AM324">
        <v>1.1599999999999999</v>
      </c>
      <c r="AN324" t="s">
        <v>3270</v>
      </c>
      <c r="AO324">
        <v>0.98899999999999999</v>
      </c>
    </row>
    <row r="325" spans="1:42">
      <c r="B325" t="s">
        <v>3055</v>
      </c>
      <c r="C325" t="s">
        <v>1293</v>
      </c>
      <c r="D325" t="s">
        <v>1976</v>
      </c>
      <c r="E325" t="s">
        <v>2803</v>
      </c>
      <c r="F325" t="s">
        <v>2804</v>
      </c>
      <c r="G325">
        <v>35</v>
      </c>
      <c r="H325" t="s">
        <v>2976</v>
      </c>
      <c r="I325">
        <v>5</v>
      </c>
      <c r="K325" t="s">
        <v>1108</v>
      </c>
      <c r="M325">
        <v>88</v>
      </c>
      <c r="N325" t="s">
        <v>2976</v>
      </c>
      <c r="Q325">
        <f t="shared" si="10"/>
        <v>7.8766725063630152E-3</v>
      </c>
      <c r="R325" t="s">
        <v>3267</v>
      </c>
      <c r="W325">
        <v>0.87</v>
      </c>
      <c r="X325" t="s">
        <v>3268</v>
      </c>
      <c r="Y325" t="s">
        <v>7</v>
      </c>
      <c r="Z325" t="s">
        <v>4</v>
      </c>
      <c r="AK325">
        <v>1.1200000000000001</v>
      </c>
      <c r="AL325" t="s">
        <v>3281</v>
      </c>
      <c r="AM325">
        <v>1.02</v>
      </c>
      <c r="AN325" t="s">
        <v>3270</v>
      </c>
      <c r="AO325">
        <v>0.98399999999999999</v>
      </c>
    </row>
    <row r="326" spans="1:42">
      <c r="B326" t="s">
        <v>3055</v>
      </c>
      <c r="C326" t="s">
        <v>1293</v>
      </c>
      <c r="D326" t="s">
        <v>1968</v>
      </c>
      <c r="E326" t="s">
        <v>2943</v>
      </c>
      <c r="F326" t="s">
        <v>2944</v>
      </c>
      <c r="G326">
        <v>35</v>
      </c>
      <c r="H326" t="s">
        <v>2976</v>
      </c>
      <c r="I326">
        <v>5</v>
      </c>
      <c r="K326" t="s">
        <v>1108</v>
      </c>
      <c r="M326">
        <v>97</v>
      </c>
      <c r="N326" t="s">
        <v>2976</v>
      </c>
      <c r="Q326">
        <f t="shared" si="10"/>
        <v>7.1458472222674773E-3</v>
      </c>
      <c r="R326" t="s">
        <v>3267</v>
      </c>
      <c r="W326">
        <v>0.91</v>
      </c>
      <c r="X326" t="s">
        <v>3268</v>
      </c>
      <c r="Y326" t="s">
        <v>7</v>
      </c>
      <c r="Z326" t="s">
        <v>4</v>
      </c>
      <c r="AK326">
        <v>3.6</v>
      </c>
      <c r="AL326" t="s">
        <v>3281</v>
      </c>
      <c r="AM326">
        <v>0.98</v>
      </c>
      <c r="AN326" t="s">
        <v>3270</v>
      </c>
      <c r="AO326">
        <v>0.96799999999999997</v>
      </c>
    </row>
    <row r="327" spans="1:42">
      <c r="B327" t="s">
        <v>3055</v>
      </c>
      <c r="C327" t="s">
        <v>1293</v>
      </c>
      <c r="D327" t="s">
        <v>1969</v>
      </c>
      <c r="E327" t="s">
        <v>2943</v>
      </c>
      <c r="F327" t="s">
        <v>2944</v>
      </c>
      <c r="G327">
        <v>35</v>
      </c>
      <c r="H327" t="s">
        <v>2976</v>
      </c>
      <c r="I327">
        <v>5</v>
      </c>
      <c r="K327" t="s">
        <v>1108</v>
      </c>
      <c r="M327">
        <v>135</v>
      </c>
      <c r="N327" t="s">
        <v>2976</v>
      </c>
      <c r="Q327">
        <f t="shared" si="10"/>
        <v>5.1344235597032984E-3</v>
      </c>
      <c r="R327" t="s">
        <v>3267</v>
      </c>
      <c r="W327">
        <v>0.79</v>
      </c>
      <c r="X327" t="s">
        <v>3268</v>
      </c>
      <c r="Y327" t="s">
        <v>7</v>
      </c>
      <c r="Z327" t="s">
        <v>4</v>
      </c>
      <c r="AK327">
        <v>18.3</v>
      </c>
      <c r="AL327" t="s">
        <v>3281</v>
      </c>
      <c r="AM327">
        <v>0.75</v>
      </c>
      <c r="AN327" t="s">
        <v>3270</v>
      </c>
      <c r="AO327">
        <v>0.99</v>
      </c>
    </row>
    <row r="328" spans="1:42">
      <c r="B328" t="s">
        <v>3055</v>
      </c>
      <c r="C328" t="s">
        <v>1293</v>
      </c>
      <c r="D328" t="s">
        <v>1973</v>
      </c>
      <c r="E328" t="s">
        <v>2943</v>
      </c>
      <c r="F328" t="s">
        <v>2944</v>
      </c>
      <c r="G328">
        <v>35</v>
      </c>
      <c r="H328" t="s">
        <v>2976</v>
      </c>
      <c r="I328">
        <v>5</v>
      </c>
      <c r="K328" t="s">
        <v>1108</v>
      </c>
      <c r="M328">
        <v>550</v>
      </c>
      <c r="N328" t="s">
        <v>2976</v>
      </c>
      <c r="Q328">
        <f t="shared" si="10"/>
        <v>1.2602676010180823E-3</v>
      </c>
      <c r="R328" t="s">
        <v>3267</v>
      </c>
      <c r="W328">
        <v>0.34</v>
      </c>
      <c r="X328" t="s">
        <v>3268</v>
      </c>
      <c r="Y328" t="s">
        <v>7</v>
      </c>
      <c r="Z328" t="s">
        <v>4</v>
      </c>
      <c r="AK328">
        <v>3.3</v>
      </c>
      <c r="AL328" t="s">
        <v>3281</v>
      </c>
      <c r="AM328">
        <v>1.1200000000000001</v>
      </c>
      <c r="AN328" t="s">
        <v>3270</v>
      </c>
      <c r="AO328">
        <v>0.98799999999999999</v>
      </c>
    </row>
    <row r="329" spans="1:42">
      <c r="B329" t="s">
        <v>3055</v>
      </c>
      <c r="C329" t="s">
        <v>1293</v>
      </c>
      <c r="D329" t="s">
        <v>1976</v>
      </c>
      <c r="E329" t="s">
        <v>2943</v>
      </c>
      <c r="F329" t="s">
        <v>2944</v>
      </c>
      <c r="G329">
        <v>35</v>
      </c>
      <c r="H329" t="s">
        <v>2976</v>
      </c>
      <c r="I329">
        <v>5</v>
      </c>
      <c r="K329" t="s">
        <v>1108</v>
      </c>
      <c r="M329">
        <v>913</v>
      </c>
      <c r="N329" t="s">
        <v>2976</v>
      </c>
      <c r="Q329">
        <f t="shared" si="10"/>
        <v>7.5919735001089297E-4</v>
      </c>
      <c r="R329" t="s">
        <v>3267</v>
      </c>
      <c r="W329">
        <v>0.08</v>
      </c>
      <c r="X329" t="s">
        <v>3268</v>
      </c>
      <c r="Y329" t="s">
        <v>7</v>
      </c>
      <c r="Z329" t="s">
        <v>4</v>
      </c>
      <c r="AK329">
        <v>11.2</v>
      </c>
      <c r="AL329" t="s">
        <v>3281</v>
      </c>
      <c r="AM329">
        <v>0.9</v>
      </c>
      <c r="AN329" t="s">
        <v>3270</v>
      </c>
      <c r="AO329">
        <v>0.99399999999999999</v>
      </c>
    </row>
    <row r="330" spans="1:42">
      <c r="A330" t="s">
        <v>129</v>
      </c>
      <c r="B330" t="s">
        <v>3058</v>
      </c>
      <c r="C330" t="s">
        <v>1297</v>
      </c>
      <c r="D330" t="s">
        <v>1978</v>
      </c>
      <c r="E330" t="s">
        <v>2785</v>
      </c>
      <c r="F330" t="s">
        <v>2786</v>
      </c>
      <c r="G330">
        <v>64</v>
      </c>
      <c r="H330" t="s">
        <v>2976</v>
      </c>
      <c r="I330">
        <v>6</v>
      </c>
      <c r="K330" t="s">
        <v>1108</v>
      </c>
      <c r="L330" s="12"/>
      <c r="M330">
        <v>0.11799999999999999</v>
      </c>
      <c r="N330" t="s">
        <v>2976</v>
      </c>
      <c r="U330">
        <v>0.41199999999999998</v>
      </c>
      <c r="V330">
        <v>2.7E-2</v>
      </c>
      <c r="W330">
        <v>0.999</v>
      </c>
      <c r="X330" t="s">
        <v>3273</v>
      </c>
      <c r="Y330" t="s">
        <v>7</v>
      </c>
      <c r="Z330" t="s">
        <v>12</v>
      </c>
      <c r="AE330" s="12">
        <f>LN(2)/AG330</f>
        <v>1.7372109788469805</v>
      </c>
      <c r="AF330" t="s">
        <v>2976</v>
      </c>
      <c r="AG330">
        <v>0.39900000000000002</v>
      </c>
      <c r="AK330">
        <v>2.5859999999999999</v>
      </c>
      <c r="AN330" t="s">
        <v>3270</v>
      </c>
      <c r="AO330">
        <v>0.999</v>
      </c>
      <c r="AP330" t="s">
        <v>3282</v>
      </c>
    </row>
    <row r="331" spans="1:42">
      <c r="B331" t="s">
        <v>3058</v>
      </c>
      <c r="C331" t="s">
        <v>1297</v>
      </c>
      <c r="D331" t="s">
        <v>1980</v>
      </c>
      <c r="E331" t="s">
        <v>2785</v>
      </c>
      <c r="F331" t="s">
        <v>2786</v>
      </c>
      <c r="G331">
        <v>64</v>
      </c>
      <c r="H331" t="s">
        <v>2976</v>
      </c>
      <c r="I331">
        <v>6</v>
      </c>
      <c r="K331" t="s">
        <v>1108</v>
      </c>
      <c r="L331" s="12"/>
      <c r="M331">
        <v>0.223</v>
      </c>
      <c r="N331" t="s">
        <v>2976</v>
      </c>
      <c r="U331">
        <v>0.40500000000000003</v>
      </c>
      <c r="V331">
        <v>4.9000000000000002E-2</v>
      </c>
      <c r="W331">
        <v>0.998</v>
      </c>
      <c r="X331" t="s">
        <v>3273</v>
      </c>
      <c r="Y331" t="s">
        <v>7</v>
      </c>
      <c r="Z331" t="s">
        <v>12</v>
      </c>
      <c r="AE331" s="12">
        <f t="shared" ref="AE331:AE333" si="11">LN(2)/AG331</f>
        <v>2.0690960613729708</v>
      </c>
      <c r="AF331" t="s">
        <v>2976</v>
      </c>
      <c r="AG331">
        <v>0.33500000000000002</v>
      </c>
      <c r="AK331">
        <v>3.6960000000000002</v>
      </c>
      <c r="AN331" t="s">
        <v>3270</v>
      </c>
      <c r="AO331">
        <v>0.99399999999999999</v>
      </c>
      <c r="AP331" t="s">
        <v>3282</v>
      </c>
    </row>
    <row r="332" spans="1:42">
      <c r="B332" t="s">
        <v>3058</v>
      </c>
      <c r="C332" t="s">
        <v>1297</v>
      </c>
      <c r="D332" t="s">
        <v>1984</v>
      </c>
      <c r="E332" t="s">
        <v>2785</v>
      </c>
      <c r="F332" t="s">
        <v>2786</v>
      </c>
      <c r="G332">
        <v>64</v>
      </c>
      <c r="H332" t="s">
        <v>2976</v>
      </c>
      <c r="I332">
        <v>6</v>
      </c>
      <c r="K332" t="s">
        <v>1108</v>
      </c>
      <c r="L332" s="12"/>
      <c r="M332">
        <v>2.58</v>
      </c>
      <c r="N332" t="s">
        <v>2976</v>
      </c>
      <c r="U332">
        <v>0.38100000000000001</v>
      </c>
      <c r="V332">
        <v>0.499</v>
      </c>
      <c r="W332">
        <v>0.999</v>
      </c>
      <c r="X332" t="s">
        <v>3273</v>
      </c>
      <c r="Y332" t="s">
        <v>7</v>
      </c>
      <c r="Z332" t="s">
        <v>12</v>
      </c>
      <c r="AE332" s="12">
        <f t="shared" si="11"/>
        <v>2.9246716479322585</v>
      </c>
      <c r="AF332" t="s">
        <v>2976</v>
      </c>
      <c r="AG332">
        <v>0.23699999999999999</v>
      </c>
      <c r="AK332">
        <v>7.6369999999999996</v>
      </c>
      <c r="AN332" t="s">
        <v>3270</v>
      </c>
      <c r="AO332">
        <v>0.95199999999999996</v>
      </c>
      <c r="AP332" t="s">
        <v>3282</v>
      </c>
    </row>
    <row r="333" spans="1:42">
      <c r="B333" t="s">
        <v>3058</v>
      </c>
      <c r="C333" t="s">
        <v>1297</v>
      </c>
      <c r="D333" t="s">
        <v>1986</v>
      </c>
      <c r="E333" t="s">
        <v>2785</v>
      </c>
      <c r="F333" t="s">
        <v>2786</v>
      </c>
      <c r="G333">
        <v>64</v>
      </c>
      <c r="H333" t="s">
        <v>2976</v>
      </c>
      <c r="I333">
        <v>6</v>
      </c>
      <c r="K333" t="s">
        <v>1108</v>
      </c>
      <c r="L333" s="12"/>
      <c r="M333">
        <v>7.44</v>
      </c>
      <c r="N333" t="s">
        <v>2976</v>
      </c>
      <c r="U333">
        <v>0.39100000000000001</v>
      </c>
      <c r="V333">
        <v>1.5229999999999999</v>
      </c>
      <c r="W333">
        <v>0.999</v>
      </c>
      <c r="X333" t="s">
        <v>3273</v>
      </c>
      <c r="Y333" t="s">
        <v>7</v>
      </c>
      <c r="Z333" t="s">
        <v>12</v>
      </c>
      <c r="AE333" s="12">
        <f t="shared" si="11"/>
        <v>3.5914361687043797</v>
      </c>
      <c r="AF333" t="s">
        <v>2976</v>
      </c>
      <c r="AG333">
        <v>0.193</v>
      </c>
      <c r="AK333">
        <v>13.195</v>
      </c>
      <c r="AN333" t="s">
        <v>3270</v>
      </c>
      <c r="AO333">
        <v>0.98</v>
      </c>
    </row>
    <row r="334" spans="1:42">
      <c r="A334" t="s">
        <v>848</v>
      </c>
      <c r="B334" t="s">
        <v>3060</v>
      </c>
      <c r="C334" t="s">
        <v>1300</v>
      </c>
      <c r="D334" t="s">
        <v>1988</v>
      </c>
      <c r="E334" t="s">
        <v>2717</v>
      </c>
      <c r="F334" t="s">
        <v>2713</v>
      </c>
      <c r="G334">
        <v>90</v>
      </c>
      <c r="H334" t="s">
        <v>2976</v>
      </c>
      <c r="I334">
        <v>3</v>
      </c>
      <c r="K334" t="s">
        <v>1108</v>
      </c>
      <c r="M334">
        <v>62</v>
      </c>
      <c r="N334" t="s">
        <v>2976</v>
      </c>
      <c r="Q334">
        <v>0.224</v>
      </c>
      <c r="R334" t="s">
        <v>3267</v>
      </c>
      <c r="S334">
        <v>0.95</v>
      </c>
      <c r="T334" t="s">
        <v>3267</v>
      </c>
      <c r="X334" t="s">
        <v>3283</v>
      </c>
      <c r="Y334" t="s">
        <v>7</v>
      </c>
      <c r="Z334" t="s">
        <v>4</v>
      </c>
      <c r="AK334">
        <v>7.45</v>
      </c>
      <c r="AM334">
        <v>0.77</v>
      </c>
      <c r="AN334" t="s">
        <v>3270</v>
      </c>
      <c r="AO334">
        <v>0.90900000000000003</v>
      </c>
    </row>
    <row r="335" spans="1:42">
      <c r="B335" t="s">
        <v>3060</v>
      </c>
      <c r="C335" t="s">
        <v>1300</v>
      </c>
      <c r="D335" t="s">
        <v>1989</v>
      </c>
      <c r="E335" t="s">
        <v>2717</v>
      </c>
      <c r="F335" t="s">
        <v>2713</v>
      </c>
      <c r="G335">
        <v>90</v>
      </c>
      <c r="H335" t="s">
        <v>2976</v>
      </c>
      <c r="I335">
        <v>3</v>
      </c>
      <c r="K335" t="s">
        <v>1108</v>
      </c>
      <c r="M335">
        <v>58</v>
      </c>
      <c r="N335" t="s">
        <v>2976</v>
      </c>
      <c r="Q335">
        <v>0.51400000000000001</v>
      </c>
      <c r="R335" t="s">
        <v>3267</v>
      </c>
      <c r="S335">
        <v>0.22</v>
      </c>
      <c r="T335" t="s">
        <v>3267</v>
      </c>
      <c r="X335" t="s">
        <v>3283</v>
      </c>
      <c r="Y335" t="s">
        <v>7</v>
      </c>
      <c r="Z335" t="s">
        <v>4</v>
      </c>
      <c r="AK335">
        <v>16.77</v>
      </c>
      <c r="AM335">
        <v>0.85</v>
      </c>
      <c r="AN335" t="s">
        <v>3270</v>
      </c>
      <c r="AO335">
        <v>0.97299999999999998</v>
      </c>
    </row>
    <row r="336" spans="1:42">
      <c r="B336" t="s">
        <v>3060</v>
      </c>
      <c r="C336" t="s">
        <v>1300</v>
      </c>
      <c r="D336" t="s">
        <v>1990</v>
      </c>
      <c r="E336" t="s">
        <v>2717</v>
      </c>
      <c r="F336" t="s">
        <v>2713</v>
      </c>
      <c r="G336">
        <v>90</v>
      </c>
      <c r="H336" t="s">
        <v>2976</v>
      </c>
      <c r="I336">
        <v>3</v>
      </c>
      <c r="K336" t="s">
        <v>1108</v>
      </c>
      <c r="M336">
        <v>200</v>
      </c>
      <c r="N336" t="s">
        <v>2976</v>
      </c>
      <c r="Q336">
        <v>0.439</v>
      </c>
      <c r="R336" t="s">
        <v>3267</v>
      </c>
      <c r="S336">
        <v>0.75</v>
      </c>
      <c r="T336" t="s">
        <v>3267</v>
      </c>
      <c r="X336" t="s">
        <v>3283</v>
      </c>
      <c r="Y336" t="s">
        <v>7</v>
      </c>
      <c r="Z336" t="s">
        <v>4</v>
      </c>
      <c r="AK336">
        <v>13.14</v>
      </c>
      <c r="AM336">
        <v>0.92</v>
      </c>
      <c r="AN336" t="s">
        <v>3270</v>
      </c>
      <c r="AO336">
        <v>0.98899999999999999</v>
      </c>
    </row>
    <row r="337" spans="1:42">
      <c r="B337" t="s">
        <v>3064</v>
      </c>
      <c r="C337" t="s">
        <v>1300</v>
      </c>
      <c r="D337" t="s">
        <v>1988</v>
      </c>
      <c r="E337" t="s">
        <v>2717</v>
      </c>
      <c r="F337" t="s">
        <v>2713</v>
      </c>
      <c r="G337">
        <v>90</v>
      </c>
      <c r="H337" t="s">
        <v>2976</v>
      </c>
      <c r="I337">
        <v>6</v>
      </c>
      <c r="K337" t="s">
        <v>1108</v>
      </c>
      <c r="M337">
        <v>13.41</v>
      </c>
      <c r="N337" t="s">
        <v>2976</v>
      </c>
      <c r="Q337">
        <v>5.0999999999999997E-2</v>
      </c>
      <c r="R337" t="s">
        <v>3267</v>
      </c>
      <c r="X337" t="s">
        <v>3268</v>
      </c>
      <c r="Y337" t="s">
        <v>7</v>
      </c>
      <c r="Z337" t="s">
        <v>4</v>
      </c>
      <c r="AK337">
        <v>7.45</v>
      </c>
      <c r="AM337">
        <v>0.77</v>
      </c>
      <c r="AN337" t="s">
        <v>3270</v>
      </c>
      <c r="AO337">
        <v>0.90900000000000003</v>
      </c>
    </row>
    <row r="338" spans="1:42">
      <c r="B338" t="s">
        <v>3064</v>
      </c>
      <c r="C338" t="s">
        <v>1300</v>
      </c>
      <c r="D338" t="s">
        <v>1989</v>
      </c>
      <c r="E338" t="s">
        <v>2717</v>
      </c>
      <c r="F338" t="s">
        <v>2713</v>
      </c>
      <c r="G338">
        <v>90</v>
      </c>
      <c r="H338" t="s">
        <v>2976</v>
      </c>
      <c r="I338">
        <v>6</v>
      </c>
      <c r="K338" t="s">
        <v>1108</v>
      </c>
      <c r="M338">
        <v>15.15</v>
      </c>
      <c r="N338" t="s">
        <v>2976</v>
      </c>
      <c r="Q338">
        <v>4.2000000000000003E-2</v>
      </c>
      <c r="R338" t="s">
        <v>3267</v>
      </c>
      <c r="X338" t="s">
        <v>3268</v>
      </c>
      <c r="Y338" t="s">
        <v>7</v>
      </c>
      <c r="Z338" t="s">
        <v>4</v>
      </c>
      <c r="AK338">
        <v>16.77</v>
      </c>
      <c r="AM338">
        <v>0.85</v>
      </c>
      <c r="AN338" t="s">
        <v>3270</v>
      </c>
      <c r="AO338">
        <v>0.97299999999999998</v>
      </c>
    </row>
    <row r="339" spans="1:42">
      <c r="B339" t="s">
        <v>3064</v>
      </c>
      <c r="C339" t="s">
        <v>1300</v>
      </c>
      <c r="D339" t="s">
        <v>1990</v>
      </c>
      <c r="E339" t="s">
        <v>2717</v>
      </c>
      <c r="F339" t="s">
        <v>2713</v>
      </c>
      <c r="G339">
        <v>90</v>
      </c>
      <c r="H339" t="s">
        <v>2976</v>
      </c>
      <c r="I339">
        <v>6</v>
      </c>
      <c r="K339" t="s">
        <v>1108</v>
      </c>
      <c r="M339">
        <v>16.34</v>
      </c>
      <c r="N339" t="s">
        <v>2976</v>
      </c>
      <c r="Q339">
        <v>4.5999999999999999E-2</v>
      </c>
      <c r="R339" t="s">
        <v>3267</v>
      </c>
      <c r="X339" t="s">
        <v>3268</v>
      </c>
      <c r="Y339" t="s">
        <v>7</v>
      </c>
      <c r="Z339" t="s">
        <v>4</v>
      </c>
      <c r="AK339">
        <v>13.14</v>
      </c>
      <c r="AM339">
        <v>0.92</v>
      </c>
      <c r="AN339" t="s">
        <v>3270</v>
      </c>
      <c r="AO339">
        <v>0.98899999999999999</v>
      </c>
    </row>
    <row r="340" spans="1:42">
      <c r="A340" t="s">
        <v>133</v>
      </c>
      <c r="B340" t="s">
        <v>3067</v>
      </c>
      <c r="C340" t="s">
        <v>1304</v>
      </c>
      <c r="D340" t="s">
        <v>1991</v>
      </c>
      <c r="E340" t="s">
        <v>2856</v>
      </c>
      <c r="F340" t="s">
        <v>2857</v>
      </c>
      <c r="G340">
        <v>30</v>
      </c>
      <c r="H340" t="s">
        <v>2976</v>
      </c>
      <c r="I340">
        <v>200</v>
      </c>
      <c r="J340" s="12">
        <v>2.2727272727272698</v>
      </c>
      <c r="K340" t="s">
        <v>3284</v>
      </c>
      <c r="M340">
        <v>0.47</v>
      </c>
      <c r="N340" t="s">
        <v>2976</v>
      </c>
      <c r="Q340">
        <f>LN(2)/M340</f>
        <v>1.4747812352339262</v>
      </c>
      <c r="R340" t="s">
        <v>3267</v>
      </c>
      <c r="S340">
        <v>0.72</v>
      </c>
      <c r="T340" t="s">
        <v>3267</v>
      </c>
      <c r="Y340" t="s">
        <v>7</v>
      </c>
      <c r="Z340" t="s">
        <v>4</v>
      </c>
    </row>
    <row r="341" spans="1:42">
      <c r="B341" t="s">
        <v>3067</v>
      </c>
      <c r="C341" t="s">
        <v>1304</v>
      </c>
      <c r="D341" t="s">
        <v>1992</v>
      </c>
      <c r="E341" t="s">
        <v>2856</v>
      </c>
      <c r="F341" t="s">
        <v>2857</v>
      </c>
      <c r="G341">
        <v>30</v>
      </c>
      <c r="H341" t="s">
        <v>2976</v>
      </c>
      <c r="I341">
        <v>200</v>
      </c>
      <c r="J341" s="12">
        <v>4.5454545454545396</v>
      </c>
      <c r="K341" t="s">
        <v>3284</v>
      </c>
      <c r="M341">
        <v>0.68</v>
      </c>
      <c r="N341" t="s">
        <v>2976</v>
      </c>
      <c r="Q341">
        <f t="shared" ref="Q341:Q349" si="12">LN(2)/M341</f>
        <v>1.019334089058743</v>
      </c>
      <c r="R341" t="s">
        <v>3267</v>
      </c>
      <c r="S341">
        <v>0.22</v>
      </c>
      <c r="T341" t="s">
        <v>3267</v>
      </c>
      <c r="Y341" t="s">
        <v>7</v>
      </c>
      <c r="Z341" t="s">
        <v>4</v>
      </c>
    </row>
    <row r="342" spans="1:42">
      <c r="B342" t="s">
        <v>3067</v>
      </c>
      <c r="C342" t="s">
        <v>1304</v>
      </c>
      <c r="D342" t="s">
        <v>1995</v>
      </c>
      <c r="E342" t="s">
        <v>2856</v>
      </c>
      <c r="F342" t="s">
        <v>2857</v>
      </c>
      <c r="G342">
        <v>30</v>
      </c>
      <c r="H342" t="s">
        <v>2976</v>
      </c>
      <c r="I342">
        <v>200</v>
      </c>
      <c r="J342" s="12">
        <v>4.5454545454545396</v>
      </c>
      <c r="K342" t="s">
        <v>3284</v>
      </c>
      <c r="M342">
        <v>0.43</v>
      </c>
      <c r="N342" t="s">
        <v>2976</v>
      </c>
      <c r="Q342">
        <f t="shared" si="12"/>
        <v>1.61197018734871</v>
      </c>
      <c r="R342" t="s">
        <v>3267</v>
      </c>
      <c r="S342">
        <v>0.4</v>
      </c>
      <c r="T342" t="s">
        <v>3267</v>
      </c>
      <c r="Y342" t="s">
        <v>7</v>
      </c>
      <c r="Z342" t="s">
        <v>4</v>
      </c>
    </row>
    <row r="343" spans="1:42">
      <c r="B343" t="s">
        <v>3067</v>
      </c>
      <c r="C343" t="s">
        <v>1304</v>
      </c>
      <c r="D343" t="s">
        <v>1997</v>
      </c>
      <c r="E343" t="s">
        <v>2856</v>
      </c>
      <c r="F343" t="s">
        <v>2857</v>
      </c>
      <c r="G343">
        <v>30</v>
      </c>
      <c r="H343" t="s">
        <v>2976</v>
      </c>
      <c r="I343">
        <v>200</v>
      </c>
      <c r="J343" s="12">
        <v>17.045454545454501</v>
      </c>
      <c r="K343" t="s">
        <v>3284</v>
      </c>
      <c r="M343">
        <v>0.44</v>
      </c>
      <c r="N343" t="s">
        <v>2976</v>
      </c>
      <c r="Q343">
        <f t="shared" si="12"/>
        <v>1.575334501272603</v>
      </c>
      <c r="R343" t="s">
        <v>3267</v>
      </c>
      <c r="S343">
        <v>0.08</v>
      </c>
      <c r="T343" t="s">
        <v>3267</v>
      </c>
      <c r="Y343" t="s">
        <v>7</v>
      </c>
      <c r="Z343" t="s">
        <v>4</v>
      </c>
    </row>
    <row r="344" spans="1:42">
      <c r="B344" t="s">
        <v>3067</v>
      </c>
      <c r="C344" t="s">
        <v>1304</v>
      </c>
      <c r="D344" t="s">
        <v>2000</v>
      </c>
      <c r="E344" t="s">
        <v>2856</v>
      </c>
      <c r="F344" t="s">
        <v>2857</v>
      </c>
      <c r="G344">
        <v>30</v>
      </c>
      <c r="H344" t="s">
        <v>2976</v>
      </c>
      <c r="I344">
        <v>200</v>
      </c>
      <c r="J344" s="12">
        <v>31.060600280761701</v>
      </c>
      <c r="K344" t="s">
        <v>3284</v>
      </c>
      <c r="M344">
        <v>0.28000000000000003</v>
      </c>
      <c r="N344" t="s">
        <v>2976</v>
      </c>
      <c r="Q344">
        <f t="shared" si="12"/>
        <v>2.4755256448569471</v>
      </c>
      <c r="R344" t="s">
        <v>3267</v>
      </c>
      <c r="S344">
        <v>0.03</v>
      </c>
      <c r="T344" t="s">
        <v>3267</v>
      </c>
      <c r="Y344" t="s">
        <v>7</v>
      </c>
      <c r="Z344" t="s">
        <v>4</v>
      </c>
    </row>
    <row r="345" spans="1:42">
      <c r="B345" t="s">
        <v>3067</v>
      </c>
      <c r="C345" t="s">
        <v>1309</v>
      </c>
      <c r="D345" t="s">
        <v>1991</v>
      </c>
      <c r="E345" t="s">
        <v>2856</v>
      </c>
      <c r="F345" t="s">
        <v>2857</v>
      </c>
      <c r="G345">
        <v>30</v>
      </c>
      <c r="H345" t="s">
        <v>2976</v>
      </c>
      <c r="I345">
        <v>200</v>
      </c>
      <c r="J345" s="12">
        <v>0.37878209894353698</v>
      </c>
      <c r="K345" t="s">
        <v>3284</v>
      </c>
      <c r="M345">
        <v>0.53</v>
      </c>
      <c r="N345" t="s">
        <v>2976</v>
      </c>
      <c r="Q345">
        <f t="shared" si="12"/>
        <v>1.3078248689810288</v>
      </c>
      <c r="R345" t="s">
        <v>3267</v>
      </c>
      <c r="S345">
        <v>0.53</v>
      </c>
      <c r="T345" t="s">
        <v>3267</v>
      </c>
      <c r="Y345" t="s">
        <v>7</v>
      </c>
      <c r="Z345" t="s">
        <v>4</v>
      </c>
    </row>
    <row r="346" spans="1:42">
      <c r="B346" t="s">
        <v>3067</v>
      </c>
      <c r="C346" t="s">
        <v>1309</v>
      </c>
      <c r="D346" t="s">
        <v>1992</v>
      </c>
      <c r="E346" t="s">
        <v>2856</v>
      </c>
      <c r="F346" t="s">
        <v>2857</v>
      </c>
      <c r="G346">
        <v>30</v>
      </c>
      <c r="H346" t="s">
        <v>2976</v>
      </c>
      <c r="I346">
        <v>200</v>
      </c>
      <c r="J346" s="12">
        <v>3.4090909090908998</v>
      </c>
      <c r="K346" t="s">
        <v>3284</v>
      </c>
      <c r="M346">
        <v>0.34</v>
      </c>
      <c r="N346" t="s">
        <v>2976</v>
      </c>
      <c r="Q346">
        <f t="shared" si="12"/>
        <v>2.038668178117486</v>
      </c>
      <c r="R346" t="s">
        <v>3267</v>
      </c>
      <c r="S346">
        <v>0.28999999999999998</v>
      </c>
      <c r="T346" t="s">
        <v>3267</v>
      </c>
      <c r="Y346" t="s">
        <v>7</v>
      </c>
      <c r="Z346" t="s">
        <v>4</v>
      </c>
    </row>
    <row r="347" spans="1:42">
      <c r="B347" t="s">
        <v>3067</v>
      </c>
      <c r="C347" t="s">
        <v>1309</v>
      </c>
      <c r="D347" t="s">
        <v>1995</v>
      </c>
      <c r="E347" t="s">
        <v>2856</v>
      </c>
      <c r="F347" t="s">
        <v>2857</v>
      </c>
      <c r="G347">
        <v>30</v>
      </c>
      <c r="H347" t="s">
        <v>2976</v>
      </c>
      <c r="I347">
        <v>200</v>
      </c>
      <c r="J347" s="12">
        <v>3.4090909090908998</v>
      </c>
      <c r="K347" t="s">
        <v>3284</v>
      </c>
      <c r="M347">
        <v>0.48</v>
      </c>
      <c r="N347" t="s">
        <v>2976</v>
      </c>
      <c r="Q347">
        <f t="shared" si="12"/>
        <v>1.4440566261665528</v>
      </c>
      <c r="R347" t="s">
        <v>3267</v>
      </c>
      <c r="S347">
        <v>0.39</v>
      </c>
      <c r="T347" t="s">
        <v>3267</v>
      </c>
      <c r="Y347" t="s">
        <v>7</v>
      </c>
      <c r="Z347" t="s">
        <v>4</v>
      </c>
    </row>
    <row r="348" spans="1:42">
      <c r="B348" t="s">
        <v>3067</v>
      </c>
      <c r="C348" t="s">
        <v>1309</v>
      </c>
      <c r="D348" t="s">
        <v>1997</v>
      </c>
      <c r="E348" t="s">
        <v>2856</v>
      </c>
      <c r="F348" t="s">
        <v>2857</v>
      </c>
      <c r="G348">
        <v>30</v>
      </c>
      <c r="H348" t="s">
        <v>2976</v>
      </c>
      <c r="I348">
        <v>200</v>
      </c>
      <c r="J348" s="12">
        <v>17.803036082874598</v>
      </c>
      <c r="K348" t="s">
        <v>3284</v>
      </c>
      <c r="M348">
        <v>0.47</v>
      </c>
      <c r="N348" t="s">
        <v>2976</v>
      </c>
      <c r="Q348">
        <f t="shared" si="12"/>
        <v>1.4747812352339262</v>
      </c>
      <c r="R348" t="s">
        <v>3267</v>
      </c>
      <c r="S348">
        <v>0.08</v>
      </c>
      <c r="T348" t="s">
        <v>3267</v>
      </c>
      <c r="Y348" t="s">
        <v>7</v>
      </c>
      <c r="Z348" t="s">
        <v>4</v>
      </c>
    </row>
    <row r="349" spans="1:42">
      <c r="B349" t="s">
        <v>3067</v>
      </c>
      <c r="C349" t="s">
        <v>1309</v>
      </c>
      <c r="D349" t="s">
        <v>2000</v>
      </c>
      <c r="E349" t="s">
        <v>2856</v>
      </c>
      <c r="F349" t="s">
        <v>2857</v>
      </c>
      <c r="G349">
        <v>30</v>
      </c>
      <c r="H349" t="s">
        <v>2976</v>
      </c>
      <c r="I349">
        <v>200</v>
      </c>
      <c r="J349" s="12">
        <v>30.681818181818102</v>
      </c>
      <c r="K349" t="s">
        <v>3284</v>
      </c>
      <c r="M349">
        <v>0.25</v>
      </c>
      <c r="N349" t="s">
        <v>2976</v>
      </c>
      <c r="Q349">
        <f t="shared" si="12"/>
        <v>2.7725887222397811</v>
      </c>
      <c r="R349" t="s">
        <v>3267</v>
      </c>
      <c r="S349">
        <v>0.04</v>
      </c>
      <c r="T349" t="s">
        <v>3267</v>
      </c>
      <c r="Y349" t="s">
        <v>7</v>
      </c>
      <c r="Z349" t="s">
        <v>4</v>
      </c>
    </row>
    <row r="350" spans="1:42">
      <c r="A350" t="s">
        <v>827</v>
      </c>
      <c r="B350" t="s">
        <v>3285</v>
      </c>
      <c r="C350" t="s">
        <v>1312</v>
      </c>
      <c r="D350" t="s">
        <v>2002</v>
      </c>
      <c r="E350" t="s">
        <v>2615</v>
      </c>
      <c r="F350" t="s">
        <v>2607</v>
      </c>
      <c r="G350">
        <v>30</v>
      </c>
      <c r="H350" t="s">
        <v>2976</v>
      </c>
      <c r="I350">
        <v>20</v>
      </c>
      <c r="J350">
        <v>14</v>
      </c>
      <c r="K350" t="s">
        <v>1108</v>
      </c>
      <c r="L350">
        <f>(I350-J350)*100/I350</f>
        <v>30</v>
      </c>
      <c r="Y350" t="s">
        <v>7</v>
      </c>
      <c r="Z350" t="s">
        <v>12</v>
      </c>
      <c r="AP350" t="s">
        <v>3286</v>
      </c>
    </row>
    <row r="351" spans="1:42">
      <c r="B351" t="s">
        <v>3285</v>
      </c>
      <c r="C351" t="s">
        <v>1312</v>
      </c>
      <c r="D351" t="s">
        <v>2003</v>
      </c>
      <c r="E351" t="s">
        <v>2615</v>
      </c>
      <c r="F351" t="s">
        <v>2607</v>
      </c>
      <c r="G351">
        <v>30</v>
      </c>
      <c r="H351" t="s">
        <v>2976</v>
      </c>
      <c r="I351">
        <v>20</v>
      </c>
      <c r="J351">
        <v>6</v>
      </c>
      <c r="K351" t="s">
        <v>1108</v>
      </c>
      <c r="L351">
        <f>(I351-J351)*100/I351</f>
        <v>70</v>
      </c>
      <c r="Y351" t="s">
        <v>7</v>
      </c>
      <c r="Z351" t="s">
        <v>12</v>
      </c>
    </row>
    <row r="352" spans="1:42">
      <c r="B352" t="s">
        <v>3285</v>
      </c>
      <c r="C352" t="s">
        <v>1312</v>
      </c>
      <c r="D352" t="s">
        <v>2006</v>
      </c>
      <c r="E352" t="s">
        <v>2615</v>
      </c>
      <c r="F352" t="s">
        <v>2607</v>
      </c>
      <c r="G352">
        <v>30</v>
      </c>
      <c r="H352" t="s">
        <v>2976</v>
      </c>
      <c r="I352">
        <v>20</v>
      </c>
      <c r="J352">
        <v>5</v>
      </c>
      <c r="K352" t="s">
        <v>1108</v>
      </c>
      <c r="L352">
        <f>(I352-J352)*100/I352</f>
        <v>75</v>
      </c>
      <c r="Y352" t="s">
        <v>7</v>
      </c>
      <c r="Z352" t="s">
        <v>12</v>
      </c>
    </row>
    <row r="353" spans="1:42">
      <c r="A353" t="s">
        <v>817</v>
      </c>
      <c r="B353" t="s">
        <v>3072</v>
      </c>
      <c r="C353" t="s">
        <v>1315</v>
      </c>
      <c r="D353" t="s">
        <v>2009</v>
      </c>
      <c r="E353" t="s">
        <v>2886</v>
      </c>
      <c r="F353" t="s">
        <v>2887</v>
      </c>
      <c r="G353">
        <v>28</v>
      </c>
      <c r="H353" t="s">
        <v>2976</v>
      </c>
      <c r="I353">
        <v>5</v>
      </c>
      <c r="J353">
        <v>5</v>
      </c>
      <c r="K353" t="s">
        <v>1108</v>
      </c>
      <c r="L353">
        <v>0</v>
      </c>
      <c r="AK353">
        <v>0.44</v>
      </c>
      <c r="AM353">
        <v>0.83</v>
      </c>
      <c r="AN353" t="s">
        <v>3270</v>
      </c>
      <c r="AO353">
        <v>0.95</v>
      </c>
      <c r="AP353" t="s">
        <v>3287</v>
      </c>
    </row>
    <row r="354" spans="1:42">
      <c r="B354" t="s">
        <v>3072</v>
      </c>
      <c r="C354" t="s">
        <v>1315</v>
      </c>
      <c r="D354" t="s">
        <v>2010</v>
      </c>
      <c r="E354" t="s">
        <v>2886</v>
      </c>
      <c r="F354" t="s">
        <v>2887</v>
      </c>
      <c r="G354">
        <v>28</v>
      </c>
      <c r="H354" t="s">
        <v>2976</v>
      </c>
      <c r="I354">
        <v>5</v>
      </c>
      <c r="K354" t="s">
        <v>1108</v>
      </c>
      <c r="M354">
        <v>123</v>
      </c>
      <c r="N354" t="s">
        <v>2976</v>
      </c>
      <c r="Q354">
        <f t="shared" ref="Q354:Q376" si="13">LN(2)/M354</f>
        <v>5.6353429313816686E-3</v>
      </c>
      <c r="R354" t="s">
        <v>3267</v>
      </c>
      <c r="W354">
        <v>0.89</v>
      </c>
      <c r="X354" t="s">
        <v>3268</v>
      </c>
      <c r="Y354" t="s">
        <v>7</v>
      </c>
      <c r="Z354" t="s">
        <v>4</v>
      </c>
      <c r="AK354">
        <v>0.81</v>
      </c>
      <c r="AM354">
        <v>0.88</v>
      </c>
      <c r="AN354" t="s">
        <v>3270</v>
      </c>
      <c r="AO354">
        <v>0.96</v>
      </c>
    </row>
    <row r="355" spans="1:42">
      <c r="B355" t="s">
        <v>3072</v>
      </c>
      <c r="C355" t="s">
        <v>1315</v>
      </c>
      <c r="D355" t="s">
        <v>2014</v>
      </c>
      <c r="E355" t="s">
        <v>2886</v>
      </c>
      <c r="F355" t="s">
        <v>2887</v>
      </c>
      <c r="G355">
        <v>28</v>
      </c>
      <c r="H355" t="s">
        <v>2976</v>
      </c>
      <c r="I355">
        <v>5</v>
      </c>
      <c r="K355" t="s">
        <v>1108</v>
      </c>
      <c r="M355">
        <v>69</v>
      </c>
      <c r="N355" t="s">
        <v>2976</v>
      </c>
      <c r="Q355">
        <f t="shared" si="13"/>
        <v>1.0045611312462975E-2</v>
      </c>
      <c r="R355" t="s">
        <v>3267</v>
      </c>
      <c r="W355">
        <v>0.9</v>
      </c>
      <c r="X355" t="s">
        <v>3268</v>
      </c>
      <c r="Y355" t="s">
        <v>7</v>
      </c>
      <c r="Z355" t="s">
        <v>4</v>
      </c>
      <c r="AK355">
        <v>1.1100000000000001</v>
      </c>
      <c r="AM355">
        <v>1.1399999999999999</v>
      </c>
      <c r="AN355" t="s">
        <v>3270</v>
      </c>
      <c r="AO355">
        <v>0.98</v>
      </c>
    </row>
    <row r="356" spans="1:42">
      <c r="A356" t="s">
        <v>809</v>
      </c>
      <c r="B356" t="s">
        <v>3074</v>
      </c>
      <c r="C356" t="s">
        <v>1317</v>
      </c>
      <c r="D356" t="s">
        <v>2015</v>
      </c>
      <c r="E356" t="s">
        <v>2821</v>
      </c>
      <c r="F356" t="s">
        <v>2816</v>
      </c>
      <c r="G356">
        <v>90</v>
      </c>
      <c r="H356" t="s">
        <v>2976</v>
      </c>
      <c r="I356">
        <v>43.8</v>
      </c>
      <c r="K356" t="s">
        <v>1108</v>
      </c>
      <c r="M356">
        <v>12.6</v>
      </c>
      <c r="N356" t="s">
        <v>2976</v>
      </c>
      <c r="Q356">
        <f t="shared" si="13"/>
        <v>5.5011680996821057E-2</v>
      </c>
      <c r="R356" t="s">
        <v>3267</v>
      </c>
      <c r="X356" t="s">
        <v>3268</v>
      </c>
      <c r="Y356" t="s">
        <v>7</v>
      </c>
      <c r="Z356" t="s">
        <v>4</v>
      </c>
    </row>
    <row r="357" spans="1:42">
      <c r="B357" t="s">
        <v>3074</v>
      </c>
      <c r="C357" t="s">
        <v>1317</v>
      </c>
      <c r="D357" t="s">
        <v>2017</v>
      </c>
      <c r="E357" t="s">
        <v>2821</v>
      </c>
      <c r="F357" t="s">
        <v>2816</v>
      </c>
      <c r="G357">
        <v>90</v>
      </c>
      <c r="H357" t="s">
        <v>2976</v>
      </c>
      <c r="I357">
        <v>43.8</v>
      </c>
      <c r="K357" t="s">
        <v>1108</v>
      </c>
      <c r="M357">
        <v>20.6</v>
      </c>
      <c r="N357" t="s">
        <v>2976</v>
      </c>
      <c r="Q357">
        <f t="shared" si="13"/>
        <v>3.3647921386405107E-2</v>
      </c>
      <c r="R357" t="s">
        <v>3267</v>
      </c>
      <c r="X357" t="s">
        <v>3268</v>
      </c>
      <c r="Y357" t="s">
        <v>7</v>
      </c>
      <c r="Z357" t="s">
        <v>4</v>
      </c>
    </row>
    <row r="358" spans="1:42">
      <c r="B358" t="s">
        <v>3074</v>
      </c>
      <c r="C358" t="s">
        <v>1317</v>
      </c>
      <c r="D358" t="s">
        <v>2018</v>
      </c>
      <c r="E358" t="s">
        <v>2821</v>
      </c>
      <c r="F358" t="s">
        <v>2816</v>
      </c>
      <c r="G358">
        <v>90</v>
      </c>
      <c r="H358" t="s">
        <v>2976</v>
      </c>
      <c r="I358">
        <v>43.8</v>
      </c>
      <c r="K358" t="s">
        <v>1108</v>
      </c>
      <c r="M358">
        <v>57.3</v>
      </c>
      <c r="N358" t="s">
        <v>2976</v>
      </c>
      <c r="Q358">
        <f t="shared" si="13"/>
        <v>1.2096809433855939E-2</v>
      </c>
      <c r="R358" t="s">
        <v>3267</v>
      </c>
      <c r="X358" t="s">
        <v>3268</v>
      </c>
      <c r="Y358" t="s">
        <v>7</v>
      </c>
      <c r="Z358" t="s">
        <v>4</v>
      </c>
    </row>
    <row r="359" spans="1:42">
      <c r="B359" t="s">
        <v>3074</v>
      </c>
      <c r="C359" t="s">
        <v>1317</v>
      </c>
      <c r="D359" t="s">
        <v>2015</v>
      </c>
      <c r="E359" t="s">
        <v>2656</v>
      </c>
      <c r="F359" t="s">
        <v>2657</v>
      </c>
      <c r="G359">
        <v>90</v>
      </c>
      <c r="H359" t="s">
        <v>2976</v>
      </c>
      <c r="I359">
        <v>15.6</v>
      </c>
      <c r="K359" t="s">
        <v>1108</v>
      </c>
      <c r="M359">
        <v>87.1</v>
      </c>
      <c r="N359" t="s">
        <v>2976</v>
      </c>
      <c r="Q359">
        <f t="shared" si="13"/>
        <v>7.9580617745114279E-3</v>
      </c>
      <c r="R359" t="s">
        <v>3267</v>
      </c>
      <c r="X359" t="s">
        <v>3268</v>
      </c>
      <c r="Y359" t="s">
        <v>7</v>
      </c>
      <c r="Z359" t="s">
        <v>4</v>
      </c>
    </row>
    <row r="360" spans="1:42">
      <c r="B360" t="s">
        <v>3074</v>
      </c>
      <c r="C360" t="s">
        <v>1317</v>
      </c>
      <c r="D360" t="s">
        <v>2017</v>
      </c>
      <c r="E360" t="s">
        <v>2656</v>
      </c>
      <c r="F360" t="s">
        <v>2657</v>
      </c>
      <c r="G360">
        <v>90</v>
      </c>
      <c r="H360" t="s">
        <v>2976</v>
      </c>
      <c r="I360">
        <v>15.6</v>
      </c>
      <c r="K360" t="s">
        <v>1108</v>
      </c>
      <c r="M360">
        <v>29.1</v>
      </c>
      <c r="N360" t="s">
        <v>2976</v>
      </c>
      <c r="Q360">
        <f t="shared" si="13"/>
        <v>2.381949074089159E-2</v>
      </c>
      <c r="R360" t="s">
        <v>3267</v>
      </c>
      <c r="X360" t="s">
        <v>3268</v>
      </c>
      <c r="Y360" t="s">
        <v>7</v>
      </c>
      <c r="Z360" t="s">
        <v>4</v>
      </c>
    </row>
    <row r="361" spans="1:42">
      <c r="B361" t="s">
        <v>3074</v>
      </c>
      <c r="C361" t="s">
        <v>1317</v>
      </c>
      <c r="D361" t="s">
        <v>2018</v>
      </c>
      <c r="E361" t="s">
        <v>2656</v>
      </c>
      <c r="F361" t="s">
        <v>2657</v>
      </c>
      <c r="G361">
        <v>90</v>
      </c>
      <c r="H361" t="s">
        <v>2976</v>
      </c>
      <c r="I361">
        <v>15.6</v>
      </c>
      <c r="K361" t="s">
        <v>1108</v>
      </c>
      <c r="M361">
        <v>82.8</v>
      </c>
      <c r="N361" t="s">
        <v>2976</v>
      </c>
      <c r="Q361">
        <f t="shared" si="13"/>
        <v>8.3713427603858137E-3</v>
      </c>
      <c r="R361" t="s">
        <v>3267</v>
      </c>
      <c r="X361" t="s">
        <v>3268</v>
      </c>
      <c r="Y361" t="s">
        <v>7</v>
      </c>
      <c r="Z361" t="s">
        <v>4</v>
      </c>
    </row>
    <row r="362" spans="1:42">
      <c r="B362" t="s">
        <v>3074</v>
      </c>
      <c r="C362" t="s">
        <v>1317</v>
      </c>
      <c r="D362" t="s">
        <v>2015</v>
      </c>
      <c r="E362" t="s">
        <v>2807</v>
      </c>
      <c r="F362" t="s">
        <v>2808</v>
      </c>
      <c r="G362">
        <v>90</v>
      </c>
      <c r="H362" t="s">
        <v>2976</v>
      </c>
      <c r="I362">
        <v>40</v>
      </c>
      <c r="K362" t="s">
        <v>1108</v>
      </c>
      <c r="M362">
        <v>177.1</v>
      </c>
      <c r="N362" t="s">
        <v>2976</v>
      </c>
      <c r="Q362">
        <f t="shared" si="13"/>
        <v>3.9138745373232375E-3</v>
      </c>
      <c r="R362" t="s">
        <v>3267</v>
      </c>
      <c r="X362" t="s">
        <v>3268</v>
      </c>
      <c r="Y362" t="s">
        <v>7</v>
      </c>
      <c r="Z362" t="s">
        <v>4</v>
      </c>
    </row>
    <row r="363" spans="1:42">
      <c r="B363" t="s">
        <v>3074</v>
      </c>
      <c r="C363" t="s">
        <v>1317</v>
      </c>
      <c r="D363" t="s">
        <v>2017</v>
      </c>
      <c r="E363" t="s">
        <v>2807</v>
      </c>
      <c r="F363" t="s">
        <v>2808</v>
      </c>
      <c r="G363">
        <v>90</v>
      </c>
      <c r="H363" t="s">
        <v>2976</v>
      </c>
      <c r="I363">
        <v>40</v>
      </c>
      <c r="K363" t="s">
        <v>1108</v>
      </c>
      <c r="M363">
        <v>67.400000000000006</v>
      </c>
      <c r="N363" t="s">
        <v>2976</v>
      </c>
      <c r="Q363">
        <f t="shared" si="13"/>
        <v>1.0284082797625301E-2</v>
      </c>
      <c r="R363" t="s">
        <v>3267</v>
      </c>
      <c r="X363" t="s">
        <v>3268</v>
      </c>
      <c r="Y363" t="s">
        <v>7</v>
      </c>
      <c r="Z363" t="s">
        <v>4</v>
      </c>
    </row>
    <row r="364" spans="1:42">
      <c r="B364" t="s">
        <v>3074</v>
      </c>
      <c r="C364" t="s">
        <v>1317</v>
      </c>
      <c r="D364" t="s">
        <v>2018</v>
      </c>
      <c r="E364" t="s">
        <v>2807</v>
      </c>
      <c r="F364" t="s">
        <v>2808</v>
      </c>
      <c r="G364">
        <v>90</v>
      </c>
      <c r="H364" t="s">
        <v>2976</v>
      </c>
      <c r="I364">
        <v>40</v>
      </c>
      <c r="K364" t="s">
        <v>1108</v>
      </c>
      <c r="M364">
        <v>216.8</v>
      </c>
      <c r="N364" t="s">
        <v>2976</v>
      </c>
      <c r="Q364">
        <f t="shared" si="13"/>
        <v>3.1971733420661681E-3</v>
      </c>
      <c r="R364" t="s">
        <v>3267</v>
      </c>
      <c r="X364" t="s">
        <v>3268</v>
      </c>
      <c r="Y364" t="s">
        <v>7</v>
      </c>
      <c r="Z364" t="s">
        <v>4</v>
      </c>
    </row>
    <row r="365" spans="1:42">
      <c r="B365" t="s">
        <v>3074</v>
      </c>
      <c r="C365" t="s">
        <v>1317</v>
      </c>
      <c r="D365" t="s">
        <v>2015</v>
      </c>
      <c r="E365" t="s">
        <v>2628</v>
      </c>
      <c r="F365" t="s">
        <v>2629</v>
      </c>
      <c r="G365">
        <v>90</v>
      </c>
      <c r="H365" t="s">
        <v>2976</v>
      </c>
      <c r="I365">
        <v>31.3</v>
      </c>
      <c r="K365" t="s">
        <v>1108</v>
      </c>
      <c r="M365">
        <v>82.1</v>
      </c>
      <c r="N365" t="s">
        <v>2976</v>
      </c>
      <c r="Q365">
        <f t="shared" si="13"/>
        <v>8.4427183990249122E-3</v>
      </c>
      <c r="R365" t="s">
        <v>3267</v>
      </c>
      <c r="X365" t="s">
        <v>3268</v>
      </c>
      <c r="Y365" t="s">
        <v>7</v>
      </c>
      <c r="Z365" t="s">
        <v>4</v>
      </c>
    </row>
    <row r="366" spans="1:42">
      <c r="B366" t="s">
        <v>3074</v>
      </c>
      <c r="C366" t="s">
        <v>1317</v>
      </c>
      <c r="D366" t="s">
        <v>2017</v>
      </c>
      <c r="E366" t="s">
        <v>2628</v>
      </c>
      <c r="F366" t="s">
        <v>2629</v>
      </c>
      <c r="G366">
        <v>90</v>
      </c>
      <c r="H366" t="s">
        <v>2976</v>
      </c>
      <c r="I366">
        <v>31.3</v>
      </c>
      <c r="K366" t="s">
        <v>1108</v>
      </c>
      <c r="M366">
        <v>33.9</v>
      </c>
      <c r="N366" t="s">
        <v>2976</v>
      </c>
      <c r="Q366">
        <f t="shared" si="13"/>
        <v>2.044681948554411E-2</v>
      </c>
      <c r="R366" t="s">
        <v>3267</v>
      </c>
      <c r="X366" t="s">
        <v>3268</v>
      </c>
      <c r="Y366" t="s">
        <v>7</v>
      </c>
      <c r="Z366" t="s">
        <v>4</v>
      </c>
    </row>
    <row r="367" spans="1:42">
      <c r="B367" t="s">
        <v>3074</v>
      </c>
      <c r="C367" t="s">
        <v>1317</v>
      </c>
      <c r="D367" t="s">
        <v>2018</v>
      </c>
      <c r="E367" t="s">
        <v>2628</v>
      </c>
      <c r="F367" t="s">
        <v>2629</v>
      </c>
      <c r="G367">
        <v>90</v>
      </c>
      <c r="H367" t="s">
        <v>2976</v>
      </c>
      <c r="I367">
        <v>31.3</v>
      </c>
      <c r="K367" t="s">
        <v>1108</v>
      </c>
      <c r="M367">
        <v>220.5</v>
      </c>
      <c r="N367" t="s">
        <v>2976</v>
      </c>
      <c r="Q367">
        <f t="shared" si="13"/>
        <v>3.1435246283897746E-3</v>
      </c>
      <c r="R367" t="s">
        <v>3267</v>
      </c>
      <c r="X367" t="s">
        <v>3268</v>
      </c>
      <c r="Y367" t="s">
        <v>7</v>
      </c>
      <c r="Z367" t="s">
        <v>4</v>
      </c>
    </row>
    <row r="368" spans="1:42">
      <c r="B368" t="s">
        <v>3074</v>
      </c>
      <c r="C368" t="s">
        <v>1317</v>
      </c>
      <c r="D368" t="s">
        <v>2015</v>
      </c>
      <c r="E368" t="s">
        <v>2778</v>
      </c>
      <c r="F368" t="s">
        <v>2779</v>
      </c>
      <c r="G368">
        <v>90</v>
      </c>
      <c r="H368" t="s">
        <v>2976</v>
      </c>
      <c r="I368">
        <v>40</v>
      </c>
      <c r="K368" t="s">
        <v>1108</v>
      </c>
      <c r="M368">
        <v>100.2</v>
      </c>
      <c r="N368" t="s">
        <v>2976</v>
      </c>
      <c r="Q368">
        <f t="shared" si="13"/>
        <v>6.9176365325343842E-3</v>
      </c>
      <c r="R368" t="s">
        <v>3267</v>
      </c>
      <c r="X368" t="s">
        <v>3268</v>
      </c>
      <c r="Y368" t="s">
        <v>7</v>
      </c>
      <c r="Z368" t="s">
        <v>4</v>
      </c>
    </row>
    <row r="369" spans="1:42">
      <c r="B369" t="s">
        <v>3074</v>
      </c>
      <c r="C369" t="s">
        <v>1317</v>
      </c>
      <c r="D369" t="s">
        <v>2017</v>
      </c>
      <c r="E369" t="s">
        <v>2778</v>
      </c>
      <c r="F369" t="s">
        <v>2779</v>
      </c>
      <c r="G369">
        <v>90</v>
      </c>
      <c r="H369" t="s">
        <v>2976</v>
      </c>
      <c r="I369">
        <v>40</v>
      </c>
      <c r="K369" t="s">
        <v>1108</v>
      </c>
      <c r="M369">
        <v>46.9</v>
      </c>
      <c r="N369" t="s">
        <v>2976</v>
      </c>
      <c r="Q369">
        <f t="shared" si="13"/>
        <v>1.4779257581235508E-2</v>
      </c>
      <c r="R369" t="s">
        <v>3267</v>
      </c>
      <c r="X369" t="s">
        <v>3268</v>
      </c>
      <c r="Y369" t="s">
        <v>7</v>
      </c>
      <c r="Z369" t="s">
        <v>4</v>
      </c>
    </row>
    <row r="370" spans="1:42">
      <c r="B370" t="s">
        <v>3074</v>
      </c>
      <c r="C370" t="s">
        <v>1317</v>
      </c>
      <c r="D370" t="s">
        <v>2018</v>
      </c>
      <c r="E370" t="s">
        <v>2778</v>
      </c>
      <c r="F370" t="s">
        <v>2779</v>
      </c>
      <c r="G370">
        <v>90</v>
      </c>
      <c r="H370" t="s">
        <v>2976</v>
      </c>
      <c r="I370">
        <v>40</v>
      </c>
      <c r="K370" t="s">
        <v>1108</v>
      </c>
      <c r="M370">
        <v>144.30000000000001</v>
      </c>
      <c r="N370" t="s">
        <v>2976</v>
      </c>
      <c r="Q370">
        <f t="shared" si="13"/>
        <v>4.8035147647951856E-3</v>
      </c>
      <c r="R370" t="s">
        <v>3267</v>
      </c>
      <c r="X370" t="s">
        <v>3268</v>
      </c>
      <c r="Y370" t="s">
        <v>7</v>
      </c>
      <c r="Z370" t="s">
        <v>4</v>
      </c>
    </row>
    <row r="371" spans="1:42">
      <c r="B371" t="s">
        <v>3074</v>
      </c>
      <c r="C371" t="s">
        <v>1317</v>
      </c>
      <c r="D371" t="s">
        <v>2015</v>
      </c>
      <c r="E371" t="s">
        <v>2703</v>
      </c>
      <c r="F371" t="s">
        <v>2704</v>
      </c>
      <c r="G371">
        <v>90</v>
      </c>
      <c r="H371" t="s">
        <v>2976</v>
      </c>
      <c r="I371">
        <v>33.299999999999997</v>
      </c>
      <c r="K371" t="s">
        <v>1108</v>
      </c>
      <c r="M371">
        <v>4.9000000000000004</v>
      </c>
      <c r="N371" t="s">
        <v>2976</v>
      </c>
      <c r="Q371">
        <f t="shared" si="13"/>
        <v>0.14145860827753984</v>
      </c>
      <c r="R371" t="s">
        <v>3267</v>
      </c>
      <c r="X371" t="s">
        <v>3268</v>
      </c>
      <c r="Y371" t="s">
        <v>7</v>
      </c>
      <c r="Z371" t="s">
        <v>4</v>
      </c>
    </row>
    <row r="372" spans="1:42">
      <c r="B372" t="s">
        <v>3074</v>
      </c>
      <c r="C372" t="s">
        <v>1317</v>
      </c>
      <c r="D372" t="s">
        <v>2017</v>
      </c>
      <c r="E372" t="s">
        <v>2703</v>
      </c>
      <c r="F372" t="s">
        <v>2704</v>
      </c>
      <c r="G372">
        <v>90</v>
      </c>
      <c r="H372" t="s">
        <v>2976</v>
      </c>
      <c r="I372">
        <v>33.299999999999997</v>
      </c>
      <c r="K372" t="s">
        <v>1108</v>
      </c>
      <c r="M372">
        <v>5.5</v>
      </c>
      <c r="N372" t="s">
        <v>2976</v>
      </c>
      <c r="Q372">
        <f t="shared" si="13"/>
        <v>0.12602676010180824</v>
      </c>
      <c r="R372" t="s">
        <v>3267</v>
      </c>
      <c r="X372" t="s">
        <v>3268</v>
      </c>
      <c r="Y372" t="s">
        <v>7</v>
      </c>
      <c r="Z372" t="s">
        <v>4</v>
      </c>
    </row>
    <row r="373" spans="1:42">
      <c r="B373" t="s">
        <v>3074</v>
      </c>
      <c r="C373" t="s">
        <v>1317</v>
      </c>
      <c r="D373" t="s">
        <v>2018</v>
      </c>
      <c r="E373" t="s">
        <v>2703</v>
      </c>
      <c r="F373" t="s">
        <v>2704</v>
      </c>
      <c r="G373">
        <v>90</v>
      </c>
      <c r="H373" t="s">
        <v>2976</v>
      </c>
      <c r="I373">
        <v>33.299999999999997</v>
      </c>
      <c r="K373" t="s">
        <v>1108</v>
      </c>
      <c r="M373">
        <v>4.0999999999999996</v>
      </c>
      <c r="N373" t="s">
        <v>2976</v>
      </c>
      <c r="Q373">
        <f t="shared" si="13"/>
        <v>0.16906028794145009</v>
      </c>
      <c r="R373" t="s">
        <v>3267</v>
      </c>
      <c r="X373" t="s">
        <v>3268</v>
      </c>
      <c r="Y373" t="s">
        <v>7</v>
      </c>
      <c r="Z373" t="s">
        <v>4</v>
      </c>
    </row>
    <row r="374" spans="1:42">
      <c r="B374" t="s">
        <v>3074</v>
      </c>
      <c r="C374" t="s">
        <v>1317</v>
      </c>
      <c r="D374" t="s">
        <v>2015</v>
      </c>
      <c r="E374" t="s">
        <v>2918</v>
      </c>
      <c r="F374" t="s">
        <v>2916</v>
      </c>
      <c r="G374">
        <v>90</v>
      </c>
      <c r="H374" t="s">
        <v>2976</v>
      </c>
      <c r="I374">
        <v>72.900000000000006</v>
      </c>
      <c r="K374" t="s">
        <v>1108</v>
      </c>
      <c r="M374">
        <v>108.2</v>
      </c>
      <c r="N374" t="s">
        <v>2976</v>
      </c>
      <c r="Q374">
        <f t="shared" si="13"/>
        <v>6.4061661789274055E-3</v>
      </c>
      <c r="R374" t="s">
        <v>3267</v>
      </c>
      <c r="X374" t="s">
        <v>3268</v>
      </c>
      <c r="Y374" t="s">
        <v>7</v>
      </c>
      <c r="Z374" t="s">
        <v>4</v>
      </c>
    </row>
    <row r="375" spans="1:42">
      <c r="B375" t="s">
        <v>3074</v>
      </c>
      <c r="C375" t="s">
        <v>1317</v>
      </c>
      <c r="D375" t="s">
        <v>2017</v>
      </c>
      <c r="E375" t="s">
        <v>2918</v>
      </c>
      <c r="F375" t="s">
        <v>2916</v>
      </c>
      <c r="G375">
        <v>90</v>
      </c>
      <c r="H375" t="s">
        <v>2976</v>
      </c>
      <c r="I375">
        <v>72.900000000000006</v>
      </c>
      <c r="K375" t="s">
        <v>1108</v>
      </c>
      <c r="M375">
        <v>43.8</v>
      </c>
      <c r="N375" t="s">
        <v>2976</v>
      </c>
      <c r="Q375">
        <f t="shared" si="13"/>
        <v>1.5825278094975921E-2</v>
      </c>
      <c r="R375" t="s">
        <v>3267</v>
      </c>
      <c r="X375" t="s">
        <v>3268</v>
      </c>
      <c r="Y375" t="s">
        <v>7</v>
      </c>
      <c r="Z375" t="s">
        <v>4</v>
      </c>
    </row>
    <row r="376" spans="1:42">
      <c r="B376" t="s">
        <v>3074</v>
      </c>
      <c r="C376" t="s">
        <v>1317</v>
      </c>
      <c r="D376" t="s">
        <v>2018</v>
      </c>
      <c r="E376" t="s">
        <v>2918</v>
      </c>
      <c r="F376" t="s">
        <v>2916</v>
      </c>
      <c r="G376">
        <v>90</v>
      </c>
      <c r="H376" t="s">
        <v>2976</v>
      </c>
      <c r="I376">
        <v>72.900000000000006</v>
      </c>
      <c r="K376" t="s">
        <v>1108</v>
      </c>
      <c r="M376">
        <v>96.8</v>
      </c>
      <c r="N376" t="s">
        <v>2976</v>
      </c>
      <c r="Q376">
        <f t="shared" si="13"/>
        <v>7.1606113694209226E-3</v>
      </c>
      <c r="R376" t="s">
        <v>3267</v>
      </c>
      <c r="X376" t="s">
        <v>3268</v>
      </c>
      <c r="Y376" t="s">
        <v>7</v>
      </c>
      <c r="Z376" t="s">
        <v>4</v>
      </c>
    </row>
    <row r="377" spans="1:42">
      <c r="A377" t="s">
        <v>137</v>
      </c>
      <c r="B377" t="s">
        <v>3076</v>
      </c>
      <c r="C377" t="s">
        <v>1325</v>
      </c>
      <c r="D377" t="s">
        <v>2020</v>
      </c>
      <c r="E377" t="s">
        <v>2862</v>
      </c>
      <c r="F377" t="s">
        <v>2863</v>
      </c>
      <c r="G377">
        <v>50</v>
      </c>
      <c r="H377" t="s">
        <v>2976</v>
      </c>
      <c r="I377">
        <v>4</v>
      </c>
      <c r="K377" t="s">
        <v>1108</v>
      </c>
      <c r="M377">
        <v>8</v>
      </c>
      <c r="N377" t="s">
        <v>2976</v>
      </c>
      <c r="Q377">
        <v>8.5999999999999993E-2</v>
      </c>
      <c r="R377" t="s">
        <v>3267</v>
      </c>
      <c r="U377" t="s">
        <v>3288</v>
      </c>
      <c r="W377">
        <v>0.96099999999999997</v>
      </c>
      <c r="X377" t="s">
        <v>3268</v>
      </c>
      <c r="Y377" t="s">
        <v>7</v>
      </c>
      <c r="Z377" t="s">
        <v>4</v>
      </c>
    </row>
    <row r="378" spans="1:42">
      <c r="B378" t="s">
        <v>3077</v>
      </c>
      <c r="C378" t="s">
        <v>1325</v>
      </c>
      <c r="D378" t="s">
        <v>2020</v>
      </c>
      <c r="E378" t="s">
        <v>2862</v>
      </c>
      <c r="F378" t="s">
        <v>2863</v>
      </c>
      <c r="G378">
        <v>50</v>
      </c>
      <c r="H378" t="s">
        <v>2976</v>
      </c>
      <c r="I378">
        <v>10</v>
      </c>
      <c r="K378" t="s">
        <v>1108</v>
      </c>
      <c r="M378">
        <v>13.9</v>
      </c>
      <c r="N378" t="s">
        <v>2976</v>
      </c>
      <c r="Q378">
        <v>0.14199999999999999</v>
      </c>
      <c r="R378" t="s">
        <v>3267</v>
      </c>
      <c r="U378" t="s">
        <v>3289</v>
      </c>
      <c r="W378">
        <v>0.99299999999999999</v>
      </c>
      <c r="X378" t="s">
        <v>3268</v>
      </c>
      <c r="Y378" t="s">
        <v>7</v>
      </c>
      <c r="Z378" t="s">
        <v>4</v>
      </c>
      <c r="AP378" t="s">
        <v>3290</v>
      </c>
    </row>
    <row r="379" spans="1:42">
      <c r="B379" t="s">
        <v>3076</v>
      </c>
      <c r="C379" t="s">
        <v>1325</v>
      </c>
      <c r="D379" t="s">
        <v>2021</v>
      </c>
      <c r="E379" t="s">
        <v>2862</v>
      </c>
      <c r="F379" t="s">
        <v>2863</v>
      </c>
      <c r="G379">
        <v>50</v>
      </c>
      <c r="H379" t="s">
        <v>2976</v>
      </c>
      <c r="I379">
        <v>4</v>
      </c>
      <c r="K379" t="s">
        <v>1108</v>
      </c>
      <c r="M379">
        <v>21.6</v>
      </c>
      <c r="N379" t="s">
        <v>2976</v>
      </c>
      <c r="Q379">
        <v>9.0999999999999998E-2</v>
      </c>
      <c r="R379" t="s">
        <v>3267</v>
      </c>
      <c r="U379" t="s">
        <v>3291</v>
      </c>
      <c r="W379">
        <v>0.97899999999999998</v>
      </c>
      <c r="X379" t="s">
        <v>3268</v>
      </c>
      <c r="Y379" t="s">
        <v>7</v>
      </c>
      <c r="Z379" t="s">
        <v>4</v>
      </c>
      <c r="AP379" t="s">
        <v>3292</v>
      </c>
    </row>
    <row r="380" spans="1:42">
      <c r="B380" t="s">
        <v>3077</v>
      </c>
      <c r="C380" t="s">
        <v>1325</v>
      </c>
      <c r="D380" t="s">
        <v>2021</v>
      </c>
      <c r="E380" t="s">
        <v>2862</v>
      </c>
      <c r="F380" t="s">
        <v>2863</v>
      </c>
      <c r="G380">
        <v>50</v>
      </c>
      <c r="H380" t="s">
        <v>2976</v>
      </c>
      <c r="I380">
        <v>10</v>
      </c>
      <c r="K380" t="s">
        <v>1108</v>
      </c>
      <c r="M380">
        <v>16.2</v>
      </c>
      <c r="N380" t="s">
        <v>2976</v>
      </c>
      <c r="Q380">
        <v>9.6000000000000002E-2</v>
      </c>
      <c r="R380" t="s">
        <v>3267</v>
      </c>
      <c r="U380" t="s">
        <v>3293</v>
      </c>
      <c r="W380">
        <v>0.96799999999999997</v>
      </c>
      <c r="X380" t="s">
        <v>3268</v>
      </c>
      <c r="Y380" t="s">
        <v>7</v>
      </c>
      <c r="Z380" t="s">
        <v>4</v>
      </c>
      <c r="AP380" t="s">
        <v>3290</v>
      </c>
    </row>
    <row r="381" spans="1:42">
      <c r="A381" t="s">
        <v>141</v>
      </c>
      <c r="B381" t="s">
        <v>3078</v>
      </c>
      <c r="C381" t="s">
        <v>1328</v>
      </c>
      <c r="D381" t="s">
        <v>2023</v>
      </c>
      <c r="E381" t="s">
        <v>2718</v>
      </c>
      <c r="F381" t="s">
        <v>2713</v>
      </c>
      <c r="I381">
        <v>50</v>
      </c>
      <c r="K381" t="s">
        <v>1108</v>
      </c>
      <c r="M381">
        <v>6297</v>
      </c>
      <c r="N381" t="s">
        <v>2976</v>
      </c>
      <c r="Q381" s="25">
        <f t="shared" ref="Q381:Q388" si="14">LN(2)/M381</f>
        <v>1.1007577903127604E-4</v>
      </c>
      <c r="R381" t="s">
        <v>3267</v>
      </c>
      <c r="X381" t="s">
        <v>3268</v>
      </c>
      <c r="Y381" t="s">
        <v>7</v>
      </c>
      <c r="Z381" t="s">
        <v>4</v>
      </c>
      <c r="AH381" s="25"/>
      <c r="AI381" s="25"/>
      <c r="AJ381" s="25"/>
    </row>
    <row r="382" spans="1:42">
      <c r="B382" t="s">
        <v>3078</v>
      </c>
      <c r="C382" t="s">
        <v>1328</v>
      </c>
      <c r="D382" t="s">
        <v>2024</v>
      </c>
      <c r="E382" t="s">
        <v>2718</v>
      </c>
      <c r="F382" t="s">
        <v>2713</v>
      </c>
      <c r="I382">
        <v>50</v>
      </c>
      <c r="K382" t="s">
        <v>1108</v>
      </c>
      <c r="M382">
        <v>804</v>
      </c>
      <c r="N382" t="s">
        <v>2976</v>
      </c>
      <c r="Q382" s="25">
        <f t="shared" si="14"/>
        <v>8.6212335890540454E-4</v>
      </c>
      <c r="R382" t="s">
        <v>3267</v>
      </c>
      <c r="X382" t="s">
        <v>3268</v>
      </c>
      <c r="Y382" t="s">
        <v>7</v>
      </c>
      <c r="Z382" t="s">
        <v>4</v>
      </c>
      <c r="AH382" s="25"/>
      <c r="AI382" s="25"/>
      <c r="AJ382" s="25"/>
    </row>
    <row r="383" spans="1:42">
      <c r="B383" t="s">
        <v>3078</v>
      </c>
      <c r="C383" t="s">
        <v>1328</v>
      </c>
      <c r="D383" t="s">
        <v>2027</v>
      </c>
      <c r="E383" t="s">
        <v>2718</v>
      </c>
      <c r="F383" t="s">
        <v>2713</v>
      </c>
      <c r="I383">
        <v>50</v>
      </c>
      <c r="K383" t="s">
        <v>1108</v>
      </c>
      <c r="M383">
        <v>360</v>
      </c>
      <c r="N383" t="s">
        <v>2976</v>
      </c>
      <c r="Q383" s="25">
        <f t="shared" si="14"/>
        <v>1.9254088348887369E-3</v>
      </c>
      <c r="R383" t="s">
        <v>3267</v>
      </c>
      <c r="X383" t="s">
        <v>3268</v>
      </c>
      <c r="Y383" t="s">
        <v>7</v>
      </c>
      <c r="Z383" t="s">
        <v>4</v>
      </c>
      <c r="AH383" s="25"/>
      <c r="AI383" s="25"/>
      <c r="AJ383" s="25"/>
    </row>
    <row r="384" spans="1:42">
      <c r="B384" t="s">
        <v>3078</v>
      </c>
      <c r="C384" t="s">
        <v>1328</v>
      </c>
      <c r="D384" t="s">
        <v>2029</v>
      </c>
      <c r="E384" t="s">
        <v>2718</v>
      </c>
      <c r="F384" t="s">
        <v>2713</v>
      </c>
      <c r="I384">
        <v>50</v>
      </c>
      <c r="K384" t="s">
        <v>1108</v>
      </c>
      <c r="M384">
        <v>240</v>
      </c>
      <c r="N384" t="s">
        <v>2976</v>
      </c>
      <c r="Q384" s="25">
        <f t="shared" si="14"/>
        <v>2.8881132523331052E-3</v>
      </c>
      <c r="R384" t="s">
        <v>3267</v>
      </c>
      <c r="X384" t="s">
        <v>3268</v>
      </c>
      <c r="Y384" t="s">
        <v>7</v>
      </c>
      <c r="Z384" t="s">
        <v>4</v>
      </c>
      <c r="AH384" s="25"/>
      <c r="AI384" s="25"/>
      <c r="AJ384" s="25"/>
    </row>
    <row r="385" spans="1:41">
      <c r="B385" t="s">
        <v>3078</v>
      </c>
      <c r="C385" t="s">
        <v>1328</v>
      </c>
      <c r="D385" t="s">
        <v>2031</v>
      </c>
      <c r="E385" t="s">
        <v>2718</v>
      </c>
      <c r="F385" t="s">
        <v>2713</v>
      </c>
      <c r="I385">
        <v>50</v>
      </c>
      <c r="K385" t="s">
        <v>1108</v>
      </c>
      <c r="M385">
        <v>734</v>
      </c>
      <c r="N385" t="s">
        <v>2976</v>
      </c>
      <c r="Q385" s="25">
        <f t="shared" si="14"/>
        <v>9.4434220784733692E-4</v>
      </c>
      <c r="R385" t="s">
        <v>3267</v>
      </c>
      <c r="X385" t="s">
        <v>3268</v>
      </c>
      <c r="Y385" t="s">
        <v>7</v>
      </c>
      <c r="Z385" t="s">
        <v>4</v>
      </c>
      <c r="AH385" s="25"/>
      <c r="AI385" s="25"/>
      <c r="AJ385" s="25"/>
    </row>
    <row r="386" spans="1:41">
      <c r="B386" t="s">
        <v>3078</v>
      </c>
      <c r="C386" t="s">
        <v>1328</v>
      </c>
      <c r="D386" t="s">
        <v>2034</v>
      </c>
      <c r="E386" t="s">
        <v>2718</v>
      </c>
      <c r="F386" t="s">
        <v>2713</v>
      </c>
      <c r="I386">
        <v>50</v>
      </c>
      <c r="K386" t="s">
        <v>1108</v>
      </c>
      <c r="M386">
        <v>660</v>
      </c>
      <c r="N386" t="s">
        <v>2976</v>
      </c>
      <c r="Q386" s="25">
        <f t="shared" si="14"/>
        <v>1.0502230008484019E-3</v>
      </c>
      <c r="R386" t="s">
        <v>3267</v>
      </c>
      <c r="X386" t="s">
        <v>3268</v>
      </c>
      <c r="Y386" t="s">
        <v>7</v>
      </c>
      <c r="Z386" t="s">
        <v>4</v>
      </c>
      <c r="AH386" s="25"/>
      <c r="AI386" s="25"/>
      <c r="AJ386" s="25"/>
    </row>
    <row r="387" spans="1:41">
      <c r="B387" t="s">
        <v>3078</v>
      </c>
      <c r="C387" t="s">
        <v>1328</v>
      </c>
      <c r="D387" t="s">
        <v>2036</v>
      </c>
      <c r="E387" t="s">
        <v>2718</v>
      </c>
      <c r="F387" t="s">
        <v>2713</v>
      </c>
      <c r="I387">
        <v>50</v>
      </c>
      <c r="K387" t="s">
        <v>1108</v>
      </c>
      <c r="M387">
        <v>244</v>
      </c>
      <c r="N387" t="s">
        <v>2976</v>
      </c>
      <c r="Q387" s="25">
        <f t="shared" si="14"/>
        <v>2.8407671334423987E-3</v>
      </c>
      <c r="R387" t="s">
        <v>3267</v>
      </c>
      <c r="X387" t="s">
        <v>3268</v>
      </c>
      <c r="Y387" t="s">
        <v>7</v>
      </c>
      <c r="Z387" t="s">
        <v>4</v>
      </c>
      <c r="AH387" s="25"/>
      <c r="AI387" s="25"/>
      <c r="AJ387" s="25"/>
    </row>
    <row r="388" spans="1:41">
      <c r="A388" t="s">
        <v>150</v>
      </c>
      <c r="B388" t="s">
        <v>3082</v>
      </c>
      <c r="C388" t="s">
        <v>1330</v>
      </c>
      <c r="D388" t="s">
        <v>2038</v>
      </c>
      <c r="E388" t="s">
        <v>2909</v>
      </c>
      <c r="F388" t="s">
        <v>2910</v>
      </c>
      <c r="G388">
        <v>60</v>
      </c>
      <c r="H388" t="s">
        <v>2976</v>
      </c>
      <c r="I388">
        <v>10</v>
      </c>
      <c r="K388" t="s">
        <v>1108</v>
      </c>
      <c r="M388">
        <v>40.799999999999997</v>
      </c>
      <c r="N388" t="s">
        <v>2976</v>
      </c>
      <c r="Q388">
        <f t="shared" si="14"/>
        <v>1.6988901484312386E-2</v>
      </c>
      <c r="R388" t="s">
        <v>3267</v>
      </c>
      <c r="Y388" t="s">
        <v>7</v>
      </c>
      <c r="Z388" t="s">
        <v>12</v>
      </c>
    </row>
    <row r="389" spans="1:41">
      <c r="B389" t="s">
        <v>3082</v>
      </c>
      <c r="C389" t="s">
        <v>1330</v>
      </c>
      <c r="D389" t="s">
        <v>2040</v>
      </c>
      <c r="E389" t="s">
        <v>2909</v>
      </c>
      <c r="F389" t="s">
        <v>2910</v>
      </c>
      <c r="G389">
        <v>60</v>
      </c>
      <c r="H389" t="s">
        <v>2976</v>
      </c>
      <c r="I389">
        <v>10</v>
      </c>
      <c r="K389" t="s">
        <v>1108</v>
      </c>
      <c r="M389">
        <v>43.6</v>
      </c>
      <c r="N389" t="s">
        <v>2976</v>
      </c>
      <c r="Q389">
        <f t="shared" ref="Q389" si="15">LN(2)/M389</f>
        <v>1.5897871113760214E-2</v>
      </c>
      <c r="R389" t="s">
        <v>3267</v>
      </c>
      <c r="Y389" t="s">
        <v>7</v>
      </c>
      <c r="Z389" t="s">
        <v>12</v>
      </c>
    </row>
    <row r="390" spans="1:41">
      <c r="A390" t="s">
        <v>155</v>
      </c>
      <c r="B390" t="s">
        <v>3086</v>
      </c>
      <c r="C390" t="s">
        <v>1332</v>
      </c>
      <c r="D390" t="s">
        <v>2042</v>
      </c>
      <c r="E390" t="s">
        <v>2566</v>
      </c>
      <c r="F390" t="s">
        <v>2562</v>
      </c>
      <c r="G390">
        <v>62</v>
      </c>
      <c r="H390" t="s">
        <v>2976</v>
      </c>
      <c r="I390">
        <v>1.5</v>
      </c>
      <c r="K390" t="s">
        <v>1108</v>
      </c>
      <c r="M390">
        <v>6.24</v>
      </c>
      <c r="N390" t="s">
        <v>2976</v>
      </c>
      <c r="Q390" s="25">
        <f>LN(2)/M390</f>
        <v>0.11108127893588866</v>
      </c>
      <c r="R390" t="s">
        <v>3267</v>
      </c>
      <c r="W390">
        <v>0.91900000000000004</v>
      </c>
      <c r="X390" t="s">
        <v>3268</v>
      </c>
      <c r="Y390" t="s">
        <v>7</v>
      </c>
      <c r="Z390" t="s">
        <v>4</v>
      </c>
      <c r="AK390">
        <v>0.32700000000000001</v>
      </c>
      <c r="AN390" t="s">
        <v>3275</v>
      </c>
      <c r="AO390">
        <v>0.997</v>
      </c>
    </row>
    <row r="391" spans="1:41">
      <c r="B391" t="s">
        <v>3086</v>
      </c>
      <c r="C391" t="s">
        <v>1332</v>
      </c>
      <c r="D391" t="s">
        <v>2043</v>
      </c>
      <c r="E391" t="s">
        <v>2566</v>
      </c>
      <c r="F391" t="s">
        <v>2562</v>
      </c>
      <c r="G391">
        <v>62</v>
      </c>
      <c r="H391" t="s">
        <v>2976</v>
      </c>
      <c r="I391">
        <v>1.5</v>
      </c>
      <c r="K391" t="s">
        <v>1108</v>
      </c>
      <c r="M391">
        <v>7.41</v>
      </c>
      <c r="N391" t="s">
        <v>2976</v>
      </c>
      <c r="Q391" s="25">
        <f t="shared" ref="Q391:Q410" si="16">LN(2)/M391</f>
        <v>9.3542129630222029E-2</v>
      </c>
      <c r="R391" t="s">
        <v>3267</v>
      </c>
      <c r="W391">
        <v>0.83599999999999997</v>
      </c>
      <c r="X391" t="s">
        <v>3268</v>
      </c>
      <c r="Y391" t="s">
        <v>7</v>
      </c>
      <c r="Z391" t="s">
        <v>4</v>
      </c>
      <c r="AK391">
        <v>0.36499999999999999</v>
      </c>
      <c r="AN391" t="s">
        <v>3275</v>
      </c>
      <c r="AO391">
        <v>0.98699999999999999</v>
      </c>
    </row>
    <row r="392" spans="1:41">
      <c r="B392" t="s">
        <v>3086</v>
      </c>
      <c r="C392" t="s">
        <v>1332</v>
      </c>
      <c r="D392" t="s">
        <v>2045</v>
      </c>
      <c r="E392" t="s">
        <v>2566</v>
      </c>
      <c r="F392" t="s">
        <v>2562</v>
      </c>
      <c r="G392">
        <v>62</v>
      </c>
      <c r="H392" t="s">
        <v>2976</v>
      </c>
      <c r="I392">
        <v>1.5</v>
      </c>
      <c r="K392" t="s">
        <v>1108</v>
      </c>
      <c r="M392">
        <v>13.5</v>
      </c>
      <c r="N392" t="s">
        <v>2976</v>
      </c>
      <c r="Q392" s="25">
        <f t="shared" si="16"/>
        <v>5.1344235597032988E-2</v>
      </c>
      <c r="R392" t="s">
        <v>3267</v>
      </c>
      <c r="W392">
        <v>0.88600000000000001</v>
      </c>
      <c r="X392" t="s">
        <v>3268</v>
      </c>
      <c r="Y392" t="s">
        <v>7</v>
      </c>
      <c r="Z392" t="s">
        <v>4</v>
      </c>
      <c r="AK392">
        <v>0.45800000000000002</v>
      </c>
      <c r="AN392" t="s">
        <v>3275</v>
      </c>
      <c r="AO392">
        <v>0.999</v>
      </c>
    </row>
    <row r="393" spans="1:41">
      <c r="B393" t="s">
        <v>3086</v>
      </c>
      <c r="C393" t="s">
        <v>1332</v>
      </c>
      <c r="D393" t="s">
        <v>2047</v>
      </c>
      <c r="E393" t="s">
        <v>2566</v>
      </c>
      <c r="F393" t="s">
        <v>2562</v>
      </c>
      <c r="G393">
        <v>62</v>
      </c>
      <c r="H393" t="s">
        <v>2976</v>
      </c>
      <c r="I393">
        <v>1.5</v>
      </c>
      <c r="K393" t="s">
        <v>1108</v>
      </c>
      <c r="M393">
        <v>6.98</v>
      </c>
      <c r="N393" t="s">
        <v>2976</v>
      </c>
      <c r="Q393" s="25">
        <f t="shared" si="16"/>
        <v>9.9304753661883266E-2</v>
      </c>
      <c r="R393" t="s">
        <v>3267</v>
      </c>
      <c r="W393">
        <v>0.82699999999999996</v>
      </c>
      <c r="X393" t="s">
        <v>3268</v>
      </c>
      <c r="Y393" t="s">
        <v>7</v>
      </c>
      <c r="Z393" t="s">
        <v>4</v>
      </c>
      <c r="AK393">
        <v>0.73899999999999999</v>
      </c>
      <c r="AN393" t="s">
        <v>3275</v>
      </c>
      <c r="AO393">
        <v>0.99399999999999999</v>
      </c>
    </row>
    <row r="394" spans="1:41">
      <c r="B394" t="s">
        <v>3086</v>
      </c>
      <c r="C394" t="s">
        <v>1332</v>
      </c>
      <c r="D394" t="s">
        <v>2050</v>
      </c>
      <c r="E394" t="s">
        <v>2566</v>
      </c>
      <c r="F394" t="s">
        <v>2562</v>
      </c>
      <c r="G394">
        <v>62</v>
      </c>
      <c r="H394" t="s">
        <v>2976</v>
      </c>
      <c r="I394">
        <v>1.5</v>
      </c>
      <c r="K394" t="s">
        <v>1108</v>
      </c>
      <c r="M394">
        <v>4.84</v>
      </c>
      <c r="N394" t="s">
        <v>2976</v>
      </c>
      <c r="Q394" s="25">
        <f t="shared" si="16"/>
        <v>0.14321222738841846</v>
      </c>
      <c r="R394" t="s">
        <v>3267</v>
      </c>
      <c r="W394">
        <v>0.85299999999999998</v>
      </c>
      <c r="X394" t="s">
        <v>3268</v>
      </c>
      <c r="Y394" t="s">
        <v>7</v>
      </c>
      <c r="Z394" t="s">
        <v>4</v>
      </c>
      <c r="AK394">
        <v>1.014</v>
      </c>
      <c r="AN394" t="s">
        <v>3275</v>
      </c>
      <c r="AO394">
        <v>0.998</v>
      </c>
    </row>
    <row r="395" spans="1:41">
      <c r="B395" t="s">
        <v>3086</v>
      </c>
      <c r="C395" t="s">
        <v>1334</v>
      </c>
      <c r="D395" t="s">
        <v>2042</v>
      </c>
      <c r="E395" t="s">
        <v>2566</v>
      </c>
      <c r="F395" t="s">
        <v>2562</v>
      </c>
      <c r="G395">
        <v>62</v>
      </c>
      <c r="H395" t="s">
        <v>2976</v>
      </c>
      <c r="I395">
        <v>1.5</v>
      </c>
      <c r="K395" t="s">
        <v>1108</v>
      </c>
      <c r="M395">
        <v>10.1</v>
      </c>
      <c r="N395" t="s">
        <v>2976</v>
      </c>
      <c r="Q395" s="25">
        <f t="shared" si="16"/>
        <v>6.8628433718806461E-2</v>
      </c>
      <c r="R395" t="s">
        <v>3267</v>
      </c>
      <c r="W395">
        <v>0.95</v>
      </c>
      <c r="X395" t="s">
        <v>3268</v>
      </c>
      <c r="Y395" t="s">
        <v>7</v>
      </c>
      <c r="Z395" t="s">
        <v>4</v>
      </c>
      <c r="AK395">
        <v>0.433</v>
      </c>
      <c r="AN395" t="s">
        <v>3275</v>
      </c>
      <c r="AO395">
        <v>0.97799999999999998</v>
      </c>
    </row>
    <row r="396" spans="1:41">
      <c r="B396" t="s">
        <v>3086</v>
      </c>
      <c r="C396" t="s">
        <v>1334</v>
      </c>
      <c r="D396" t="s">
        <v>2043</v>
      </c>
      <c r="E396" t="s">
        <v>2566</v>
      </c>
      <c r="F396" t="s">
        <v>2562</v>
      </c>
      <c r="G396">
        <v>62</v>
      </c>
      <c r="H396" t="s">
        <v>2976</v>
      </c>
      <c r="I396">
        <v>1.5</v>
      </c>
      <c r="K396" t="s">
        <v>1108</v>
      </c>
      <c r="M396">
        <v>27.3</v>
      </c>
      <c r="N396" t="s">
        <v>2976</v>
      </c>
      <c r="Q396" s="25">
        <f t="shared" si="16"/>
        <v>2.539000661391741E-2</v>
      </c>
      <c r="R396" t="s">
        <v>3267</v>
      </c>
      <c r="W396">
        <v>0.85499999999999998</v>
      </c>
      <c r="X396" t="s">
        <v>3268</v>
      </c>
      <c r="Y396" t="s">
        <v>7</v>
      </c>
      <c r="Z396" t="s">
        <v>4</v>
      </c>
      <c r="AK396">
        <v>0.41199999999999998</v>
      </c>
      <c r="AN396" t="s">
        <v>3275</v>
      </c>
      <c r="AO396">
        <v>0.98799999999999999</v>
      </c>
    </row>
    <row r="397" spans="1:41">
      <c r="B397" t="s">
        <v>3086</v>
      </c>
      <c r="C397" t="s">
        <v>1334</v>
      </c>
      <c r="D397" t="s">
        <v>2045</v>
      </c>
      <c r="E397" t="s">
        <v>2566</v>
      </c>
      <c r="F397" t="s">
        <v>2562</v>
      </c>
      <c r="G397">
        <v>62</v>
      </c>
      <c r="H397" t="s">
        <v>2976</v>
      </c>
      <c r="I397">
        <v>1.5</v>
      </c>
      <c r="K397" t="s">
        <v>1108</v>
      </c>
      <c r="M397">
        <v>35</v>
      </c>
      <c r="N397" t="s">
        <v>2976</v>
      </c>
      <c r="Q397" s="25">
        <f t="shared" si="16"/>
        <v>1.980420515885558E-2</v>
      </c>
      <c r="R397" t="s">
        <v>3267</v>
      </c>
      <c r="W397">
        <v>0.88900000000000001</v>
      </c>
      <c r="X397" t="s">
        <v>3268</v>
      </c>
      <c r="Y397" t="s">
        <v>7</v>
      </c>
      <c r="Z397" t="s">
        <v>4</v>
      </c>
      <c r="AK397">
        <v>0.51400000000000001</v>
      </c>
      <c r="AN397" t="s">
        <v>3275</v>
      </c>
      <c r="AO397">
        <v>0.999</v>
      </c>
    </row>
    <row r="398" spans="1:41">
      <c r="B398" t="s">
        <v>3086</v>
      </c>
      <c r="C398" t="s">
        <v>1334</v>
      </c>
      <c r="D398" t="s">
        <v>2047</v>
      </c>
      <c r="E398" t="s">
        <v>2566</v>
      </c>
      <c r="F398" t="s">
        <v>2562</v>
      </c>
      <c r="G398">
        <v>62</v>
      </c>
      <c r="H398" t="s">
        <v>2976</v>
      </c>
      <c r="I398">
        <v>1.5</v>
      </c>
      <c r="K398" t="s">
        <v>1108</v>
      </c>
      <c r="M398">
        <v>5.68</v>
      </c>
      <c r="N398" t="s">
        <v>2976</v>
      </c>
      <c r="Q398" s="25">
        <f t="shared" si="16"/>
        <v>0.12203295432393403</v>
      </c>
      <c r="R398" t="s">
        <v>3267</v>
      </c>
      <c r="W398">
        <v>0.82499999999999996</v>
      </c>
      <c r="X398" t="s">
        <v>3268</v>
      </c>
      <c r="Y398" t="s">
        <v>7</v>
      </c>
      <c r="Z398" t="s">
        <v>4</v>
      </c>
      <c r="AK398">
        <v>0.73799999999999999</v>
      </c>
      <c r="AN398" t="s">
        <v>3275</v>
      </c>
      <c r="AO398">
        <v>0.997</v>
      </c>
    </row>
    <row r="399" spans="1:41">
      <c r="B399" t="s">
        <v>3086</v>
      </c>
      <c r="C399" t="s">
        <v>1334</v>
      </c>
      <c r="D399" t="s">
        <v>2050</v>
      </c>
      <c r="E399" t="s">
        <v>2566</v>
      </c>
      <c r="F399" t="s">
        <v>2562</v>
      </c>
      <c r="G399">
        <v>62</v>
      </c>
      <c r="H399" t="s">
        <v>2976</v>
      </c>
      <c r="I399">
        <v>1.5</v>
      </c>
      <c r="K399" t="s">
        <v>1108</v>
      </c>
      <c r="M399">
        <v>4.63</v>
      </c>
      <c r="N399" t="s">
        <v>2976</v>
      </c>
      <c r="Q399" s="25">
        <f t="shared" si="16"/>
        <v>0.14970781437579811</v>
      </c>
      <c r="R399" t="s">
        <v>3267</v>
      </c>
      <c r="W399">
        <v>0.84699999999999998</v>
      </c>
      <c r="X399" t="s">
        <v>3268</v>
      </c>
      <c r="Y399" t="s">
        <v>7</v>
      </c>
      <c r="Z399" t="s">
        <v>4</v>
      </c>
      <c r="AK399">
        <v>1.075</v>
      </c>
      <c r="AN399" t="s">
        <v>3275</v>
      </c>
      <c r="AO399">
        <v>0.98399999999999999</v>
      </c>
    </row>
    <row r="400" spans="1:41">
      <c r="B400" t="s">
        <v>3086</v>
      </c>
      <c r="C400" t="s">
        <v>1336</v>
      </c>
      <c r="D400" t="s">
        <v>2042</v>
      </c>
      <c r="E400" t="s">
        <v>2566</v>
      </c>
      <c r="F400" t="s">
        <v>2562</v>
      </c>
      <c r="G400">
        <v>62</v>
      </c>
      <c r="H400" t="s">
        <v>2976</v>
      </c>
      <c r="I400">
        <v>1.5</v>
      </c>
      <c r="K400" t="s">
        <v>1108</v>
      </c>
      <c r="M400">
        <v>5.71</v>
      </c>
      <c r="N400" t="s">
        <v>2976</v>
      </c>
      <c r="Q400" s="25">
        <f t="shared" si="16"/>
        <v>0.12139180044832668</v>
      </c>
      <c r="R400" t="s">
        <v>3267</v>
      </c>
      <c r="W400">
        <v>0.90900000000000003</v>
      </c>
      <c r="X400" t="s">
        <v>3268</v>
      </c>
      <c r="Y400" t="s">
        <v>7</v>
      </c>
      <c r="Z400" t="s">
        <v>4</v>
      </c>
      <c r="AK400">
        <v>0.29399999999999998</v>
      </c>
      <c r="AN400" t="s">
        <v>3275</v>
      </c>
      <c r="AO400">
        <v>0.97199999999999998</v>
      </c>
    </row>
    <row r="401" spans="1:41">
      <c r="B401" t="s">
        <v>3086</v>
      </c>
      <c r="C401" t="s">
        <v>1336</v>
      </c>
      <c r="D401" t="s">
        <v>2043</v>
      </c>
      <c r="E401" t="s">
        <v>2566</v>
      </c>
      <c r="F401" t="s">
        <v>2562</v>
      </c>
      <c r="G401">
        <v>62</v>
      </c>
      <c r="H401" t="s">
        <v>2976</v>
      </c>
      <c r="I401">
        <v>1.5</v>
      </c>
      <c r="K401" t="s">
        <v>1108</v>
      </c>
      <c r="M401">
        <v>12.3</v>
      </c>
      <c r="N401" t="s">
        <v>2976</v>
      </c>
      <c r="Q401" s="25">
        <f t="shared" si="16"/>
        <v>5.6353429313816684E-2</v>
      </c>
      <c r="R401" t="s">
        <v>3267</v>
      </c>
      <c r="W401">
        <v>0.96699999999999997</v>
      </c>
      <c r="X401" t="s">
        <v>3268</v>
      </c>
      <c r="Y401" t="s">
        <v>7</v>
      </c>
      <c r="Z401" t="s">
        <v>4</v>
      </c>
      <c r="AK401">
        <v>0.28499999999999998</v>
      </c>
      <c r="AN401" t="s">
        <v>3275</v>
      </c>
      <c r="AO401">
        <v>0.999</v>
      </c>
    </row>
    <row r="402" spans="1:41">
      <c r="B402" t="s">
        <v>3086</v>
      </c>
      <c r="C402" t="s">
        <v>1336</v>
      </c>
      <c r="D402" t="s">
        <v>2045</v>
      </c>
      <c r="E402" t="s">
        <v>2566</v>
      </c>
      <c r="F402" t="s">
        <v>2562</v>
      </c>
      <c r="G402">
        <v>62</v>
      </c>
      <c r="H402" t="s">
        <v>2976</v>
      </c>
      <c r="I402">
        <v>1.5</v>
      </c>
      <c r="K402" t="s">
        <v>1108</v>
      </c>
      <c r="M402">
        <v>16.2</v>
      </c>
      <c r="N402" t="s">
        <v>2976</v>
      </c>
      <c r="Q402" s="25">
        <f t="shared" si="16"/>
        <v>4.2786862997527486E-2</v>
      </c>
      <c r="R402" t="s">
        <v>3267</v>
      </c>
      <c r="W402">
        <v>0.89500000000000002</v>
      </c>
      <c r="X402" t="s">
        <v>3268</v>
      </c>
      <c r="Y402" t="s">
        <v>7</v>
      </c>
      <c r="Z402" t="s">
        <v>4</v>
      </c>
      <c r="AK402">
        <v>0.32300000000000001</v>
      </c>
      <c r="AN402" t="s">
        <v>3275</v>
      </c>
      <c r="AO402">
        <v>0.99199999999999999</v>
      </c>
    </row>
    <row r="403" spans="1:41">
      <c r="B403" t="s">
        <v>3086</v>
      </c>
      <c r="C403" t="s">
        <v>1336</v>
      </c>
      <c r="D403" t="s">
        <v>2047</v>
      </c>
      <c r="E403" t="s">
        <v>2566</v>
      </c>
      <c r="F403" t="s">
        <v>2562</v>
      </c>
      <c r="G403">
        <v>62</v>
      </c>
      <c r="H403" t="s">
        <v>2976</v>
      </c>
      <c r="I403">
        <v>1.5</v>
      </c>
      <c r="K403" t="s">
        <v>1108</v>
      </c>
      <c r="M403">
        <v>2.15</v>
      </c>
      <c r="N403" t="s">
        <v>2976</v>
      </c>
      <c r="Q403" s="25">
        <f t="shared" si="16"/>
        <v>0.32239403746974199</v>
      </c>
      <c r="R403" t="s">
        <v>3267</v>
      </c>
      <c r="W403">
        <v>0.81399999999999995</v>
      </c>
      <c r="X403" t="s">
        <v>3268</v>
      </c>
      <c r="Y403" t="s">
        <v>7</v>
      </c>
      <c r="Z403" t="s">
        <v>4</v>
      </c>
      <c r="AK403">
        <v>0.69899999999999995</v>
      </c>
      <c r="AN403" t="s">
        <v>3275</v>
      </c>
      <c r="AO403">
        <v>0.997</v>
      </c>
    </row>
    <row r="404" spans="1:41">
      <c r="B404" t="s">
        <v>3086</v>
      </c>
      <c r="C404" t="s">
        <v>1336</v>
      </c>
      <c r="D404" t="s">
        <v>2050</v>
      </c>
      <c r="E404" t="s">
        <v>2566</v>
      </c>
      <c r="F404" t="s">
        <v>2562</v>
      </c>
      <c r="G404">
        <v>62</v>
      </c>
      <c r="H404" t="s">
        <v>2976</v>
      </c>
      <c r="I404">
        <v>1.5</v>
      </c>
      <c r="K404" t="s">
        <v>1108</v>
      </c>
      <c r="M404">
        <v>2.08</v>
      </c>
      <c r="N404" t="s">
        <v>2976</v>
      </c>
      <c r="Q404" s="25">
        <f t="shared" si="16"/>
        <v>0.33324383680766601</v>
      </c>
      <c r="R404" t="s">
        <v>3267</v>
      </c>
      <c r="W404">
        <v>0.91400000000000003</v>
      </c>
      <c r="X404" t="s">
        <v>3268</v>
      </c>
      <c r="Y404" t="s">
        <v>7</v>
      </c>
      <c r="Z404" t="s">
        <v>4</v>
      </c>
      <c r="AK404">
        <v>0.95299999999999996</v>
      </c>
      <c r="AN404" t="s">
        <v>3275</v>
      </c>
      <c r="AO404">
        <v>0.99299999999999999</v>
      </c>
    </row>
    <row r="405" spans="1:41">
      <c r="B405" t="s">
        <v>3086</v>
      </c>
      <c r="C405" t="s">
        <v>1338</v>
      </c>
      <c r="D405" t="s">
        <v>2042</v>
      </c>
      <c r="E405" t="s">
        <v>2566</v>
      </c>
      <c r="F405" t="s">
        <v>2562</v>
      </c>
      <c r="G405">
        <v>62</v>
      </c>
      <c r="H405" t="s">
        <v>2976</v>
      </c>
      <c r="I405">
        <v>1.5</v>
      </c>
      <c r="K405" t="s">
        <v>1108</v>
      </c>
      <c r="M405">
        <v>4.16</v>
      </c>
      <c r="N405" t="s">
        <v>2976</v>
      </c>
      <c r="Q405" s="25">
        <f t="shared" si="16"/>
        <v>0.166621918403833</v>
      </c>
      <c r="R405" t="s">
        <v>3267</v>
      </c>
      <c r="W405">
        <v>0.92100000000000004</v>
      </c>
      <c r="X405" t="s">
        <v>3268</v>
      </c>
      <c r="Y405" t="s">
        <v>7</v>
      </c>
      <c r="Z405" t="s">
        <v>4</v>
      </c>
      <c r="AK405">
        <v>0.34699999999999998</v>
      </c>
      <c r="AN405" t="s">
        <v>3275</v>
      </c>
      <c r="AO405">
        <v>0.96799999999999997</v>
      </c>
    </row>
    <row r="406" spans="1:41">
      <c r="B406" t="s">
        <v>3086</v>
      </c>
      <c r="C406" t="s">
        <v>1338</v>
      </c>
      <c r="D406" t="s">
        <v>2043</v>
      </c>
      <c r="E406" t="s">
        <v>2566</v>
      </c>
      <c r="F406" t="s">
        <v>2562</v>
      </c>
      <c r="G406">
        <v>62</v>
      </c>
      <c r="H406" t="s">
        <v>2976</v>
      </c>
      <c r="I406">
        <v>1.5</v>
      </c>
      <c r="K406" t="s">
        <v>1108</v>
      </c>
      <c r="M406">
        <v>7.44</v>
      </c>
      <c r="N406" t="s">
        <v>2976</v>
      </c>
      <c r="Q406" s="25">
        <f t="shared" si="16"/>
        <v>9.316494362364855E-2</v>
      </c>
      <c r="R406" t="s">
        <v>3267</v>
      </c>
      <c r="W406">
        <v>0.95499999999999996</v>
      </c>
      <c r="X406" t="s">
        <v>3268</v>
      </c>
      <c r="Y406" t="s">
        <v>7</v>
      </c>
      <c r="Z406" t="s">
        <v>4</v>
      </c>
      <c r="AK406">
        <v>0.51600000000000001</v>
      </c>
      <c r="AN406" t="s">
        <v>3275</v>
      </c>
      <c r="AO406">
        <v>0.97699999999999998</v>
      </c>
    </row>
    <row r="407" spans="1:41">
      <c r="B407" t="s">
        <v>3086</v>
      </c>
      <c r="C407" t="s">
        <v>1338</v>
      </c>
      <c r="D407" t="s">
        <v>2045</v>
      </c>
      <c r="E407" t="s">
        <v>2566</v>
      </c>
      <c r="F407" t="s">
        <v>2562</v>
      </c>
      <c r="G407">
        <v>62</v>
      </c>
      <c r="H407" t="s">
        <v>2976</v>
      </c>
      <c r="I407">
        <v>1.5</v>
      </c>
      <c r="K407" t="s">
        <v>1108</v>
      </c>
      <c r="M407">
        <v>9.9</v>
      </c>
      <c r="N407" t="s">
        <v>2976</v>
      </c>
      <c r="Q407" s="25">
        <f t="shared" si="16"/>
        <v>7.0014866723226793E-2</v>
      </c>
      <c r="R407" t="s">
        <v>3267</v>
      </c>
      <c r="W407">
        <v>0.90200000000000002</v>
      </c>
      <c r="X407" t="s">
        <v>3268</v>
      </c>
      <c r="Y407" t="s">
        <v>7</v>
      </c>
      <c r="Z407" t="s">
        <v>4</v>
      </c>
      <c r="AK407">
        <v>0.81100000000000005</v>
      </c>
      <c r="AN407" t="s">
        <v>3275</v>
      </c>
      <c r="AO407">
        <v>0.995</v>
      </c>
    </row>
    <row r="408" spans="1:41">
      <c r="B408" t="s">
        <v>3086</v>
      </c>
      <c r="C408" t="s">
        <v>1338</v>
      </c>
      <c r="D408" t="s">
        <v>2047</v>
      </c>
      <c r="E408" t="s">
        <v>2566</v>
      </c>
      <c r="F408" t="s">
        <v>2562</v>
      </c>
      <c r="G408">
        <v>62</v>
      </c>
      <c r="H408" t="s">
        <v>2976</v>
      </c>
      <c r="I408">
        <v>1.5</v>
      </c>
      <c r="K408" t="s">
        <v>1108</v>
      </c>
      <c r="M408">
        <v>3.01</v>
      </c>
      <c r="N408" t="s">
        <v>2976</v>
      </c>
      <c r="Q408" s="25">
        <f t="shared" si="16"/>
        <v>0.23028145533553002</v>
      </c>
      <c r="R408" t="s">
        <v>3267</v>
      </c>
      <c r="W408">
        <v>0.81499999999999995</v>
      </c>
      <c r="X408" t="s">
        <v>3268</v>
      </c>
      <c r="Y408" t="s">
        <v>7</v>
      </c>
      <c r="Z408" t="s">
        <v>4</v>
      </c>
      <c r="AK408">
        <v>0.76400000000000001</v>
      </c>
      <c r="AN408" t="s">
        <v>3275</v>
      </c>
      <c r="AO408">
        <v>0.998</v>
      </c>
    </row>
    <row r="409" spans="1:41">
      <c r="B409" t="s">
        <v>3086</v>
      </c>
      <c r="C409" t="s">
        <v>1338</v>
      </c>
      <c r="D409" t="s">
        <v>2050</v>
      </c>
      <c r="E409" t="s">
        <v>2566</v>
      </c>
      <c r="F409" t="s">
        <v>2562</v>
      </c>
      <c r="G409">
        <v>62</v>
      </c>
      <c r="H409" t="s">
        <v>2976</v>
      </c>
      <c r="I409">
        <v>1.5</v>
      </c>
      <c r="K409" t="s">
        <v>1108</v>
      </c>
      <c r="M409">
        <v>2.0499999999999998</v>
      </c>
      <c r="N409" t="s">
        <v>2976</v>
      </c>
      <c r="Q409" s="25">
        <f t="shared" si="16"/>
        <v>0.33812057588290018</v>
      </c>
      <c r="R409" t="s">
        <v>3267</v>
      </c>
      <c r="W409">
        <v>0.91500000000000004</v>
      </c>
      <c r="X409" t="s">
        <v>3268</v>
      </c>
      <c r="Y409" t="s">
        <v>7</v>
      </c>
      <c r="Z409" t="s">
        <v>4</v>
      </c>
      <c r="AK409">
        <v>1.004</v>
      </c>
      <c r="AN409" t="s">
        <v>3275</v>
      </c>
      <c r="AO409">
        <v>0.995</v>
      </c>
    </row>
    <row r="410" spans="1:41">
      <c r="B410" t="s">
        <v>3086</v>
      </c>
      <c r="C410" t="s">
        <v>1338</v>
      </c>
      <c r="D410" t="s">
        <v>2052</v>
      </c>
      <c r="E410" t="s">
        <v>2566</v>
      </c>
      <c r="F410" t="s">
        <v>2562</v>
      </c>
      <c r="G410">
        <v>62</v>
      </c>
      <c r="H410" t="s">
        <v>2976</v>
      </c>
      <c r="I410">
        <v>1.5</v>
      </c>
      <c r="K410" t="s">
        <v>1108</v>
      </c>
      <c r="M410">
        <v>23.3</v>
      </c>
      <c r="N410" t="s">
        <v>2976</v>
      </c>
      <c r="Q410" s="25">
        <f t="shared" si="16"/>
        <v>2.9748806032615677E-2</v>
      </c>
      <c r="R410" t="s">
        <v>3267</v>
      </c>
      <c r="W410">
        <v>0.80900000000000005</v>
      </c>
      <c r="X410" t="s">
        <v>3268</v>
      </c>
      <c r="Y410" t="s">
        <v>7</v>
      </c>
      <c r="Z410" t="s">
        <v>4</v>
      </c>
      <c r="AK410">
        <v>1.405</v>
      </c>
      <c r="AN410" t="s">
        <v>3275</v>
      </c>
      <c r="AO410">
        <v>0.99</v>
      </c>
    </row>
    <row r="411" spans="1:41">
      <c r="A411" t="s">
        <v>801</v>
      </c>
      <c r="B411" t="s">
        <v>3085</v>
      </c>
      <c r="C411" t="s">
        <v>1341</v>
      </c>
      <c r="D411" t="s">
        <v>2054</v>
      </c>
      <c r="E411" t="s">
        <v>2644</v>
      </c>
      <c r="F411" t="s">
        <v>2645</v>
      </c>
      <c r="G411">
        <v>90</v>
      </c>
      <c r="H411" t="s">
        <v>2976</v>
      </c>
      <c r="I411">
        <v>25</v>
      </c>
      <c r="K411" t="s">
        <v>3284</v>
      </c>
      <c r="M411">
        <v>23.13</v>
      </c>
      <c r="N411" t="s">
        <v>2976</v>
      </c>
      <c r="Q411">
        <v>0.03</v>
      </c>
      <c r="R411" t="s">
        <v>3267</v>
      </c>
      <c r="W411">
        <v>0.98</v>
      </c>
      <c r="X411" t="s">
        <v>3268</v>
      </c>
      <c r="Y411" t="s">
        <v>7</v>
      </c>
      <c r="Z411" t="s">
        <v>4</v>
      </c>
    </row>
    <row r="412" spans="1:41">
      <c r="B412" t="s">
        <v>3085</v>
      </c>
      <c r="C412" t="s">
        <v>1341</v>
      </c>
      <c r="D412" t="s">
        <v>2055</v>
      </c>
      <c r="E412" t="s">
        <v>2644</v>
      </c>
      <c r="F412" t="s">
        <v>2645</v>
      </c>
      <c r="G412">
        <v>90</v>
      </c>
      <c r="H412" t="s">
        <v>2976</v>
      </c>
      <c r="I412">
        <v>25</v>
      </c>
      <c r="K412" t="s">
        <v>3284</v>
      </c>
      <c r="M412">
        <v>7.55</v>
      </c>
      <c r="N412" t="s">
        <v>2976</v>
      </c>
      <c r="Q412">
        <v>9.1999999999999998E-2</v>
      </c>
      <c r="R412" t="s">
        <v>3267</v>
      </c>
      <c r="W412">
        <v>0.95</v>
      </c>
      <c r="X412" t="s">
        <v>3268</v>
      </c>
      <c r="Y412" t="s">
        <v>7</v>
      </c>
      <c r="Z412" t="s">
        <v>4</v>
      </c>
    </row>
    <row r="413" spans="1:41">
      <c r="B413" t="s">
        <v>3085</v>
      </c>
      <c r="C413" t="s">
        <v>1341</v>
      </c>
      <c r="D413" t="s">
        <v>2057</v>
      </c>
      <c r="E413" t="s">
        <v>2644</v>
      </c>
      <c r="F413" t="s">
        <v>2645</v>
      </c>
      <c r="G413">
        <v>90</v>
      </c>
      <c r="H413" t="s">
        <v>2976</v>
      </c>
      <c r="I413">
        <v>25</v>
      </c>
      <c r="K413" t="s">
        <v>3284</v>
      </c>
      <c r="M413">
        <v>8.56</v>
      </c>
      <c r="N413" t="s">
        <v>2976</v>
      </c>
      <c r="Q413">
        <v>8.1000000000000003E-2</v>
      </c>
      <c r="R413" t="s">
        <v>3267</v>
      </c>
      <c r="W413">
        <v>0.99</v>
      </c>
      <c r="X413" t="s">
        <v>3268</v>
      </c>
      <c r="Y413" t="s">
        <v>7</v>
      </c>
      <c r="Z413" t="s">
        <v>4</v>
      </c>
    </row>
    <row r="414" spans="1:41">
      <c r="B414" t="s">
        <v>3085</v>
      </c>
      <c r="C414" t="s">
        <v>1341</v>
      </c>
      <c r="D414" t="s">
        <v>2058</v>
      </c>
      <c r="E414" t="s">
        <v>2644</v>
      </c>
      <c r="F414" t="s">
        <v>2645</v>
      </c>
      <c r="G414">
        <v>90</v>
      </c>
      <c r="H414" t="s">
        <v>2976</v>
      </c>
      <c r="I414">
        <v>25</v>
      </c>
      <c r="K414" t="s">
        <v>3284</v>
      </c>
      <c r="M414">
        <v>9.4600000000000009</v>
      </c>
      <c r="N414" t="s">
        <v>2976</v>
      </c>
      <c r="Q414">
        <v>7.2999999999999995E-2</v>
      </c>
      <c r="R414" t="s">
        <v>3267</v>
      </c>
      <c r="W414">
        <v>0.99</v>
      </c>
      <c r="X414" t="s">
        <v>3268</v>
      </c>
      <c r="Y414" t="s">
        <v>7</v>
      </c>
      <c r="Z414" t="s">
        <v>4</v>
      </c>
    </row>
    <row r="415" spans="1:41">
      <c r="B415" t="s">
        <v>3085</v>
      </c>
      <c r="C415" t="s">
        <v>1341</v>
      </c>
      <c r="D415" t="s">
        <v>2059</v>
      </c>
      <c r="E415" t="s">
        <v>2644</v>
      </c>
      <c r="F415" t="s">
        <v>2645</v>
      </c>
      <c r="G415">
        <v>90</v>
      </c>
      <c r="H415" t="s">
        <v>2976</v>
      </c>
      <c r="I415">
        <v>25</v>
      </c>
      <c r="K415" t="s">
        <v>3284</v>
      </c>
      <c r="M415">
        <v>8.25</v>
      </c>
      <c r="N415" t="s">
        <v>2976</v>
      </c>
      <c r="Q415">
        <v>8.4000000000000005E-2</v>
      </c>
      <c r="R415" t="s">
        <v>3267</v>
      </c>
      <c r="W415">
        <v>0.97</v>
      </c>
      <c r="X415" t="s">
        <v>3268</v>
      </c>
      <c r="Y415" t="s">
        <v>7</v>
      </c>
      <c r="Z415" t="s">
        <v>4</v>
      </c>
    </row>
    <row r="416" spans="1:41">
      <c r="B416" t="s">
        <v>3085</v>
      </c>
      <c r="C416" t="s">
        <v>1341</v>
      </c>
      <c r="D416" t="s">
        <v>2062</v>
      </c>
      <c r="E416" t="s">
        <v>2644</v>
      </c>
      <c r="F416" t="s">
        <v>2645</v>
      </c>
      <c r="G416">
        <v>90</v>
      </c>
      <c r="H416" t="s">
        <v>2976</v>
      </c>
      <c r="I416">
        <v>25</v>
      </c>
      <c r="K416" t="s">
        <v>3284</v>
      </c>
      <c r="M416">
        <v>9.1999999999999993</v>
      </c>
      <c r="N416" t="s">
        <v>2976</v>
      </c>
      <c r="Q416">
        <v>7.4999999999999997E-2</v>
      </c>
      <c r="R416" t="s">
        <v>3267</v>
      </c>
      <c r="W416">
        <v>0.95</v>
      </c>
      <c r="X416" t="s">
        <v>3268</v>
      </c>
      <c r="Y416" t="s">
        <v>7</v>
      </c>
      <c r="Z416" t="s">
        <v>4</v>
      </c>
    </row>
    <row r="417" spans="2:26">
      <c r="B417" t="s">
        <v>3085</v>
      </c>
      <c r="C417" t="s">
        <v>1341</v>
      </c>
      <c r="D417" t="s">
        <v>2063</v>
      </c>
      <c r="E417" t="s">
        <v>2644</v>
      </c>
      <c r="F417" t="s">
        <v>2645</v>
      </c>
      <c r="G417">
        <v>90</v>
      </c>
      <c r="H417" t="s">
        <v>2976</v>
      </c>
      <c r="I417">
        <v>25</v>
      </c>
      <c r="K417" t="s">
        <v>3284</v>
      </c>
      <c r="M417">
        <v>10.1</v>
      </c>
      <c r="N417" t="s">
        <v>2976</v>
      </c>
      <c r="Q417">
        <v>6.9000000000000006E-2</v>
      </c>
      <c r="R417" t="s">
        <v>3267</v>
      </c>
      <c r="W417">
        <v>0.95</v>
      </c>
      <c r="X417" t="s">
        <v>3268</v>
      </c>
      <c r="Y417" t="s">
        <v>7</v>
      </c>
      <c r="Z417" t="s">
        <v>4</v>
      </c>
    </row>
    <row r="418" spans="2:26">
      <c r="B418" t="s">
        <v>3085</v>
      </c>
      <c r="C418" t="s">
        <v>1341</v>
      </c>
      <c r="D418" t="s">
        <v>2064</v>
      </c>
      <c r="E418" t="s">
        <v>2644</v>
      </c>
      <c r="F418" t="s">
        <v>2645</v>
      </c>
      <c r="G418">
        <v>90</v>
      </c>
      <c r="H418" t="s">
        <v>2976</v>
      </c>
      <c r="I418">
        <v>25</v>
      </c>
      <c r="K418" t="s">
        <v>3284</v>
      </c>
      <c r="M418">
        <v>10.06</v>
      </c>
      <c r="N418" t="s">
        <v>2976</v>
      </c>
      <c r="Q418">
        <v>6.9000000000000006E-2</v>
      </c>
      <c r="R418" t="s">
        <v>3267</v>
      </c>
      <c r="W418">
        <v>0.97</v>
      </c>
      <c r="X418" t="s">
        <v>3268</v>
      </c>
      <c r="Y418" t="s">
        <v>7</v>
      </c>
      <c r="Z418" t="s">
        <v>4</v>
      </c>
    </row>
    <row r="419" spans="2:26">
      <c r="B419" t="s">
        <v>3085</v>
      </c>
      <c r="C419" t="s">
        <v>1341</v>
      </c>
      <c r="D419" t="s">
        <v>2067</v>
      </c>
      <c r="E419" t="s">
        <v>2644</v>
      </c>
      <c r="F419" t="s">
        <v>2645</v>
      </c>
      <c r="G419">
        <v>90</v>
      </c>
      <c r="H419" t="s">
        <v>2976</v>
      </c>
      <c r="I419">
        <v>25</v>
      </c>
      <c r="K419" t="s">
        <v>3284</v>
      </c>
      <c r="M419">
        <v>10.84</v>
      </c>
      <c r="N419" t="s">
        <v>2976</v>
      </c>
      <c r="Q419">
        <v>6.4000000000000001E-2</v>
      </c>
      <c r="R419" t="s">
        <v>3267</v>
      </c>
      <c r="W419">
        <v>0.98</v>
      </c>
      <c r="X419" t="s">
        <v>3268</v>
      </c>
      <c r="Y419" t="s">
        <v>7</v>
      </c>
      <c r="Z419" t="s">
        <v>4</v>
      </c>
    </row>
    <row r="420" spans="2:26">
      <c r="B420" t="s">
        <v>3085</v>
      </c>
      <c r="C420" t="s">
        <v>1341</v>
      </c>
      <c r="D420" t="s">
        <v>2068</v>
      </c>
      <c r="E420" t="s">
        <v>2644</v>
      </c>
      <c r="F420" t="s">
        <v>2645</v>
      </c>
      <c r="G420">
        <v>90</v>
      </c>
      <c r="H420" t="s">
        <v>2976</v>
      </c>
      <c r="I420">
        <v>25</v>
      </c>
      <c r="K420" t="s">
        <v>3284</v>
      </c>
      <c r="M420">
        <v>11.54</v>
      </c>
      <c r="N420" t="s">
        <v>2976</v>
      </c>
      <c r="Q420">
        <v>0.06</v>
      </c>
      <c r="R420" t="s">
        <v>3267</v>
      </c>
      <c r="W420">
        <v>0.99</v>
      </c>
      <c r="X420" t="s">
        <v>3268</v>
      </c>
      <c r="Y420" t="s">
        <v>7</v>
      </c>
      <c r="Z420" t="s">
        <v>4</v>
      </c>
    </row>
    <row r="421" spans="2:26">
      <c r="B421" t="s">
        <v>3085</v>
      </c>
      <c r="C421" t="s">
        <v>1341</v>
      </c>
      <c r="D421" t="s">
        <v>2069</v>
      </c>
      <c r="E421" t="s">
        <v>2644</v>
      </c>
      <c r="F421" t="s">
        <v>2645</v>
      </c>
      <c r="G421">
        <v>90</v>
      </c>
      <c r="H421" t="s">
        <v>2976</v>
      </c>
      <c r="I421">
        <v>25</v>
      </c>
      <c r="K421" t="s">
        <v>3284</v>
      </c>
      <c r="M421">
        <v>11.61</v>
      </c>
      <c r="N421" t="s">
        <v>2976</v>
      </c>
      <c r="Q421">
        <v>0.06</v>
      </c>
      <c r="R421" t="s">
        <v>3267</v>
      </c>
      <c r="W421">
        <v>0.99</v>
      </c>
      <c r="X421" t="s">
        <v>3268</v>
      </c>
      <c r="Y421" t="s">
        <v>7</v>
      </c>
      <c r="Z421" t="s">
        <v>4</v>
      </c>
    </row>
    <row r="422" spans="2:26">
      <c r="B422" t="s">
        <v>3085</v>
      </c>
      <c r="C422" t="s">
        <v>1341</v>
      </c>
      <c r="D422" t="s">
        <v>2072</v>
      </c>
      <c r="E422" t="s">
        <v>2644</v>
      </c>
      <c r="F422" t="s">
        <v>2645</v>
      </c>
      <c r="G422">
        <v>90</v>
      </c>
      <c r="H422" t="s">
        <v>2976</v>
      </c>
      <c r="I422">
        <v>25</v>
      </c>
      <c r="K422" t="s">
        <v>3284</v>
      </c>
      <c r="M422">
        <v>12.31</v>
      </c>
      <c r="N422" t="s">
        <v>2976</v>
      </c>
      <c r="Q422">
        <v>5.6000000000000001E-2</v>
      </c>
      <c r="R422" t="s">
        <v>3267</v>
      </c>
      <c r="W422">
        <v>0.99</v>
      </c>
      <c r="X422" t="s">
        <v>3268</v>
      </c>
      <c r="Y422" t="s">
        <v>7</v>
      </c>
      <c r="Z422" t="s">
        <v>4</v>
      </c>
    </row>
    <row r="423" spans="2:26">
      <c r="B423" t="s">
        <v>3085</v>
      </c>
      <c r="C423" t="s">
        <v>1341</v>
      </c>
      <c r="D423" t="s">
        <v>2073</v>
      </c>
      <c r="E423" t="s">
        <v>2644</v>
      </c>
      <c r="F423" t="s">
        <v>2645</v>
      </c>
      <c r="G423">
        <v>90</v>
      </c>
      <c r="H423" t="s">
        <v>2976</v>
      </c>
      <c r="I423">
        <v>25</v>
      </c>
      <c r="K423" t="s">
        <v>3284</v>
      </c>
      <c r="M423">
        <v>13</v>
      </c>
      <c r="N423" t="s">
        <v>2976</v>
      </c>
      <c r="Q423">
        <v>5.2999999999999999E-2</v>
      </c>
      <c r="R423" t="s">
        <v>3267</v>
      </c>
      <c r="W423">
        <v>0.97</v>
      </c>
      <c r="X423" t="s">
        <v>3268</v>
      </c>
      <c r="Y423" t="s">
        <v>7</v>
      </c>
      <c r="Z423" t="s">
        <v>4</v>
      </c>
    </row>
    <row r="424" spans="2:26">
      <c r="B424" t="s">
        <v>3085</v>
      </c>
      <c r="C424" t="s">
        <v>1341</v>
      </c>
      <c r="D424" t="s">
        <v>2054</v>
      </c>
      <c r="E424" t="s">
        <v>2644</v>
      </c>
      <c r="F424" t="s">
        <v>2645</v>
      </c>
      <c r="G424">
        <v>90</v>
      </c>
      <c r="H424" t="s">
        <v>2976</v>
      </c>
      <c r="I424">
        <v>50</v>
      </c>
      <c r="K424" t="s">
        <v>3284</v>
      </c>
      <c r="M424">
        <v>27.14</v>
      </c>
      <c r="N424" t="s">
        <v>2976</v>
      </c>
      <c r="Q424">
        <v>2.5999999999999999E-2</v>
      </c>
      <c r="R424" t="s">
        <v>3267</v>
      </c>
      <c r="W424">
        <v>0.99</v>
      </c>
      <c r="X424" t="s">
        <v>3268</v>
      </c>
      <c r="Y424" t="s">
        <v>7</v>
      </c>
      <c r="Z424" t="s">
        <v>4</v>
      </c>
    </row>
    <row r="425" spans="2:26">
      <c r="B425" t="s">
        <v>3085</v>
      </c>
      <c r="C425" t="s">
        <v>1341</v>
      </c>
      <c r="D425" t="s">
        <v>2055</v>
      </c>
      <c r="E425" t="s">
        <v>2644</v>
      </c>
      <c r="F425" t="s">
        <v>2645</v>
      </c>
      <c r="G425">
        <v>90</v>
      </c>
      <c r="H425" t="s">
        <v>2976</v>
      </c>
      <c r="I425">
        <v>50</v>
      </c>
      <c r="K425" t="s">
        <v>3284</v>
      </c>
      <c r="M425">
        <v>8.19</v>
      </c>
      <c r="N425" t="s">
        <v>2976</v>
      </c>
      <c r="Q425">
        <v>8.5000000000000006E-2</v>
      </c>
      <c r="R425" t="s">
        <v>3267</v>
      </c>
      <c r="W425">
        <v>0.99</v>
      </c>
      <c r="X425" t="s">
        <v>3268</v>
      </c>
      <c r="Y425" t="s">
        <v>7</v>
      </c>
      <c r="Z425" t="s">
        <v>4</v>
      </c>
    </row>
    <row r="426" spans="2:26">
      <c r="B426" t="s">
        <v>3085</v>
      </c>
      <c r="C426" t="s">
        <v>1341</v>
      </c>
      <c r="D426" t="s">
        <v>2057</v>
      </c>
      <c r="E426" t="s">
        <v>2644</v>
      </c>
      <c r="F426" t="s">
        <v>2645</v>
      </c>
      <c r="G426">
        <v>90</v>
      </c>
      <c r="H426" t="s">
        <v>2976</v>
      </c>
      <c r="I426">
        <v>50</v>
      </c>
      <c r="K426" t="s">
        <v>3284</v>
      </c>
      <c r="M426">
        <v>9.09</v>
      </c>
      <c r="N426" t="s">
        <v>2976</v>
      </c>
      <c r="Q426">
        <v>7.5999999999999998E-2</v>
      </c>
      <c r="R426" t="s">
        <v>3267</v>
      </c>
      <c r="W426">
        <v>0.99</v>
      </c>
      <c r="X426" t="s">
        <v>3268</v>
      </c>
      <c r="Y426" t="s">
        <v>7</v>
      </c>
      <c r="Z426" t="s">
        <v>4</v>
      </c>
    </row>
    <row r="427" spans="2:26">
      <c r="B427" t="s">
        <v>3085</v>
      </c>
      <c r="C427" t="s">
        <v>1341</v>
      </c>
      <c r="D427" t="s">
        <v>2058</v>
      </c>
      <c r="E427" t="s">
        <v>2644</v>
      </c>
      <c r="F427" t="s">
        <v>2645</v>
      </c>
      <c r="G427">
        <v>90</v>
      </c>
      <c r="H427" t="s">
        <v>2976</v>
      </c>
      <c r="I427">
        <v>50</v>
      </c>
      <c r="K427" t="s">
        <v>3284</v>
      </c>
      <c r="M427">
        <v>9.91</v>
      </c>
      <c r="N427" t="s">
        <v>2976</v>
      </c>
      <c r="Q427">
        <v>7.0000000000000007E-2</v>
      </c>
      <c r="R427" t="s">
        <v>3267</v>
      </c>
      <c r="W427">
        <v>0.99</v>
      </c>
      <c r="X427" t="s">
        <v>3268</v>
      </c>
      <c r="Y427" t="s">
        <v>7</v>
      </c>
      <c r="Z427" t="s">
        <v>4</v>
      </c>
    </row>
    <row r="428" spans="2:26">
      <c r="B428" t="s">
        <v>3085</v>
      </c>
      <c r="C428" t="s">
        <v>1341</v>
      </c>
      <c r="D428" t="s">
        <v>2059</v>
      </c>
      <c r="E428" t="s">
        <v>2644</v>
      </c>
      <c r="F428" t="s">
        <v>2645</v>
      </c>
      <c r="G428">
        <v>90</v>
      </c>
      <c r="H428" t="s">
        <v>2976</v>
      </c>
      <c r="I428">
        <v>50</v>
      </c>
      <c r="K428" t="s">
        <v>3284</v>
      </c>
      <c r="M428">
        <v>8.89</v>
      </c>
      <c r="N428" t="s">
        <v>2976</v>
      </c>
      <c r="Q428">
        <v>7.8E-2</v>
      </c>
      <c r="R428" t="s">
        <v>3267</v>
      </c>
      <c r="W428">
        <v>0.99</v>
      </c>
      <c r="X428" t="s">
        <v>3268</v>
      </c>
      <c r="Y428" t="s">
        <v>7</v>
      </c>
      <c r="Z428" t="s">
        <v>4</v>
      </c>
    </row>
    <row r="429" spans="2:26">
      <c r="B429" t="s">
        <v>3085</v>
      </c>
      <c r="C429" t="s">
        <v>1341</v>
      </c>
      <c r="D429" t="s">
        <v>2062</v>
      </c>
      <c r="E429" t="s">
        <v>2644</v>
      </c>
      <c r="F429" t="s">
        <v>2645</v>
      </c>
      <c r="G429">
        <v>90</v>
      </c>
      <c r="H429" t="s">
        <v>2976</v>
      </c>
      <c r="I429">
        <v>50</v>
      </c>
      <c r="K429" t="s">
        <v>3284</v>
      </c>
      <c r="M429">
        <v>9.9</v>
      </c>
      <c r="N429" t="s">
        <v>2976</v>
      </c>
      <c r="Q429">
        <v>7.0000000000000007E-2</v>
      </c>
      <c r="R429" t="s">
        <v>3267</v>
      </c>
      <c r="W429">
        <v>0.98</v>
      </c>
      <c r="X429" t="s">
        <v>3268</v>
      </c>
      <c r="Y429" t="s">
        <v>7</v>
      </c>
      <c r="Z429" t="s">
        <v>4</v>
      </c>
    </row>
    <row r="430" spans="2:26">
      <c r="B430" t="s">
        <v>3085</v>
      </c>
      <c r="C430" t="s">
        <v>1341</v>
      </c>
      <c r="D430" t="s">
        <v>2063</v>
      </c>
      <c r="E430" t="s">
        <v>2644</v>
      </c>
      <c r="F430" t="s">
        <v>2645</v>
      </c>
      <c r="G430">
        <v>90</v>
      </c>
      <c r="H430" t="s">
        <v>2976</v>
      </c>
      <c r="I430">
        <v>50</v>
      </c>
      <c r="K430" t="s">
        <v>3284</v>
      </c>
      <c r="M430">
        <v>11.25</v>
      </c>
      <c r="N430" t="s">
        <v>2976</v>
      </c>
      <c r="Q430">
        <v>6.2E-2</v>
      </c>
      <c r="R430" t="s">
        <v>3267</v>
      </c>
      <c r="W430">
        <v>0.97</v>
      </c>
      <c r="X430" t="s">
        <v>3268</v>
      </c>
      <c r="Y430" t="s">
        <v>7</v>
      </c>
      <c r="Z430" t="s">
        <v>4</v>
      </c>
    </row>
    <row r="431" spans="2:26">
      <c r="B431" t="s">
        <v>3085</v>
      </c>
      <c r="C431" t="s">
        <v>1341</v>
      </c>
      <c r="D431" t="s">
        <v>2064</v>
      </c>
      <c r="E431" t="s">
        <v>2644</v>
      </c>
      <c r="F431" t="s">
        <v>2645</v>
      </c>
      <c r="G431">
        <v>90</v>
      </c>
      <c r="H431" t="s">
        <v>2976</v>
      </c>
      <c r="I431">
        <v>50</v>
      </c>
      <c r="K431" t="s">
        <v>3284</v>
      </c>
      <c r="M431">
        <v>10.77</v>
      </c>
      <c r="N431" t="s">
        <v>2976</v>
      </c>
      <c r="Q431">
        <v>6.4000000000000001E-2</v>
      </c>
      <c r="R431" t="s">
        <v>3267</v>
      </c>
      <c r="W431">
        <v>0.99</v>
      </c>
      <c r="X431" t="s">
        <v>3268</v>
      </c>
      <c r="Y431" t="s">
        <v>7</v>
      </c>
      <c r="Z431" t="s">
        <v>4</v>
      </c>
    </row>
    <row r="432" spans="2:26">
      <c r="B432" t="s">
        <v>3085</v>
      </c>
      <c r="C432" t="s">
        <v>1341</v>
      </c>
      <c r="D432" t="s">
        <v>2067</v>
      </c>
      <c r="E432" t="s">
        <v>2644</v>
      </c>
      <c r="F432" t="s">
        <v>2645</v>
      </c>
      <c r="G432">
        <v>90</v>
      </c>
      <c r="H432" t="s">
        <v>2976</v>
      </c>
      <c r="I432">
        <v>50</v>
      </c>
      <c r="K432" t="s">
        <v>3284</v>
      </c>
      <c r="M432">
        <v>11.52</v>
      </c>
      <c r="N432" t="s">
        <v>2976</v>
      </c>
      <c r="Q432">
        <v>0.06</v>
      </c>
      <c r="R432" t="s">
        <v>3267</v>
      </c>
      <c r="W432">
        <v>0.98</v>
      </c>
      <c r="X432" t="s">
        <v>3268</v>
      </c>
      <c r="Y432" t="s">
        <v>7</v>
      </c>
      <c r="Z432" t="s">
        <v>4</v>
      </c>
    </row>
    <row r="433" spans="1:41">
      <c r="B433" t="s">
        <v>3085</v>
      </c>
      <c r="C433" t="s">
        <v>1341</v>
      </c>
      <c r="D433" t="s">
        <v>2068</v>
      </c>
      <c r="E433" t="s">
        <v>2644</v>
      </c>
      <c r="F433" t="s">
        <v>2645</v>
      </c>
      <c r="G433">
        <v>90</v>
      </c>
      <c r="H433" t="s">
        <v>2976</v>
      </c>
      <c r="I433">
        <v>50</v>
      </c>
      <c r="K433" t="s">
        <v>3284</v>
      </c>
      <c r="M433">
        <v>12.16</v>
      </c>
      <c r="N433" t="s">
        <v>2976</v>
      </c>
      <c r="Q433">
        <v>5.7000000000000002E-2</v>
      </c>
      <c r="R433" t="s">
        <v>3267</v>
      </c>
      <c r="W433">
        <v>0.98</v>
      </c>
      <c r="X433" t="s">
        <v>3268</v>
      </c>
      <c r="Y433" t="s">
        <v>7</v>
      </c>
      <c r="Z433" t="s">
        <v>4</v>
      </c>
    </row>
    <row r="434" spans="1:41">
      <c r="B434" t="s">
        <v>3085</v>
      </c>
      <c r="C434" t="s">
        <v>1341</v>
      </c>
      <c r="D434" t="s">
        <v>2069</v>
      </c>
      <c r="E434" t="s">
        <v>2644</v>
      </c>
      <c r="F434" t="s">
        <v>2645</v>
      </c>
      <c r="G434">
        <v>90</v>
      </c>
      <c r="H434" t="s">
        <v>2976</v>
      </c>
      <c r="I434">
        <v>50</v>
      </c>
      <c r="K434" t="s">
        <v>3284</v>
      </c>
      <c r="M434">
        <v>11.99</v>
      </c>
      <c r="N434" t="s">
        <v>2976</v>
      </c>
      <c r="Q434">
        <v>5.8000000000000003E-2</v>
      </c>
      <c r="R434" t="s">
        <v>3267</v>
      </c>
      <c r="W434">
        <v>0.97</v>
      </c>
      <c r="X434" t="s">
        <v>3268</v>
      </c>
      <c r="Y434" t="s">
        <v>7</v>
      </c>
      <c r="Z434" t="s">
        <v>4</v>
      </c>
    </row>
    <row r="435" spans="1:41">
      <c r="B435" t="s">
        <v>3085</v>
      </c>
      <c r="C435" t="s">
        <v>1341</v>
      </c>
      <c r="D435" t="s">
        <v>2072</v>
      </c>
      <c r="E435" t="s">
        <v>2644</v>
      </c>
      <c r="F435" t="s">
        <v>2645</v>
      </c>
      <c r="G435">
        <v>90</v>
      </c>
      <c r="H435" t="s">
        <v>2976</v>
      </c>
      <c r="I435">
        <v>50</v>
      </c>
      <c r="K435" t="s">
        <v>3284</v>
      </c>
      <c r="M435">
        <v>12.57</v>
      </c>
      <c r="N435" t="s">
        <v>2976</v>
      </c>
      <c r="Q435">
        <v>5.5E-2</v>
      </c>
      <c r="R435" t="s">
        <v>3267</v>
      </c>
      <c r="W435">
        <v>0.96</v>
      </c>
      <c r="X435" t="s">
        <v>3268</v>
      </c>
      <c r="Y435" t="s">
        <v>7</v>
      </c>
      <c r="Z435" t="s">
        <v>4</v>
      </c>
    </row>
    <row r="436" spans="1:41">
      <c r="B436" t="s">
        <v>3085</v>
      </c>
      <c r="C436" t="s">
        <v>1341</v>
      </c>
      <c r="D436" t="s">
        <v>2073</v>
      </c>
      <c r="E436" t="s">
        <v>2644</v>
      </c>
      <c r="F436" t="s">
        <v>2645</v>
      </c>
      <c r="G436">
        <v>90</v>
      </c>
      <c r="H436" t="s">
        <v>2976</v>
      </c>
      <c r="I436">
        <v>50</v>
      </c>
      <c r="K436" t="s">
        <v>3284</v>
      </c>
      <c r="M436">
        <v>13.37</v>
      </c>
      <c r="N436" t="s">
        <v>2976</v>
      </c>
      <c r="Q436">
        <v>5.1999999999999998E-2</v>
      </c>
      <c r="R436" t="s">
        <v>3267</v>
      </c>
      <c r="W436">
        <v>0.91</v>
      </c>
      <c r="X436" t="s">
        <v>3268</v>
      </c>
      <c r="Y436" t="s">
        <v>7</v>
      </c>
      <c r="Z436" t="s">
        <v>4</v>
      </c>
    </row>
    <row r="437" spans="1:41">
      <c r="A437" t="s">
        <v>160</v>
      </c>
      <c r="B437" t="s">
        <v>3083</v>
      </c>
      <c r="C437" t="s">
        <v>1345</v>
      </c>
      <c r="D437" t="s">
        <v>2074</v>
      </c>
      <c r="E437" t="s">
        <v>2889</v>
      </c>
      <c r="F437" t="s">
        <v>2887</v>
      </c>
      <c r="G437">
        <v>49</v>
      </c>
      <c r="H437" t="s">
        <v>2976</v>
      </c>
      <c r="I437">
        <v>2.2999999999999998</v>
      </c>
      <c r="K437" t="s">
        <v>1108</v>
      </c>
      <c r="Y437" t="s">
        <v>7</v>
      </c>
      <c r="Z437" t="s">
        <v>4</v>
      </c>
      <c r="AD437" s="27">
        <v>30.8724832214765</v>
      </c>
      <c r="AK437">
        <v>0.94</v>
      </c>
      <c r="AN437" t="s">
        <v>3270</v>
      </c>
      <c r="AO437">
        <v>0.97499999999999998</v>
      </c>
    </row>
    <row r="438" spans="1:41">
      <c r="B438" t="s">
        <v>3083</v>
      </c>
      <c r="C438" t="s">
        <v>1345</v>
      </c>
      <c r="D438" t="s">
        <v>2075</v>
      </c>
      <c r="E438" t="s">
        <v>2889</v>
      </c>
      <c r="F438" t="s">
        <v>2887</v>
      </c>
      <c r="G438">
        <v>49</v>
      </c>
      <c r="H438" t="s">
        <v>2976</v>
      </c>
      <c r="I438">
        <v>2.2999999999999998</v>
      </c>
      <c r="K438" t="s">
        <v>1108</v>
      </c>
      <c r="Y438" t="s">
        <v>7</v>
      </c>
      <c r="Z438" t="s">
        <v>4</v>
      </c>
      <c r="AD438" s="27">
        <v>4.1163297307571298</v>
      </c>
      <c r="AK438">
        <v>1.69</v>
      </c>
      <c r="AN438" t="s">
        <v>3270</v>
      </c>
      <c r="AO438">
        <v>0.996</v>
      </c>
    </row>
    <row r="439" spans="1:41">
      <c r="B439" t="s">
        <v>3083</v>
      </c>
      <c r="C439" t="s">
        <v>1345</v>
      </c>
      <c r="D439" t="s">
        <v>2079</v>
      </c>
      <c r="E439" t="s">
        <v>2889</v>
      </c>
      <c r="F439" t="s">
        <v>2887</v>
      </c>
      <c r="G439">
        <v>49</v>
      </c>
      <c r="H439" t="s">
        <v>2976</v>
      </c>
      <c r="I439">
        <v>2.2999999999999998</v>
      </c>
      <c r="K439" t="s">
        <v>1108</v>
      </c>
      <c r="Y439" t="s">
        <v>7</v>
      </c>
      <c r="Z439" t="s">
        <v>4</v>
      </c>
      <c r="AD439" s="27">
        <v>2.9530201342281801</v>
      </c>
      <c r="AK439">
        <v>2.34</v>
      </c>
      <c r="AN439" t="s">
        <v>3270</v>
      </c>
      <c r="AO439">
        <v>0.999</v>
      </c>
    </row>
    <row r="440" spans="1:41">
      <c r="A440" t="s">
        <v>796</v>
      </c>
      <c r="B440" t="s">
        <v>3089</v>
      </c>
      <c r="C440" t="s">
        <v>1348</v>
      </c>
      <c r="D440" t="s">
        <v>2080</v>
      </c>
      <c r="E440" t="s">
        <v>2688</v>
      </c>
      <c r="F440" t="s">
        <v>2689</v>
      </c>
      <c r="G440">
        <v>45</v>
      </c>
      <c r="H440" t="s">
        <v>2976</v>
      </c>
      <c r="I440">
        <v>50</v>
      </c>
      <c r="K440" t="s">
        <v>1108</v>
      </c>
      <c r="M440">
        <v>32</v>
      </c>
      <c r="N440" t="s">
        <v>2976</v>
      </c>
      <c r="Q440">
        <f>LN(2)/M440</f>
        <v>2.166084939249829E-2</v>
      </c>
      <c r="R440" t="s">
        <v>3267</v>
      </c>
      <c r="W440">
        <v>0.99970000000000003</v>
      </c>
      <c r="X440" t="s">
        <v>3268</v>
      </c>
      <c r="Y440" t="s">
        <v>7</v>
      </c>
      <c r="Z440" t="s">
        <v>4</v>
      </c>
    </row>
    <row r="441" spans="1:41">
      <c r="B441" t="s">
        <v>3089</v>
      </c>
      <c r="C441" t="s">
        <v>1348</v>
      </c>
      <c r="D441" t="s">
        <v>2082</v>
      </c>
      <c r="E441" t="s">
        <v>2688</v>
      </c>
      <c r="F441" t="s">
        <v>2689</v>
      </c>
      <c r="G441">
        <v>45</v>
      </c>
      <c r="H441" t="s">
        <v>2976</v>
      </c>
      <c r="I441">
        <v>50</v>
      </c>
      <c r="K441" t="s">
        <v>1108</v>
      </c>
      <c r="M441">
        <v>18.600000000000001</v>
      </c>
      <c r="N441" t="s">
        <v>2976</v>
      </c>
      <c r="Q441">
        <f>LN(2)/M441</f>
        <v>3.726597744945942E-2</v>
      </c>
      <c r="R441" t="s">
        <v>3267</v>
      </c>
      <c r="W441">
        <v>0.99529999999999996</v>
      </c>
      <c r="X441" t="s">
        <v>3268</v>
      </c>
      <c r="Y441" t="s">
        <v>7</v>
      </c>
      <c r="Z441" t="s">
        <v>4</v>
      </c>
    </row>
    <row r="442" spans="1:41">
      <c r="B442" t="s">
        <v>3089</v>
      </c>
      <c r="C442" t="s">
        <v>1348</v>
      </c>
      <c r="D442" t="s">
        <v>2080</v>
      </c>
      <c r="E442" t="s">
        <v>2678</v>
      </c>
      <c r="F442" t="s">
        <v>2679</v>
      </c>
      <c r="G442">
        <v>45</v>
      </c>
      <c r="H442" t="s">
        <v>2976</v>
      </c>
      <c r="I442">
        <v>50</v>
      </c>
      <c r="K442" t="s">
        <v>1108</v>
      </c>
      <c r="M442">
        <v>42</v>
      </c>
      <c r="N442" t="s">
        <v>2976</v>
      </c>
      <c r="Q442">
        <f>LN(2)/M442</f>
        <v>1.6503504299046318E-2</v>
      </c>
      <c r="R442" t="s">
        <v>3267</v>
      </c>
      <c r="W442">
        <v>0.99819999999999998</v>
      </c>
      <c r="X442" t="s">
        <v>3268</v>
      </c>
      <c r="Y442" t="s">
        <v>7</v>
      </c>
      <c r="Z442" t="s">
        <v>4</v>
      </c>
    </row>
    <row r="443" spans="1:41">
      <c r="B443" t="s">
        <v>3089</v>
      </c>
      <c r="C443" t="s">
        <v>1348</v>
      </c>
      <c r="D443" t="s">
        <v>2082</v>
      </c>
      <c r="E443" t="s">
        <v>2678</v>
      </c>
      <c r="F443" t="s">
        <v>2679</v>
      </c>
      <c r="G443">
        <v>45</v>
      </c>
      <c r="H443" t="s">
        <v>2976</v>
      </c>
      <c r="I443">
        <v>50</v>
      </c>
      <c r="K443" t="s">
        <v>1108</v>
      </c>
      <c r="M443">
        <v>21.6</v>
      </c>
      <c r="N443" t="s">
        <v>2976</v>
      </c>
      <c r="Q443">
        <f>LN(2)/M443</f>
        <v>3.2090147248145615E-2</v>
      </c>
      <c r="R443" t="s">
        <v>3267</v>
      </c>
      <c r="W443">
        <v>0.99329999999999996</v>
      </c>
      <c r="X443" t="s">
        <v>3268</v>
      </c>
      <c r="Y443" t="s">
        <v>7</v>
      </c>
      <c r="Z443" t="s">
        <v>4</v>
      </c>
    </row>
    <row r="444" spans="1:41">
      <c r="A444" t="s">
        <v>792</v>
      </c>
      <c r="B444" t="s">
        <v>3090</v>
      </c>
      <c r="C444" t="s">
        <v>1355</v>
      </c>
      <c r="D444" t="s">
        <v>2085</v>
      </c>
      <c r="E444" t="s">
        <v>2684</v>
      </c>
      <c r="F444" t="s">
        <v>3294</v>
      </c>
      <c r="G444">
        <v>15</v>
      </c>
      <c r="H444" t="s">
        <v>2976</v>
      </c>
      <c r="I444">
        <v>93.8</v>
      </c>
      <c r="K444" t="s">
        <v>1108</v>
      </c>
      <c r="M444">
        <v>7</v>
      </c>
      <c r="N444" t="s">
        <v>2976</v>
      </c>
      <c r="Q444">
        <v>0.14000000000000001</v>
      </c>
      <c r="R444" t="s">
        <v>3267</v>
      </c>
      <c r="X444" t="s">
        <v>3268</v>
      </c>
      <c r="Y444" t="s">
        <v>7</v>
      </c>
      <c r="Z444" t="s">
        <v>4</v>
      </c>
    </row>
    <row r="445" spans="1:41">
      <c r="B445" t="s">
        <v>3090</v>
      </c>
      <c r="C445" t="s">
        <v>1355</v>
      </c>
      <c r="D445" t="s">
        <v>2086</v>
      </c>
      <c r="E445" t="s">
        <v>2684</v>
      </c>
      <c r="F445" t="s">
        <v>3294</v>
      </c>
      <c r="G445">
        <v>15</v>
      </c>
      <c r="H445" t="s">
        <v>2976</v>
      </c>
      <c r="I445">
        <v>93.8</v>
      </c>
      <c r="K445" t="s">
        <v>1108</v>
      </c>
      <c r="M445">
        <v>2</v>
      </c>
      <c r="N445" t="s">
        <v>2976</v>
      </c>
      <c r="Q445">
        <v>0.45</v>
      </c>
      <c r="R445" t="s">
        <v>3267</v>
      </c>
      <c r="X445" t="s">
        <v>3268</v>
      </c>
      <c r="Y445" t="s">
        <v>7</v>
      </c>
      <c r="Z445" t="s">
        <v>4</v>
      </c>
    </row>
    <row r="446" spans="1:41">
      <c r="B446" t="s">
        <v>3090</v>
      </c>
      <c r="C446" t="s">
        <v>1355</v>
      </c>
      <c r="D446" t="s">
        <v>2088</v>
      </c>
      <c r="E446" t="s">
        <v>2684</v>
      </c>
      <c r="F446" t="s">
        <v>3294</v>
      </c>
      <c r="G446">
        <v>15</v>
      </c>
      <c r="H446" t="s">
        <v>2976</v>
      </c>
      <c r="I446">
        <v>93.8</v>
      </c>
      <c r="K446" t="s">
        <v>1108</v>
      </c>
      <c r="M446">
        <v>3.9</v>
      </c>
      <c r="N446" t="s">
        <v>2976</v>
      </c>
      <c r="Q446">
        <v>0.22</v>
      </c>
      <c r="R446" t="s">
        <v>3267</v>
      </c>
      <c r="X446" t="s">
        <v>3268</v>
      </c>
      <c r="Y446" t="s">
        <v>7</v>
      </c>
      <c r="Z446" t="s">
        <v>4</v>
      </c>
    </row>
    <row r="447" spans="1:41">
      <c r="B447" t="s">
        <v>3090</v>
      </c>
      <c r="C447" t="s">
        <v>1355</v>
      </c>
      <c r="D447" t="s">
        <v>2090</v>
      </c>
      <c r="E447" t="s">
        <v>2684</v>
      </c>
      <c r="F447" t="s">
        <v>3294</v>
      </c>
      <c r="G447">
        <v>15</v>
      </c>
      <c r="H447" t="s">
        <v>2976</v>
      </c>
      <c r="I447">
        <v>93.8</v>
      </c>
      <c r="K447" t="s">
        <v>1108</v>
      </c>
      <c r="M447">
        <v>4.2</v>
      </c>
      <c r="N447" t="s">
        <v>2976</v>
      </c>
      <c r="Q447">
        <v>0.19</v>
      </c>
      <c r="R447" t="s">
        <v>3267</v>
      </c>
      <c r="X447" t="s">
        <v>3268</v>
      </c>
      <c r="Y447" t="s">
        <v>7</v>
      </c>
      <c r="Z447" t="s">
        <v>4</v>
      </c>
    </row>
    <row r="448" spans="1:41">
      <c r="B448" t="s">
        <v>3090</v>
      </c>
      <c r="C448" t="s">
        <v>1355</v>
      </c>
      <c r="D448" t="s">
        <v>2092</v>
      </c>
      <c r="E448" t="s">
        <v>2684</v>
      </c>
      <c r="F448" t="s">
        <v>3294</v>
      </c>
      <c r="G448">
        <v>15</v>
      </c>
      <c r="H448" t="s">
        <v>2976</v>
      </c>
      <c r="I448">
        <v>93.8</v>
      </c>
      <c r="K448" t="s">
        <v>1108</v>
      </c>
      <c r="M448">
        <v>4.5</v>
      </c>
      <c r="N448" t="s">
        <v>2976</v>
      </c>
      <c r="Q448">
        <v>0.16</v>
      </c>
      <c r="R448" t="s">
        <v>3267</v>
      </c>
      <c r="X448" t="s">
        <v>3268</v>
      </c>
      <c r="Y448" t="s">
        <v>7</v>
      </c>
      <c r="Z448" t="s">
        <v>4</v>
      </c>
    </row>
    <row r="449" spans="2:26">
      <c r="B449" t="s">
        <v>3090</v>
      </c>
      <c r="C449" t="s">
        <v>1355</v>
      </c>
      <c r="D449" t="s">
        <v>2094</v>
      </c>
      <c r="E449" t="s">
        <v>2684</v>
      </c>
      <c r="F449" t="s">
        <v>3294</v>
      </c>
      <c r="G449">
        <v>15</v>
      </c>
      <c r="H449" t="s">
        <v>2976</v>
      </c>
      <c r="I449">
        <v>93.8</v>
      </c>
      <c r="K449" t="s">
        <v>1108</v>
      </c>
      <c r="M449">
        <v>2.8</v>
      </c>
      <c r="N449" t="s">
        <v>2976</v>
      </c>
      <c r="Q449">
        <v>0.33</v>
      </c>
      <c r="R449" t="s">
        <v>3267</v>
      </c>
      <c r="X449" t="s">
        <v>3268</v>
      </c>
      <c r="Y449" t="s">
        <v>7</v>
      </c>
      <c r="Z449" t="s">
        <v>4</v>
      </c>
    </row>
    <row r="450" spans="2:26">
      <c r="B450" t="s">
        <v>3090</v>
      </c>
      <c r="C450" t="s">
        <v>1355</v>
      </c>
      <c r="D450" t="s">
        <v>2085</v>
      </c>
      <c r="E450" t="s">
        <v>2671</v>
      </c>
      <c r="F450" t="s">
        <v>3295</v>
      </c>
      <c r="G450">
        <v>15</v>
      </c>
      <c r="H450" t="s">
        <v>2976</v>
      </c>
      <c r="I450">
        <v>46.9</v>
      </c>
      <c r="K450" t="s">
        <v>1108</v>
      </c>
      <c r="M450">
        <v>2.5</v>
      </c>
      <c r="N450" t="s">
        <v>2976</v>
      </c>
      <c r="Q450">
        <v>0.33</v>
      </c>
      <c r="R450" t="s">
        <v>3267</v>
      </c>
      <c r="X450" t="s">
        <v>3268</v>
      </c>
      <c r="Y450" t="s">
        <v>7</v>
      </c>
      <c r="Z450" t="s">
        <v>4</v>
      </c>
    </row>
    <row r="451" spans="2:26">
      <c r="B451" t="s">
        <v>3090</v>
      </c>
      <c r="C451" t="s">
        <v>1355</v>
      </c>
      <c r="D451" t="s">
        <v>2086</v>
      </c>
      <c r="E451" t="s">
        <v>2671</v>
      </c>
      <c r="F451" t="s">
        <v>3295</v>
      </c>
      <c r="G451">
        <v>15</v>
      </c>
      <c r="H451" t="s">
        <v>2976</v>
      </c>
      <c r="I451">
        <v>46.9</v>
      </c>
      <c r="K451" t="s">
        <v>1108</v>
      </c>
      <c r="M451">
        <v>0.5</v>
      </c>
      <c r="N451" t="s">
        <v>2976</v>
      </c>
      <c r="Q451">
        <v>1.3</v>
      </c>
      <c r="R451" t="s">
        <v>3267</v>
      </c>
      <c r="X451" t="s">
        <v>3268</v>
      </c>
      <c r="Y451" t="s">
        <v>7</v>
      </c>
      <c r="Z451" t="s">
        <v>4</v>
      </c>
    </row>
    <row r="452" spans="2:26">
      <c r="B452" t="s">
        <v>3090</v>
      </c>
      <c r="C452" t="s">
        <v>1355</v>
      </c>
      <c r="D452" t="s">
        <v>2088</v>
      </c>
      <c r="E452" t="s">
        <v>2671</v>
      </c>
      <c r="F452" t="s">
        <v>3295</v>
      </c>
      <c r="G452">
        <v>15</v>
      </c>
      <c r="H452" t="s">
        <v>2976</v>
      </c>
      <c r="I452">
        <v>46.9</v>
      </c>
      <c r="K452" t="s">
        <v>1108</v>
      </c>
      <c r="M452">
        <v>0.9</v>
      </c>
      <c r="N452" t="s">
        <v>2976</v>
      </c>
      <c r="Q452">
        <v>0.8</v>
      </c>
      <c r="R452" t="s">
        <v>3267</v>
      </c>
      <c r="X452" t="s">
        <v>3268</v>
      </c>
      <c r="Y452" t="s">
        <v>7</v>
      </c>
      <c r="Z452" t="s">
        <v>4</v>
      </c>
    </row>
    <row r="453" spans="2:26">
      <c r="B453" t="s">
        <v>3090</v>
      </c>
      <c r="C453" t="s">
        <v>1355</v>
      </c>
      <c r="D453" t="s">
        <v>2090</v>
      </c>
      <c r="E453" t="s">
        <v>2671</v>
      </c>
      <c r="F453" t="s">
        <v>3295</v>
      </c>
      <c r="G453">
        <v>15</v>
      </c>
      <c r="H453" t="s">
        <v>2976</v>
      </c>
      <c r="I453">
        <v>46.9</v>
      </c>
      <c r="K453" t="s">
        <v>1108</v>
      </c>
      <c r="M453">
        <v>0.5</v>
      </c>
      <c r="N453" t="s">
        <v>2976</v>
      </c>
      <c r="Q453">
        <v>1.4</v>
      </c>
      <c r="R453" t="s">
        <v>3267</v>
      </c>
      <c r="X453" t="s">
        <v>3268</v>
      </c>
      <c r="Y453" t="s">
        <v>7</v>
      </c>
      <c r="Z453" t="s">
        <v>4</v>
      </c>
    </row>
    <row r="454" spans="2:26">
      <c r="B454" t="s">
        <v>3090</v>
      </c>
      <c r="C454" t="s">
        <v>1355</v>
      </c>
      <c r="D454" t="s">
        <v>2092</v>
      </c>
      <c r="E454" t="s">
        <v>2671</v>
      </c>
      <c r="F454" t="s">
        <v>3295</v>
      </c>
      <c r="G454">
        <v>15</v>
      </c>
      <c r="H454" t="s">
        <v>2976</v>
      </c>
      <c r="I454">
        <v>46.9</v>
      </c>
      <c r="K454" t="s">
        <v>1108</v>
      </c>
      <c r="M454">
        <v>0.4</v>
      </c>
      <c r="N454" t="s">
        <v>2976</v>
      </c>
      <c r="Q454">
        <v>1.79</v>
      </c>
      <c r="R454" t="s">
        <v>3267</v>
      </c>
      <c r="X454" t="s">
        <v>3268</v>
      </c>
      <c r="Y454" t="s">
        <v>7</v>
      </c>
      <c r="Z454" t="s">
        <v>4</v>
      </c>
    </row>
    <row r="455" spans="2:26">
      <c r="B455" t="s">
        <v>3090</v>
      </c>
      <c r="C455" t="s">
        <v>1355</v>
      </c>
      <c r="D455" t="s">
        <v>2094</v>
      </c>
      <c r="E455" t="s">
        <v>2671</v>
      </c>
      <c r="F455" t="s">
        <v>3295</v>
      </c>
      <c r="G455">
        <v>15</v>
      </c>
      <c r="H455" t="s">
        <v>2976</v>
      </c>
      <c r="I455">
        <v>46.9</v>
      </c>
      <c r="K455" t="s">
        <v>1108</v>
      </c>
      <c r="M455">
        <v>0.6</v>
      </c>
      <c r="N455" t="s">
        <v>2976</v>
      </c>
      <c r="Q455">
        <v>1.1100000000000001</v>
      </c>
      <c r="R455" t="s">
        <v>3267</v>
      </c>
      <c r="X455" t="s">
        <v>3268</v>
      </c>
      <c r="Y455" t="s">
        <v>7</v>
      </c>
      <c r="Z455" t="s">
        <v>4</v>
      </c>
    </row>
    <row r="456" spans="2:26">
      <c r="B456" t="s">
        <v>3090</v>
      </c>
      <c r="C456" t="s">
        <v>1355</v>
      </c>
      <c r="D456" t="s">
        <v>2085</v>
      </c>
      <c r="E456" t="s">
        <v>2934</v>
      </c>
      <c r="F456" t="s">
        <v>3296</v>
      </c>
      <c r="G456">
        <v>15</v>
      </c>
      <c r="H456" t="s">
        <v>2976</v>
      </c>
      <c r="I456">
        <v>93.8</v>
      </c>
      <c r="K456" t="s">
        <v>1108</v>
      </c>
      <c r="M456">
        <v>5.6</v>
      </c>
      <c r="N456" t="s">
        <v>2976</v>
      </c>
      <c r="Q456">
        <v>0.16</v>
      </c>
      <c r="R456" t="s">
        <v>3267</v>
      </c>
      <c r="X456" t="s">
        <v>3268</v>
      </c>
      <c r="Y456" t="s">
        <v>7</v>
      </c>
      <c r="Z456" t="s">
        <v>4</v>
      </c>
    </row>
    <row r="457" spans="2:26">
      <c r="B457" t="s">
        <v>3090</v>
      </c>
      <c r="C457" t="s">
        <v>1355</v>
      </c>
      <c r="D457" t="s">
        <v>2086</v>
      </c>
      <c r="E457" t="s">
        <v>2934</v>
      </c>
      <c r="F457" t="s">
        <v>3296</v>
      </c>
      <c r="G457">
        <v>15</v>
      </c>
      <c r="H457" t="s">
        <v>2976</v>
      </c>
      <c r="I457">
        <v>93.8</v>
      </c>
      <c r="K457" t="s">
        <v>1108</v>
      </c>
      <c r="M457">
        <v>1.6</v>
      </c>
      <c r="N457" t="s">
        <v>2976</v>
      </c>
      <c r="Q457">
        <v>0.6</v>
      </c>
      <c r="R457" t="s">
        <v>3267</v>
      </c>
      <c r="X457" t="s">
        <v>3268</v>
      </c>
      <c r="Y457" t="s">
        <v>7</v>
      </c>
      <c r="Z457" t="s">
        <v>4</v>
      </c>
    </row>
    <row r="458" spans="2:26">
      <c r="B458" t="s">
        <v>3090</v>
      </c>
      <c r="C458" t="s">
        <v>1355</v>
      </c>
      <c r="D458" t="s">
        <v>2088</v>
      </c>
      <c r="E458" t="s">
        <v>2934</v>
      </c>
      <c r="F458" t="s">
        <v>3296</v>
      </c>
      <c r="G458">
        <v>15</v>
      </c>
      <c r="H458" t="s">
        <v>2976</v>
      </c>
      <c r="I458">
        <v>93.8</v>
      </c>
      <c r="K458" t="s">
        <v>1108</v>
      </c>
      <c r="M458">
        <v>3</v>
      </c>
      <c r="N458" t="s">
        <v>2976</v>
      </c>
      <c r="Q458">
        <v>0.28999999999999998</v>
      </c>
      <c r="R458" t="s">
        <v>3267</v>
      </c>
      <c r="X458" t="s">
        <v>3268</v>
      </c>
      <c r="Y458" t="s">
        <v>7</v>
      </c>
      <c r="Z458" t="s">
        <v>4</v>
      </c>
    </row>
    <row r="459" spans="2:26">
      <c r="B459" t="s">
        <v>3090</v>
      </c>
      <c r="C459" t="s">
        <v>1355</v>
      </c>
      <c r="D459" t="s">
        <v>2090</v>
      </c>
      <c r="E459" t="s">
        <v>2934</v>
      </c>
      <c r="F459" t="s">
        <v>3296</v>
      </c>
      <c r="G459">
        <v>15</v>
      </c>
      <c r="H459" t="s">
        <v>2976</v>
      </c>
      <c r="I459">
        <v>93.8</v>
      </c>
      <c r="K459" t="s">
        <v>1108</v>
      </c>
      <c r="M459">
        <v>3.5</v>
      </c>
      <c r="N459" t="s">
        <v>2976</v>
      </c>
      <c r="Q459">
        <v>0.22</v>
      </c>
      <c r="R459" t="s">
        <v>3267</v>
      </c>
      <c r="X459" t="s">
        <v>3268</v>
      </c>
      <c r="Y459" t="s">
        <v>7</v>
      </c>
      <c r="Z459" t="s">
        <v>4</v>
      </c>
    </row>
    <row r="460" spans="2:26">
      <c r="B460" t="s">
        <v>3090</v>
      </c>
      <c r="C460" t="s">
        <v>1355</v>
      </c>
      <c r="D460" t="s">
        <v>2092</v>
      </c>
      <c r="E460" t="s">
        <v>2934</v>
      </c>
      <c r="F460" t="s">
        <v>3296</v>
      </c>
      <c r="G460">
        <v>15</v>
      </c>
      <c r="H460" t="s">
        <v>2976</v>
      </c>
      <c r="I460">
        <v>93.8</v>
      </c>
      <c r="K460" t="s">
        <v>1108</v>
      </c>
      <c r="M460">
        <v>4</v>
      </c>
      <c r="N460" t="s">
        <v>2976</v>
      </c>
      <c r="Q460">
        <v>0.17</v>
      </c>
      <c r="R460" t="s">
        <v>3267</v>
      </c>
      <c r="X460" t="s">
        <v>3268</v>
      </c>
      <c r="Y460" t="s">
        <v>7</v>
      </c>
      <c r="Z460" t="s">
        <v>4</v>
      </c>
    </row>
    <row r="461" spans="2:26">
      <c r="B461" t="s">
        <v>3090</v>
      </c>
      <c r="C461" t="s">
        <v>1355</v>
      </c>
      <c r="D461" t="s">
        <v>2094</v>
      </c>
      <c r="E461" t="s">
        <v>2934</v>
      </c>
      <c r="F461" t="s">
        <v>3296</v>
      </c>
      <c r="G461">
        <v>15</v>
      </c>
      <c r="H461" t="s">
        <v>2976</v>
      </c>
      <c r="I461">
        <v>93.8</v>
      </c>
      <c r="K461" t="s">
        <v>1108</v>
      </c>
      <c r="M461">
        <v>1.9</v>
      </c>
      <c r="N461" t="s">
        <v>2976</v>
      </c>
      <c r="Q461">
        <v>0.43</v>
      </c>
      <c r="R461" t="s">
        <v>3267</v>
      </c>
      <c r="X461" t="s">
        <v>3268</v>
      </c>
      <c r="Y461" t="s">
        <v>7</v>
      </c>
      <c r="Z461" t="s">
        <v>4</v>
      </c>
    </row>
    <row r="462" spans="2:26">
      <c r="B462" t="s">
        <v>3092</v>
      </c>
      <c r="C462" t="s">
        <v>1352</v>
      </c>
      <c r="D462" t="s">
        <v>2085</v>
      </c>
      <c r="E462" t="s">
        <v>2684</v>
      </c>
      <c r="F462" t="s">
        <v>3294</v>
      </c>
      <c r="G462">
        <v>15</v>
      </c>
      <c r="H462" t="s">
        <v>2976</v>
      </c>
      <c r="I462">
        <v>93.8</v>
      </c>
      <c r="K462" t="s">
        <v>1108</v>
      </c>
      <c r="M462">
        <v>7.2</v>
      </c>
      <c r="N462" t="s">
        <v>2976</v>
      </c>
      <c r="Q462">
        <v>0.13</v>
      </c>
      <c r="R462" t="s">
        <v>3267</v>
      </c>
      <c r="X462" t="s">
        <v>3268</v>
      </c>
      <c r="Y462" t="s">
        <v>7</v>
      </c>
      <c r="Z462" t="s">
        <v>4</v>
      </c>
    </row>
    <row r="463" spans="2:26">
      <c r="B463" t="s">
        <v>3092</v>
      </c>
      <c r="C463" t="s">
        <v>1355</v>
      </c>
      <c r="D463" t="s">
        <v>2085</v>
      </c>
      <c r="E463" t="s">
        <v>2684</v>
      </c>
      <c r="F463" t="s">
        <v>3294</v>
      </c>
      <c r="G463">
        <v>15</v>
      </c>
      <c r="H463" t="s">
        <v>2976</v>
      </c>
      <c r="I463">
        <v>93.8</v>
      </c>
      <c r="K463" t="s">
        <v>1108</v>
      </c>
      <c r="M463">
        <v>6.3</v>
      </c>
      <c r="N463" t="s">
        <v>2976</v>
      </c>
      <c r="Q463">
        <v>0.15</v>
      </c>
      <c r="R463" t="s">
        <v>3267</v>
      </c>
      <c r="X463" t="s">
        <v>3268</v>
      </c>
      <c r="Y463" t="s">
        <v>7</v>
      </c>
      <c r="Z463" t="s">
        <v>4</v>
      </c>
    </row>
    <row r="464" spans="2:26">
      <c r="B464" t="s">
        <v>3092</v>
      </c>
      <c r="C464" t="s">
        <v>1357</v>
      </c>
      <c r="D464" t="s">
        <v>2085</v>
      </c>
      <c r="E464" t="s">
        <v>2684</v>
      </c>
      <c r="F464" t="s">
        <v>3294</v>
      </c>
      <c r="G464">
        <v>15</v>
      </c>
      <c r="H464" t="s">
        <v>2976</v>
      </c>
      <c r="I464">
        <v>93.8</v>
      </c>
      <c r="K464" t="s">
        <v>1108</v>
      </c>
      <c r="M464">
        <v>5.5</v>
      </c>
      <c r="N464" t="s">
        <v>2976</v>
      </c>
      <c r="Q464">
        <v>0.15</v>
      </c>
      <c r="R464" t="s">
        <v>3267</v>
      </c>
      <c r="X464" t="s">
        <v>3268</v>
      </c>
      <c r="Y464" t="s">
        <v>7</v>
      </c>
      <c r="Z464" t="s">
        <v>4</v>
      </c>
    </row>
    <row r="465" spans="1:36">
      <c r="B465" t="s">
        <v>3092</v>
      </c>
      <c r="C465" t="s">
        <v>1352</v>
      </c>
      <c r="D465" t="s">
        <v>2086</v>
      </c>
      <c r="E465" t="s">
        <v>2684</v>
      </c>
      <c r="F465" t="s">
        <v>3294</v>
      </c>
      <c r="G465">
        <v>15</v>
      </c>
      <c r="H465" t="s">
        <v>2976</v>
      </c>
      <c r="I465">
        <v>93.8</v>
      </c>
      <c r="K465" t="s">
        <v>1108</v>
      </c>
      <c r="M465">
        <v>1.5</v>
      </c>
      <c r="N465" t="s">
        <v>2976</v>
      </c>
      <c r="Q465">
        <v>0.66</v>
      </c>
      <c r="R465" t="s">
        <v>3267</v>
      </c>
      <c r="X465" t="s">
        <v>3268</v>
      </c>
      <c r="Y465" t="s">
        <v>7</v>
      </c>
      <c r="Z465" t="s">
        <v>4</v>
      </c>
    </row>
    <row r="466" spans="1:36">
      <c r="B466" t="s">
        <v>3092</v>
      </c>
      <c r="C466" t="s">
        <v>1355</v>
      </c>
      <c r="D466" t="s">
        <v>2086</v>
      </c>
      <c r="E466" t="s">
        <v>2684</v>
      </c>
      <c r="F466" t="s">
        <v>3294</v>
      </c>
      <c r="G466">
        <v>15</v>
      </c>
      <c r="H466" t="s">
        <v>2976</v>
      </c>
      <c r="I466">
        <v>93.8</v>
      </c>
      <c r="K466" t="s">
        <v>1108</v>
      </c>
      <c r="M466">
        <v>1.8</v>
      </c>
      <c r="N466" t="s">
        <v>2976</v>
      </c>
      <c r="Q466">
        <v>0.51</v>
      </c>
      <c r="R466" t="s">
        <v>3267</v>
      </c>
      <c r="X466" t="s">
        <v>3268</v>
      </c>
      <c r="Y466" t="s">
        <v>7</v>
      </c>
      <c r="Z466" t="s">
        <v>4</v>
      </c>
    </row>
    <row r="467" spans="1:36">
      <c r="B467" t="s">
        <v>3092</v>
      </c>
      <c r="C467" t="s">
        <v>1357</v>
      </c>
      <c r="D467" t="s">
        <v>2086</v>
      </c>
      <c r="E467" t="s">
        <v>2684</v>
      </c>
      <c r="F467" t="s">
        <v>3294</v>
      </c>
      <c r="G467">
        <v>15</v>
      </c>
      <c r="H467" t="s">
        <v>2976</v>
      </c>
      <c r="I467">
        <v>93.8</v>
      </c>
      <c r="K467" t="s">
        <v>1108</v>
      </c>
      <c r="M467">
        <v>1.7</v>
      </c>
      <c r="N467" t="s">
        <v>2976</v>
      </c>
      <c r="Q467">
        <v>0.56999999999999995</v>
      </c>
      <c r="R467" t="s">
        <v>3267</v>
      </c>
      <c r="X467" t="s">
        <v>3268</v>
      </c>
      <c r="Y467" t="s">
        <v>7</v>
      </c>
      <c r="Z467" t="s">
        <v>4</v>
      </c>
    </row>
    <row r="468" spans="1:36">
      <c r="B468" t="s">
        <v>3092</v>
      </c>
      <c r="C468" t="s">
        <v>1352</v>
      </c>
      <c r="D468" t="s">
        <v>2085</v>
      </c>
      <c r="E468" t="s">
        <v>2671</v>
      </c>
      <c r="F468" t="s">
        <v>3295</v>
      </c>
      <c r="G468">
        <v>15</v>
      </c>
      <c r="H468" t="s">
        <v>2976</v>
      </c>
      <c r="I468">
        <v>46.9</v>
      </c>
      <c r="K468" t="s">
        <v>1108</v>
      </c>
      <c r="M468">
        <v>2.2999999999999998</v>
      </c>
      <c r="N468" t="s">
        <v>2976</v>
      </c>
      <c r="Q468">
        <v>0.36</v>
      </c>
      <c r="R468" t="s">
        <v>3267</v>
      </c>
      <c r="X468" t="s">
        <v>3268</v>
      </c>
      <c r="Y468" t="s">
        <v>7</v>
      </c>
      <c r="Z468" t="s">
        <v>4</v>
      </c>
    </row>
    <row r="469" spans="1:36">
      <c r="B469" t="s">
        <v>3092</v>
      </c>
      <c r="C469" t="s">
        <v>1355</v>
      </c>
      <c r="D469" t="s">
        <v>2085</v>
      </c>
      <c r="E469" t="s">
        <v>2671</v>
      </c>
      <c r="F469" t="s">
        <v>3295</v>
      </c>
      <c r="G469">
        <v>15</v>
      </c>
      <c r="H469" t="s">
        <v>2976</v>
      </c>
      <c r="I469">
        <v>46.9</v>
      </c>
      <c r="K469" t="s">
        <v>1108</v>
      </c>
      <c r="M469">
        <v>2.5</v>
      </c>
      <c r="N469" t="s">
        <v>2976</v>
      </c>
      <c r="Q469">
        <v>0.33</v>
      </c>
      <c r="R469" t="s">
        <v>3267</v>
      </c>
      <c r="X469" t="s">
        <v>3268</v>
      </c>
      <c r="Y469" t="s">
        <v>7</v>
      </c>
      <c r="Z469" t="s">
        <v>4</v>
      </c>
    </row>
    <row r="470" spans="1:36">
      <c r="B470" t="s">
        <v>3092</v>
      </c>
      <c r="C470" t="s">
        <v>1357</v>
      </c>
      <c r="D470" t="s">
        <v>2085</v>
      </c>
      <c r="E470" t="s">
        <v>2671</v>
      </c>
      <c r="F470" t="s">
        <v>3295</v>
      </c>
      <c r="G470">
        <v>15</v>
      </c>
      <c r="H470" t="s">
        <v>2976</v>
      </c>
      <c r="I470">
        <v>46.9</v>
      </c>
      <c r="K470" t="s">
        <v>1108</v>
      </c>
      <c r="M470">
        <v>1.2</v>
      </c>
      <c r="N470" t="s">
        <v>2976</v>
      </c>
      <c r="Q470">
        <v>0.61</v>
      </c>
      <c r="R470" t="s">
        <v>3267</v>
      </c>
      <c r="X470" t="s">
        <v>3268</v>
      </c>
      <c r="Y470" t="s">
        <v>7</v>
      </c>
      <c r="Z470" t="s">
        <v>4</v>
      </c>
    </row>
    <row r="471" spans="1:36">
      <c r="B471" t="s">
        <v>3092</v>
      </c>
      <c r="C471" t="s">
        <v>1352</v>
      </c>
      <c r="D471" t="s">
        <v>2086</v>
      </c>
      <c r="E471" t="s">
        <v>2671</v>
      </c>
      <c r="F471" t="s">
        <v>3295</v>
      </c>
      <c r="G471">
        <v>15</v>
      </c>
      <c r="H471" t="s">
        <v>2976</v>
      </c>
      <c r="I471">
        <v>46.9</v>
      </c>
      <c r="K471" t="s">
        <v>1108</v>
      </c>
      <c r="M471">
        <v>0.5</v>
      </c>
      <c r="N471" t="s">
        <v>2976</v>
      </c>
      <c r="Q471">
        <v>1.51</v>
      </c>
      <c r="R471" t="s">
        <v>3267</v>
      </c>
      <c r="X471" t="s">
        <v>3268</v>
      </c>
      <c r="Y471" t="s">
        <v>7</v>
      </c>
      <c r="Z471" t="s">
        <v>4</v>
      </c>
    </row>
    <row r="472" spans="1:36">
      <c r="B472" t="s">
        <v>3092</v>
      </c>
      <c r="C472" t="s">
        <v>1355</v>
      </c>
      <c r="D472" t="s">
        <v>2086</v>
      </c>
      <c r="E472" t="s">
        <v>2671</v>
      </c>
      <c r="F472" t="s">
        <v>3295</v>
      </c>
      <c r="G472">
        <v>15</v>
      </c>
      <c r="H472" t="s">
        <v>2976</v>
      </c>
      <c r="I472">
        <v>46.9</v>
      </c>
      <c r="K472" t="s">
        <v>1108</v>
      </c>
      <c r="M472">
        <v>0.5</v>
      </c>
      <c r="N472" t="s">
        <v>2976</v>
      </c>
      <c r="Q472">
        <v>1.3</v>
      </c>
      <c r="R472" t="s">
        <v>3267</v>
      </c>
      <c r="X472" t="s">
        <v>3268</v>
      </c>
      <c r="Y472" t="s">
        <v>7</v>
      </c>
      <c r="Z472" t="s">
        <v>4</v>
      </c>
    </row>
    <row r="473" spans="1:36">
      <c r="B473" t="s">
        <v>3092</v>
      </c>
      <c r="C473" t="s">
        <v>1357</v>
      </c>
      <c r="D473" t="s">
        <v>2086</v>
      </c>
      <c r="E473" t="s">
        <v>2671</v>
      </c>
      <c r="F473" t="s">
        <v>3295</v>
      </c>
      <c r="G473">
        <v>15</v>
      </c>
      <c r="H473" t="s">
        <v>2976</v>
      </c>
      <c r="I473">
        <v>46.9</v>
      </c>
      <c r="K473" t="s">
        <v>1108</v>
      </c>
      <c r="M473">
        <v>0.4</v>
      </c>
      <c r="N473" t="s">
        <v>2976</v>
      </c>
      <c r="Q473">
        <v>1.79</v>
      </c>
      <c r="R473" t="s">
        <v>3267</v>
      </c>
      <c r="X473" t="s">
        <v>3268</v>
      </c>
      <c r="Y473" t="s">
        <v>7</v>
      </c>
      <c r="Z473" t="s">
        <v>4</v>
      </c>
    </row>
    <row r="474" spans="1:36">
      <c r="A474" t="s">
        <v>190</v>
      </c>
      <c r="B474" t="s">
        <v>3094</v>
      </c>
      <c r="C474" t="s">
        <v>1359</v>
      </c>
      <c r="D474" t="s">
        <v>2096</v>
      </c>
      <c r="E474" t="s">
        <v>2616</v>
      </c>
      <c r="F474" t="s">
        <v>2607</v>
      </c>
      <c r="G474">
        <v>88</v>
      </c>
      <c r="H474" t="s">
        <v>2976</v>
      </c>
      <c r="I474">
        <v>3</v>
      </c>
      <c r="K474" t="s">
        <v>1108</v>
      </c>
      <c r="X474" t="s">
        <v>3268</v>
      </c>
      <c r="Y474" t="s">
        <v>7</v>
      </c>
      <c r="Z474" t="s">
        <v>4</v>
      </c>
      <c r="AD474">
        <v>72.400000000000006</v>
      </c>
      <c r="AG474">
        <v>0.126</v>
      </c>
      <c r="AH474" t="s">
        <v>3267</v>
      </c>
      <c r="AI474">
        <v>0.98</v>
      </c>
      <c r="AJ474" t="s">
        <v>3297</v>
      </c>
    </row>
    <row r="475" spans="1:36">
      <c r="B475" t="s">
        <v>3094</v>
      </c>
      <c r="C475" t="s">
        <v>1359</v>
      </c>
      <c r="D475" t="s">
        <v>2097</v>
      </c>
      <c r="E475" t="s">
        <v>2616</v>
      </c>
      <c r="F475" t="s">
        <v>2607</v>
      </c>
      <c r="G475">
        <v>88</v>
      </c>
      <c r="H475" t="s">
        <v>2976</v>
      </c>
      <c r="I475">
        <v>3</v>
      </c>
      <c r="K475" t="s">
        <v>1108</v>
      </c>
      <c r="X475" t="s">
        <v>3268</v>
      </c>
      <c r="Y475" t="s">
        <v>7</v>
      </c>
      <c r="Z475" t="s">
        <v>4</v>
      </c>
      <c r="AD475">
        <v>74</v>
      </c>
      <c r="AG475">
        <v>0.16400000000000001</v>
      </c>
      <c r="AH475" t="s">
        <v>3267</v>
      </c>
      <c r="AI475">
        <v>0.98</v>
      </c>
      <c r="AJ475" t="s">
        <v>3297</v>
      </c>
    </row>
    <row r="476" spans="1:36">
      <c r="B476" t="s">
        <v>3094</v>
      </c>
      <c r="C476" t="s">
        <v>1359</v>
      </c>
      <c r="D476" t="s">
        <v>2102</v>
      </c>
      <c r="E476" t="s">
        <v>2616</v>
      </c>
      <c r="F476" t="s">
        <v>2607</v>
      </c>
      <c r="G476">
        <v>88</v>
      </c>
      <c r="H476" t="s">
        <v>2976</v>
      </c>
      <c r="I476">
        <v>3</v>
      </c>
      <c r="K476" t="s">
        <v>1108</v>
      </c>
      <c r="X476" t="s">
        <v>3268</v>
      </c>
      <c r="Y476" t="s">
        <v>7</v>
      </c>
      <c r="Z476" t="s">
        <v>4</v>
      </c>
      <c r="AD476">
        <v>72.400000000000006</v>
      </c>
      <c r="AG476">
        <v>0.156</v>
      </c>
      <c r="AH476" t="s">
        <v>3267</v>
      </c>
      <c r="AI476">
        <v>0.98</v>
      </c>
      <c r="AJ476" t="s">
        <v>3297</v>
      </c>
    </row>
    <row r="477" spans="1:36">
      <c r="B477" t="s">
        <v>3094</v>
      </c>
      <c r="C477" t="s">
        <v>1359</v>
      </c>
      <c r="D477" t="s">
        <v>2104</v>
      </c>
      <c r="E477" t="s">
        <v>2616</v>
      </c>
      <c r="F477" t="s">
        <v>2607</v>
      </c>
      <c r="G477">
        <v>88</v>
      </c>
      <c r="H477" t="s">
        <v>2976</v>
      </c>
      <c r="I477">
        <v>3</v>
      </c>
      <c r="K477" t="s">
        <v>1108</v>
      </c>
      <c r="X477" t="s">
        <v>3268</v>
      </c>
      <c r="Y477" t="s">
        <v>7</v>
      </c>
      <c r="Z477" t="s">
        <v>4</v>
      </c>
      <c r="AD477">
        <v>68</v>
      </c>
      <c r="AG477">
        <v>0.192</v>
      </c>
      <c r="AH477" t="s">
        <v>3267</v>
      </c>
      <c r="AI477">
        <v>1</v>
      </c>
      <c r="AJ477" t="s">
        <v>3297</v>
      </c>
    </row>
    <row r="478" spans="1:36">
      <c r="B478" t="s">
        <v>3096</v>
      </c>
      <c r="C478" t="s">
        <v>1359</v>
      </c>
      <c r="D478" t="s">
        <v>2096</v>
      </c>
      <c r="E478" t="s">
        <v>2616</v>
      </c>
      <c r="F478" t="s">
        <v>2607</v>
      </c>
      <c r="G478">
        <v>88</v>
      </c>
      <c r="H478" t="s">
        <v>2976</v>
      </c>
      <c r="I478">
        <v>3</v>
      </c>
      <c r="K478" t="s">
        <v>1108</v>
      </c>
      <c r="X478" t="s">
        <v>3268</v>
      </c>
      <c r="Y478" t="s">
        <v>7</v>
      </c>
      <c r="Z478" t="s">
        <v>4</v>
      </c>
      <c r="AD478">
        <v>75.5</v>
      </c>
      <c r="AG478">
        <v>0.09</v>
      </c>
      <c r="AH478" t="s">
        <v>3267</v>
      </c>
      <c r="AI478">
        <v>0.94</v>
      </c>
      <c r="AJ478" t="s">
        <v>3297</v>
      </c>
    </row>
    <row r="479" spans="1:36">
      <c r="B479" t="s">
        <v>3096</v>
      </c>
      <c r="C479" t="s">
        <v>1359</v>
      </c>
      <c r="D479" t="s">
        <v>2097</v>
      </c>
      <c r="E479" t="s">
        <v>2616</v>
      </c>
      <c r="F479" t="s">
        <v>2607</v>
      </c>
      <c r="G479">
        <v>88</v>
      </c>
      <c r="H479" t="s">
        <v>2976</v>
      </c>
      <c r="I479">
        <v>3</v>
      </c>
      <c r="K479" t="s">
        <v>1108</v>
      </c>
      <c r="X479" t="s">
        <v>3268</v>
      </c>
      <c r="Y479" t="s">
        <v>7</v>
      </c>
      <c r="Z479" t="s">
        <v>4</v>
      </c>
      <c r="AD479">
        <v>78.7</v>
      </c>
      <c r="AG479">
        <v>8.1000000000000003E-2</v>
      </c>
      <c r="AH479" t="s">
        <v>3267</v>
      </c>
      <c r="AI479">
        <v>0.95</v>
      </c>
      <c r="AJ479" t="s">
        <v>3297</v>
      </c>
    </row>
    <row r="480" spans="1:36">
      <c r="B480" t="s">
        <v>3096</v>
      </c>
      <c r="C480" t="s">
        <v>1359</v>
      </c>
      <c r="D480" t="s">
        <v>2102</v>
      </c>
      <c r="E480" t="s">
        <v>2616</v>
      </c>
      <c r="F480" t="s">
        <v>2607</v>
      </c>
      <c r="G480">
        <v>88</v>
      </c>
      <c r="H480" t="s">
        <v>2976</v>
      </c>
      <c r="I480">
        <v>3</v>
      </c>
      <c r="K480" t="s">
        <v>1108</v>
      </c>
      <c r="X480" t="s">
        <v>3268</v>
      </c>
      <c r="Y480" t="s">
        <v>7</v>
      </c>
      <c r="Z480" t="s">
        <v>4</v>
      </c>
      <c r="AD480">
        <v>78.599999999999994</v>
      </c>
      <c r="AG480">
        <v>9.1999999999999998E-2</v>
      </c>
      <c r="AH480" t="s">
        <v>3267</v>
      </c>
      <c r="AI480">
        <v>0.97</v>
      </c>
      <c r="AJ480" t="s">
        <v>3297</v>
      </c>
    </row>
    <row r="481" spans="1:41">
      <c r="B481" t="s">
        <v>3096</v>
      </c>
      <c r="C481" t="s">
        <v>1359</v>
      </c>
      <c r="D481" t="s">
        <v>2104</v>
      </c>
      <c r="E481" t="s">
        <v>2616</v>
      </c>
      <c r="F481" t="s">
        <v>2607</v>
      </c>
      <c r="G481">
        <v>88</v>
      </c>
      <c r="H481" t="s">
        <v>2976</v>
      </c>
      <c r="I481">
        <v>3</v>
      </c>
      <c r="K481" t="s">
        <v>1108</v>
      </c>
      <c r="X481" t="s">
        <v>3268</v>
      </c>
      <c r="Y481" t="s">
        <v>7</v>
      </c>
      <c r="Z481" t="s">
        <v>4</v>
      </c>
      <c r="AD481">
        <v>74.099999999999994</v>
      </c>
      <c r="AG481">
        <v>0.192</v>
      </c>
      <c r="AH481" t="s">
        <v>3267</v>
      </c>
      <c r="AI481">
        <v>1</v>
      </c>
      <c r="AJ481" t="s">
        <v>3297</v>
      </c>
    </row>
    <row r="482" spans="1:41">
      <c r="B482" t="s">
        <v>3094</v>
      </c>
      <c r="C482" t="s">
        <v>1364</v>
      </c>
      <c r="D482" t="s">
        <v>2096</v>
      </c>
      <c r="E482" t="s">
        <v>2616</v>
      </c>
      <c r="F482" t="s">
        <v>2607</v>
      </c>
      <c r="G482">
        <v>88</v>
      </c>
      <c r="H482" t="s">
        <v>2976</v>
      </c>
      <c r="I482">
        <v>3</v>
      </c>
      <c r="K482" t="s">
        <v>1108</v>
      </c>
      <c r="X482" t="s">
        <v>3268</v>
      </c>
      <c r="Y482" t="s">
        <v>7</v>
      </c>
      <c r="Z482" t="s">
        <v>4</v>
      </c>
      <c r="AD482">
        <v>42.6</v>
      </c>
      <c r="AG482">
        <v>4.1000000000000002E-2</v>
      </c>
      <c r="AH482" t="s">
        <v>3267</v>
      </c>
      <c r="AI482">
        <v>1</v>
      </c>
      <c r="AJ482" t="s">
        <v>3297</v>
      </c>
    </row>
    <row r="483" spans="1:41">
      <c r="B483" t="s">
        <v>3094</v>
      </c>
      <c r="C483" t="s">
        <v>1364</v>
      </c>
      <c r="D483" t="s">
        <v>2097</v>
      </c>
      <c r="E483" t="s">
        <v>2616</v>
      </c>
      <c r="F483" t="s">
        <v>2607</v>
      </c>
      <c r="G483">
        <v>88</v>
      </c>
      <c r="H483" t="s">
        <v>2976</v>
      </c>
      <c r="I483">
        <v>3</v>
      </c>
      <c r="K483" t="s">
        <v>1108</v>
      </c>
      <c r="X483" t="s">
        <v>3268</v>
      </c>
      <c r="Y483" t="s">
        <v>7</v>
      </c>
      <c r="Z483" t="s">
        <v>4</v>
      </c>
      <c r="AD483">
        <v>53</v>
      </c>
      <c r="AG483">
        <v>4.8000000000000001E-2</v>
      </c>
      <c r="AH483" t="s">
        <v>3267</v>
      </c>
      <c r="AI483">
        <v>1</v>
      </c>
      <c r="AJ483" t="s">
        <v>3297</v>
      </c>
    </row>
    <row r="484" spans="1:41">
      <c r="B484" t="s">
        <v>3094</v>
      </c>
      <c r="C484" t="s">
        <v>1364</v>
      </c>
      <c r="D484" t="s">
        <v>2102</v>
      </c>
      <c r="E484" t="s">
        <v>2616</v>
      </c>
      <c r="F484" t="s">
        <v>2607</v>
      </c>
      <c r="G484">
        <v>88</v>
      </c>
      <c r="H484" t="s">
        <v>2976</v>
      </c>
      <c r="I484">
        <v>3</v>
      </c>
      <c r="K484" t="s">
        <v>1108</v>
      </c>
      <c r="X484" t="s">
        <v>3268</v>
      </c>
      <c r="Y484" t="s">
        <v>7</v>
      </c>
      <c r="Z484" t="s">
        <v>4</v>
      </c>
      <c r="AD484">
        <v>49.8</v>
      </c>
      <c r="AG484">
        <v>5.2999999999999999E-2</v>
      </c>
      <c r="AH484" t="s">
        <v>3267</v>
      </c>
      <c r="AI484">
        <v>1</v>
      </c>
      <c r="AJ484" t="s">
        <v>3297</v>
      </c>
    </row>
    <row r="485" spans="1:41">
      <c r="B485" t="s">
        <v>3094</v>
      </c>
      <c r="C485" t="s">
        <v>1364</v>
      </c>
      <c r="D485" t="s">
        <v>2104</v>
      </c>
      <c r="E485" t="s">
        <v>2616</v>
      </c>
      <c r="F485" t="s">
        <v>2607</v>
      </c>
      <c r="G485">
        <v>88</v>
      </c>
      <c r="H485" t="s">
        <v>2976</v>
      </c>
      <c r="I485">
        <v>3</v>
      </c>
      <c r="K485" t="s">
        <v>1108</v>
      </c>
      <c r="X485" t="s">
        <v>3268</v>
      </c>
      <c r="Y485" t="s">
        <v>7</v>
      </c>
      <c r="Z485" t="s">
        <v>4</v>
      </c>
      <c r="AD485">
        <v>44.4</v>
      </c>
      <c r="AG485">
        <v>8.1000000000000003E-2</v>
      </c>
      <c r="AH485" t="s">
        <v>3267</v>
      </c>
      <c r="AI485">
        <v>1</v>
      </c>
      <c r="AJ485" t="s">
        <v>3297</v>
      </c>
    </row>
    <row r="486" spans="1:41">
      <c r="B486" t="s">
        <v>3096</v>
      </c>
      <c r="C486" t="s">
        <v>1364</v>
      </c>
      <c r="D486" t="s">
        <v>2096</v>
      </c>
      <c r="E486" t="s">
        <v>2616</v>
      </c>
      <c r="F486" t="s">
        <v>2607</v>
      </c>
      <c r="G486">
        <v>88</v>
      </c>
      <c r="H486" t="s">
        <v>2976</v>
      </c>
      <c r="I486">
        <v>3</v>
      </c>
      <c r="K486" t="s">
        <v>1108</v>
      </c>
      <c r="X486" t="s">
        <v>3268</v>
      </c>
      <c r="Y486" t="s">
        <v>7</v>
      </c>
      <c r="Z486" t="s">
        <v>4</v>
      </c>
      <c r="AD486">
        <v>35.6</v>
      </c>
      <c r="AG486">
        <v>5.6000000000000001E-2</v>
      </c>
      <c r="AH486" t="s">
        <v>3267</v>
      </c>
      <c r="AI486">
        <v>0.99</v>
      </c>
      <c r="AJ486" t="s">
        <v>3297</v>
      </c>
    </row>
    <row r="487" spans="1:41">
      <c r="B487" t="s">
        <v>3096</v>
      </c>
      <c r="C487" t="s">
        <v>1364</v>
      </c>
      <c r="D487" t="s">
        <v>2097</v>
      </c>
      <c r="E487" t="s">
        <v>2616</v>
      </c>
      <c r="F487" t="s">
        <v>2607</v>
      </c>
      <c r="G487">
        <v>88</v>
      </c>
      <c r="H487" t="s">
        <v>2976</v>
      </c>
      <c r="I487">
        <v>3</v>
      </c>
      <c r="K487" t="s">
        <v>1108</v>
      </c>
      <c r="X487" t="s">
        <v>3268</v>
      </c>
      <c r="Y487" t="s">
        <v>7</v>
      </c>
      <c r="Z487" t="s">
        <v>4</v>
      </c>
      <c r="AD487">
        <v>52.4</v>
      </c>
      <c r="AG487">
        <v>4.2000000000000003E-2</v>
      </c>
      <c r="AH487" t="s">
        <v>3267</v>
      </c>
      <c r="AI487">
        <v>0.99</v>
      </c>
      <c r="AJ487" t="s">
        <v>3297</v>
      </c>
    </row>
    <row r="488" spans="1:41">
      <c r="B488" t="s">
        <v>3096</v>
      </c>
      <c r="C488" t="s">
        <v>1364</v>
      </c>
      <c r="D488" t="s">
        <v>2102</v>
      </c>
      <c r="E488" t="s">
        <v>2616</v>
      </c>
      <c r="F488" t="s">
        <v>2607</v>
      </c>
      <c r="G488">
        <v>88</v>
      </c>
      <c r="H488" t="s">
        <v>2976</v>
      </c>
      <c r="I488">
        <v>3</v>
      </c>
      <c r="K488" t="s">
        <v>1108</v>
      </c>
      <c r="X488" t="s">
        <v>3268</v>
      </c>
      <c r="Y488" t="s">
        <v>7</v>
      </c>
      <c r="Z488" t="s">
        <v>4</v>
      </c>
      <c r="AD488">
        <v>54.7</v>
      </c>
      <c r="AG488">
        <v>4.2999999999999997E-2</v>
      </c>
      <c r="AH488" t="s">
        <v>3267</v>
      </c>
      <c r="AI488">
        <v>0.99</v>
      </c>
      <c r="AJ488" t="s">
        <v>3297</v>
      </c>
    </row>
    <row r="489" spans="1:41">
      <c r="B489" t="s">
        <v>3096</v>
      </c>
      <c r="C489" t="s">
        <v>1364</v>
      </c>
      <c r="D489" t="s">
        <v>2104</v>
      </c>
      <c r="E489" t="s">
        <v>2616</v>
      </c>
      <c r="F489" t="s">
        <v>2607</v>
      </c>
      <c r="G489">
        <v>88</v>
      </c>
      <c r="H489" t="s">
        <v>2976</v>
      </c>
      <c r="I489">
        <v>3</v>
      </c>
      <c r="K489" t="s">
        <v>1108</v>
      </c>
      <c r="X489" t="s">
        <v>3268</v>
      </c>
      <c r="Y489" t="s">
        <v>7</v>
      </c>
      <c r="Z489" t="s">
        <v>4</v>
      </c>
      <c r="AD489">
        <v>61.9</v>
      </c>
      <c r="AG489">
        <v>0.08</v>
      </c>
      <c r="AH489" t="s">
        <v>3267</v>
      </c>
      <c r="AI489">
        <v>0.99</v>
      </c>
      <c r="AJ489" t="s">
        <v>3297</v>
      </c>
    </row>
    <row r="490" spans="1:41">
      <c r="A490" t="s">
        <v>205</v>
      </c>
      <c r="B490" t="s">
        <v>3098</v>
      </c>
      <c r="C490" t="s">
        <v>1369</v>
      </c>
      <c r="D490" t="s">
        <v>2106</v>
      </c>
      <c r="E490" t="s">
        <v>2823</v>
      </c>
      <c r="F490" t="s">
        <v>2816</v>
      </c>
      <c r="I490">
        <v>10</v>
      </c>
      <c r="K490" t="s">
        <v>1572</v>
      </c>
      <c r="M490">
        <v>33.4</v>
      </c>
      <c r="N490" t="s">
        <v>2976</v>
      </c>
      <c r="Q490">
        <f>LN(2)/M490</f>
        <v>2.0752909597603154E-2</v>
      </c>
      <c r="R490" t="s">
        <v>3267</v>
      </c>
      <c r="X490" t="s">
        <v>3268</v>
      </c>
      <c r="Y490" t="s">
        <v>7</v>
      </c>
      <c r="Z490" t="s">
        <v>4</v>
      </c>
      <c r="AK490">
        <v>0.43</v>
      </c>
      <c r="AM490">
        <f>1/0.95</f>
        <v>1.0526315789473684</v>
      </c>
      <c r="AO490">
        <v>0.98499999999999999</v>
      </c>
    </row>
    <row r="491" spans="1:41">
      <c r="B491" t="s">
        <v>3098</v>
      </c>
      <c r="C491" t="s">
        <v>1369</v>
      </c>
      <c r="D491" t="s">
        <v>2108</v>
      </c>
      <c r="E491" t="s">
        <v>2823</v>
      </c>
      <c r="F491" t="s">
        <v>2816</v>
      </c>
      <c r="I491">
        <v>10</v>
      </c>
      <c r="K491" t="s">
        <v>1572</v>
      </c>
      <c r="M491">
        <v>38.1</v>
      </c>
      <c r="N491" t="s">
        <v>2976</v>
      </c>
      <c r="Q491">
        <f t="shared" ref="Q491:Q492" si="17">LN(2)/M491</f>
        <v>1.8192839384775467E-2</v>
      </c>
      <c r="R491" t="s">
        <v>3267</v>
      </c>
      <c r="X491" t="s">
        <v>3268</v>
      </c>
      <c r="Y491" t="s">
        <v>7</v>
      </c>
      <c r="Z491" t="s">
        <v>4</v>
      </c>
      <c r="AK491">
        <v>0.64</v>
      </c>
      <c r="AM491">
        <f>1/1.04</f>
        <v>0.96153846153846145</v>
      </c>
      <c r="AO491">
        <v>0.98599999999999999</v>
      </c>
    </row>
    <row r="492" spans="1:41">
      <c r="B492" t="s">
        <v>3098</v>
      </c>
      <c r="C492" t="s">
        <v>1369</v>
      </c>
      <c r="D492" t="s">
        <v>2112</v>
      </c>
      <c r="E492" t="s">
        <v>2823</v>
      </c>
      <c r="F492" t="s">
        <v>2816</v>
      </c>
      <c r="I492">
        <v>10</v>
      </c>
      <c r="K492" t="s">
        <v>1572</v>
      </c>
      <c r="M492">
        <v>42.4</v>
      </c>
      <c r="N492" t="s">
        <v>2976</v>
      </c>
      <c r="Q492">
        <f t="shared" si="17"/>
        <v>1.6347810862262863E-2</v>
      </c>
      <c r="R492" t="s">
        <v>3267</v>
      </c>
      <c r="X492" t="s">
        <v>3268</v>
      </c>
      <c r="Y492" t="s">
        <v>7</v>
      </c>
      <c r="Z492" t="s">
        <v>4</v>
      </c>
      <c r="AK492">
        <v>1.1599999999999999</v>
      </c>
      <c r="AM492">
        <f>1/0.94</f>
        <v>1.0638297872340425</v>
      </c>
      <c r="AO492">
        <v>0.998</v>
      </c>
    </row>
    <row r="493" spans="1:41">
      <c r="A493" t="s">
        <v>788</v>
      </c>
      <c r="B493" t="s">
        <v>3101</v>
      </c>
      <c r="C493" t="s">
        <v>1371</v>
      </c>
      <c r="D493" t="s">
        <v>2114</v>
      </c>
      <c r="E493" t="s">
        <v>2749</v>
      </c>
      <c r="F493" t="s">
        <v>2750</v>
      </c>
      <c r="G493">
        <v>60</v>
      </c>
      <c r="H493" t="s">
        <v>2976</v>
      </c>
      <c r="I493">
        <v>405</v>
      </c>
      <c r="J493">
        <v>75</v>
      </c>
      <c r="K493" t="s">
        <v>1108</v>
      </c>
      <c r="L493" s="30">
        <f>(I493-J493)*100/I493</f>
        <v>81.481481481481481</v>
      </c>
      <c r="X493" t="s">
        <v>3268</v>
      </c>
      <c r="Y493" t="s">
        <v>7</v>
      </c>
      <c r="Z493" t="s">
        <v>4</v>
      </c>
    </row>
    <row r="494" spans="1:41">
      <c r="B494" t="s">
        <v>3101</v>
      </c>
      <c r="C494" t="s">
        <v>1371</v>
      </c>
      <c r="D494" t="s">
        <v>2115</v>
      </c>
      <c r="E494" t="s">
        <v>2749</v>
      </c>
      <c r="F494" t="s">
        <v>2750</v>
      </c>
      <c r="G494">
        <v>60</v>
      </c>
      <c r="H494" t="s">
        <v>2976</v>
      </c>
      <c r="I494">
        <v>405</v>
      </c>
      <c r="J494">
        <v>120</v>
      </c>
      <c r="K494" t="s">
        <v>1108</v>
      </c>
      <c r="L494" s="30">
        <f t="shared" ref="L494:L501" si="18">(I494-J494)*100/I494</f>
        <v>70.370370370370367</v>
      </c>
      <c r="X494" t="s">
        <v>3268</v>
      </c>
      <c r="Y494" t="s">
        <v>7</v>
      </c>
      <c r="Z494" t="s">
        <v>4</v>
      </c>
    </row>
    <row r="495" spans="1:41">
      <c r="B495" t="s">
        <v>3101</v>
      </c>
      <c r="C495" t="s">
        <v>1371</v>
      </c>
      <c r="D495" t="s">
        <v>2119</v>
      </c>
      <c r="E495" t="s">
        <v>2749</v>
      </c>
      <c r="F495" t="s">
        <v>2750</v>
      </c>
      <c r="G495">
        <v>60</v>
      </c>
      <c r="H495" t="s">
        <v>2976</v>
      </c>
      <c r="I495">
        <v>405</v>
      </c>
      <c r="J495">
        <v>80</v>
      </c>
      <c r="K495" t="s">
        <v>1108</v>
      </c>
      <c r="L495" s="30">
        <f t="shared" si="18"/>
        <v>80.246913580246911</v>
      </c>
      <c r="X495" t="s">
        <v>3268</v>
      </c>
      <c r="Y495" t="s">
        <v>7</v>
      </c>
      <c r="Z495" t="s">
        <v>4</v>
      </c>
    </row>
    <row r="496" spans="1:41">
      <c r="A496" t="s">
        <v>784</v>
      </c>
      <c r="B496" t="s">
        <v>3103</v>
      </c>
      <c r="C496" t="s">
        <v>1374</v>
      </c>
      <c r="D496" t="s">
        <v>2122</v>
      </c>
      <c r="E496" t="s">
        <v>2792</v>
      </c>
      <c r="F496" t="s">
        <v>3298</v>
      </c>
      <c r="G496">
        <v>60</v>
      </c>
      <c r="H496" t="s">
        <v>2976</v>
      </c>
      <c r="I496">
        <v>50</v>
      </c>
      <c r="J496">
        <v>28.2</v>
      </c>
      <c r="K496" t="s">
        <v>1108</v>
      </c>
      <c r="L496" s="30">
        <f t="shared" si="18"/>
        <v>43.6</v>
      </c>
      <c r="X496" t="s">
        <v>3268</v>
      </c>
      <c r="Y496" t="s">
        <v>7</v>
      </c>
      <c r="Z496" t="s">
        <v>4</v>
      </c>
    </row>
    <row r="497" spans="1:26">
      <c r="B497" t="s">
        <v>3103</v>
      </c>
      <c r="C497" t="s">
        <v>1374</v>
      </c>
      <c r="D497" t="s">
        <v>2123</v>
      </c>
      <c r="E497" t="s">
        <v>2792</v>
      </c>
      <c r="F497" t="s">
        <v>3298</v>
      </c>
      <c r="G497">
        <v>60</v>
      </c>
      <c r="H497" t="s">
        <v>2976</v>
      </c>
      <c r="I497">
        <v>50</v>
      </c>
      <c r="J497">
        <v>27.9</v>
      </c>
      <c r="K497" t="s">
        <v>1108</v>
      </c>
      <c r="L497" s="30">
        <f t="shared" si="18"/>
        <v>44.2</v>
      </c>
      <c r="X497" t="s">
        <v>3268</v>
      </c>
      <c r="Y497" t="s">
        <v>7</v>
      </c>
      <c r="Z497" t="s">
        <v>4</v>
      </c>
    </row>
    <row r="498" spans="1:26">
      <c r="B498" t="s">
        <v>3103</v>
      </c>
      <c r="C498" t="s">
        <v>1374</v>
      </c>
      <c r="D498" t="s">
        <v>2125</v>
      </c>
      <c r="E498" t="s">
        <v>2792</v>
      </c>
      <c r="F498" t="s">
        <v>3298</v>
      </c>
      <c r="G498">
        <v>60</v>
      </c>
      <c r="H498" t="s">
        <v>2976</v>
      </c>
      <c r="I498">
        <v>50</v>
      </c>
      <c r="J498">
        <v>33</v>
      </c>
      <c r="K498" t="s">
        <v>1108</v>
      </c>
      <c r="L498" s="30">
        <f t="shared" si="18"/>
        <v>34</v>
      </c>
      <c r="X498" t="s">
        <v>3268</v>
      </c>
      <c r="Y498" t="s">
        <v>7</v>
      </c>
      <c r="Z498" t="s">
        <v>4</v>
      </c>
    </row>
    <row r="499" spans="1:26">
      <c r="B499" t="s">
        <v>3103</v>
      </c>
      <c r="C499" t="s">
        <v>1374</v>
      </c>
      <c r="D499" t="s">
        <v>2126</v>
      </c>
      <c r="E499" t="s">
        <v>2792</v>
      </c>
      <c r="F499" t="s">
        <v>3298</v>
      </c>
      <c r="G499">
        <v>60</v>
      </c>
      <c r="H499" t="s">
        <v>2976</v>
      </c>
      <c r="I499">
        <v>50</v>
      </c>
      <c r="J499">
        <v>31.9</v>
      </c>
      <c r="K499" t="s">
        <v>1108</v>
      </c>
      <c r="L499" s="30">
        <f t="shared" si="18"/>
        <v>36.200000000000003</v>
      </c>
      <c r="X499" t="s">
        <v>3268</v>
      </c>
      <c r="Y499" t="s">
        <v>7</v>
      </c>
      <c r="Z499" t="s">
        <v>4</v>
      </c>
    </row>
    <row r="500" spans="1:26">
      <c r="B500" t="s">
        <v>3103</v>
      </c>
      <c r="C500" t="s">
        <v>1374</v>
      </c>
      <c r="D500" t="s">
        <v>2127</v>
      </c>
      <c r="E500" t="s">
        <v>2792</v>
      </c>
      <c r="F500" t="s">
        <v>3298</v>
      </c>
      <c r="G500">
        <v>60</v>
      </c>
      <c r="H500" t="s">
        <v>2976</v>
      </c>
      <c r="I500">
        <v>50</v>
      </c>
      <c r="J500">
        <v>31</v>
      </c>
      <c r="K500" t="s">
        <v>1108</v>
      </c>
      <c r="L500" s="30">
        <f t="shared" si="18"/>
        <v>38</v>
      </c>
      <c r="X500" t="s">
        <v>3268</v>
      </c>
      <c r="Y500" t="s">
        <v>7</v>
      </c>
      <c r="Z500" t="s">
        <v>4</v>
      </c>
    </row>
    <row r="501" spans="1:26">
      <c r="B501" t="s">
        <v>3103</v>
      </c>
      <c r="C501" t="s">
        <v>1374</v>
      </c>
      <c r="D501" t="s">
        <v>2128</v>
      </c>
      <c r="E501" t="s">
        <v>2792</v>
      </c>
      <c r="F501" t="s">
        <v>3298</v>
      </c>
      <c r="G501">
        <v>60</v>
      </c>
      <c r="H501" t="s">
        <v>2976</v>
      </c>
      <c r="I501">
        <v>50</v>
      </c>
      <c r="J501">
        <v>23.45</v>
      </c>
      <c r="K501" t="s">
        <v>1108</v>
      </c>
      <c r="L501" s="30">
        <f t="shared" si="18"/>
        <v>53.1</v>
      </c>
      <c r="X501" t="s">
        <v>3268</v>
      </c>
      <c r="Y501" t="s">
        <v>7</v>
      </c>
      <c r="Z501" t="s">
        <v>4</v>
      </c>
    </row>
    <row r="502" spans="1:26">
      <c r="A502" t="s">
        <v>780</v>
      </c>
      <c r="B502" t="s">
        <v>3104</v>
      </c>
      <c r="C502" t="s">
        <v>1378</v>
      </c>
      <c r="D502" t="s">
        <v>2129</v>
      </c>
      <c r="E502" t="s">
        <v>2726</v>
      </c>
      <c r="F502" t="s">
        <v>2727</v>
      </c>
      <c r="G502">
        <v>90</v>
      </c>
      <c r="H502" t="s">
        <v>2976</v>
      </c>
      <c r="I502">
        <v>10</v>
      </c>
      <c r="K502" t="s">
        <v>1108</v>
      </c>
      <c r="M502">
        <v>20.7</v>
      </c>
      <c r="N502" t="s">
        <v>2976</v>
      </c>
      <c r="Q502">
        <f>LN(2)/M502</f>
        <v>3.3485371041543255E-2</v>
      </c>
      <c r="R502" t="s">
        <v>3267</v>
      </c>
      <c r="W502">
        <v>0.95240000000000002</v>
      </c>
      <c r="X502" t="s">
        <v>3268</v>
      </c>
      <c r="Y502" t="s">
        <v>7</v>
      </c>
      <c r="Z502" t="s">
        <v>12</v>
      </c>
    </row>
    <row r="503" spans="1:26">
      <c r="B503" t="s">
        <v>3104</v>
      </c>
      <c r="C503" t="s">
        <v>1378</v>
      </c>
      <c r="D503" t="s">
        <v>2130</v>
      </c>
      <c r="E503" t="s">
        <v>2726</v>
      </c>
      <c r="F503" t="s">
        <v>2727</v>
      </c>
      <c r="G503">
        <v>90</v>
      </c>
      <c r="H503" t="s">
        <v>2976</v>
      </c>
      <c r="I503">
        <v>10</v>
      </c>
      <c r="K503" t="s">
        <v>1108</v>
      </c>
      <c r="M503">
        <v>15</v>
      </c>
      <c r="N503" t="s">
        <v>2976</v>
      </c>
      <c r="Q503">
        <f t="shared" ref="Q503:Q510" si="19">LN(2)/M503</f>
        <v>4.6209812037329684E-2</v>
      </c>
      <c r="R503" t="s">
        <v>3267</v>
      </c>
      <c r="W503">
        <v>0.9607</v>
      </c>
      <c r="X503" t="s">
        <v>3268</v>
      </c>
      <c r="Y503" t="s">
        <v>7</v>
      </c>
      <c r="Z503" t="s">
        <v>12</v>
      </c>
    </row>
    <row r="504" spans="1:26">
      <c r="B504" t="s">
        <v>3104</v>
      </c>
      <c r="C504" t="s">
        <v>1378</v>
      </c>
      <c r="D504" t="s">
        <v>2133</v>
      </c>
      <c r="E504" t="s">
        <v>2726</v>
      </c>
      <c r="F504" t="s">
        <v>2727</v>
      </c>
      <c r="G504">
        <v>90</v>
      </c>
      <c r="H504" t="s">
        <v>2976</v>
      </c>
      <c r="I504">
        <v>10</v>
      </c>
      <c r="K504" t="s">
        <v>1108</v>
      </c>
      <c r="M504">
        <v>14.6</v>
      </c>
      <c r="N504" t="s">
        <v>2976</v>
      </c>
      <c r="Q504">
        <f t="shared" si="19"/>
        <v>4.7475834284927763E-2</v>
      </c>
      <c r="R504" t="s">
        <v>3267</v>
      </c>
      <c r="W504">
        <v>0.96679999999999999</v>
      </c>
      <c r="X504" t="s">
        <v>3268</v>
      </c>
      <c r="Y504" t="s">
        <v>7</v>
      </c>
      <c r="Z504" t="s">
        <v>12</v>
      </c>
    </row>
    <row r="505" spans="1:26">
      <c r="B505" t="s">
        <v>3104</v>
      </c>
      <c r="C505" t="s">
        <v>1378</v>
      </c>
      <c r="D505" t="s">
        <v>2129</v>
      </c>
      <c r="E505" t="s">
        <v>2695</v>
      </c>
      <c r="F505" t="s">
        <v>2696</v>
      </c>
      <c r="G505">
        <v>90</v>
      </c>
      <c r="H505" t="s">
        <v>2976</v>
      </c>
      <c r="I505">
        <v>10</v>
      </c>
      <c r="K505" t="s">
        <v>1108</v>
      </c>
      <c r="L505">
        <v>100</v>
      </c>
      <c r="M505">
        <v>27.6</v>
      </c>
      <c r="N505" t="s">
        <v>2976</v>
      </c>
      <c r="Q505">
        <f t="shared" si="19"/>
        <v>2.5114028281157438E-2</v>
      </c>
      <c r="R505" t="s">
        <v>3267</v>
      </c>
      <c r="W505">
        <v>0.98040000000000005</v>
      </c>
      <c r="X505" t="s">
        <v>3268</v>
      </c>
      <c r="Y505" t="s">
        <v>7</v>
      </c>
      <c r="Z505" t="s">
        <v>12</v>
      </c>
    </row>
    <row r="506" spans="1:26">
      <c r="B506" t="s">
        <v>3104</v>
      </c>
      <c r="C506" t="s">
        <v>1378</v>
      </c>
      <c r="D506" t="s">
        <v>2130</v>
      </c>
      <c r="E506" t="s">
        <v>2695</v>
      </c>
      <c r="F506" t="s">
        <v>2696</v>
      </c>
      <c r="G506">
        <v>90</v>
      </c>
      <c r="H506" t="s">
        <v>2976</v>
      </c>
      <c r="I506">
        <v>10</v>
      </c>
      <c r="K506" t="s">
        <v>1108</v>
      </c>
      <c r="L506">
        <v>22</v>
      </c>
      <c r="M506">
        <v>28.7</v>
      </c>
      <c r="N506" t="s">
        <v>2976</v>
      </c>
      <c r="Q506">
        <f t="shared" si="19"/>
        <v>2.4151469705921438E-2</v>
      </c>
      <c r="R506" t="s">
        <v>3267</v>
      </c>
      <c r="W506">
        <v>0.98029999999999995</v>
      </c>
      <c r="X506" t="s">
        <v>3268</v>
      </c>
      <c r="Y506" t="s">
        <v>7</v>
      </c>
      <c r="Z506" t="s">
        <v>12</v>
      </c>
    </row>
    <row r="507" spans="1:26">
      <c r="B507" t="s">
        <v>3104</v>
      </c>
      <c r="C507" t="s">
        <v>1378</v>
      </c>
      <c r="D507" t="s">
        <v>2133</v>
      </c>
      <c r="E507" t="s">
        <v>2695</v>
      </c>
      <c r="F507" t="s">
        <v>2696</v>
      </c>
      <c r="G507">
        <v>90</v>
      </c>
      <c r="H507" t="s">
        <v>2976</v>
      </c>
      <c r="I507">
        <v>10</v>
      </c>
      <c r="K507" t="s">
        <v>1108</v>
      </c>
      <c r="L507">
        <v>100</v>
      </c>
      <c r="M507">
        <v>43.8</v>
      </c>
      <c r="N507" t="s">
        <v>2976</v>
      </c>
      <c r="Q507">
        <f t="shared" si="19"/>
        <v>1.5825278094975921E-2</v>
      </c>
      <c r="R507" t="s">
        <v>3267</v>
      </c>
      <c r="W507">
        <v>0.97529999999999994</v>
      </c>
      <c r="X507" t="s">
        <v>3268</v>
      </c>
      <c r="Y507" t="s">
        <v>7</v>
      </c>
      <c r="Z507" t="s">
        <v>12</v>
      </c>
    </row>
    <row r="508" spans="1:26">
      <c r="B508" t="s">
        <v>3104</v>
      </c>
      <c r="C508" t="s">
        <v>1378</v>
      </c>
      <c r="D508" t="s">
        <v>2129</v>
      </c>
      <c r="E508" t="s">
        <v>2707</v>
      </c>
      <c r="F508" t="s">
        <v>2704</v>
      </c>
      <c r="G508">
        <v>40</v>
      </c>
      <c r="H508" t="s">
        <v>2976</v>
      </c>
      <c r="I508">
        <v>10</v>
      </c>
      <c r="K508" t="s">
        <v>1108</v>
      </c>
      <c r="M508">
        <v>10.3</v>
      </c>
      <c r="N508" t="s">
        <v>2976</v>
      </c>
      <c r="Q508">
        <f t="shared" si="19"/>
        <v>6.7295842772810213E-2</v>
      </c>
      <c r="R508" t="s">
        <v>3267</v>
      </c>
      <c r="W508">
        <v>0.93730000000000002</v>
      </c>
      <c r="X508" t="s">
        <v>3268</v>
      </c>
      <c r="Y508" t="s">
        <v>7</v>
      </c>
      <c r="Z508" t="s">
        <v>12</v>
      </c>
    </row>
    <row r="509" spans="1:26">
      <c r="B509" t="s">
        <v>3104</v>
      </c>
      <c r="C509" t="s">
        <v>1378</v>
      </c>
      <c r="D509" t="s">
        <v>2130</v>
      </c>
      <c r="E509" t="s">
        <v>2707</v>
      </c>
      <c r="F509" t="s">
        <v>2704</v>
      </c>
      <c r="G509">
        <v>40</v>
      </c>
      <c r="H509" t="s">
        <v>2976</v>
      </c>
      <c r="I509">
        <v>10</v>
      </c>
      <c r="K509" t="s">
        <v>1108</v>
      </c>
      <c r="M509">
        <v>7.91</v>
      </c>
      <c r="N509" t="s">
        <v>2976</v>
      </c>
      <c r="Q509">
        <f t="shared" si="19"/>
        <v>8.7629226366617602E-2</v>
      </c>
      <c r="R509" t="s">
        <v>3267</v>
      </c>
      <c r="W509">
        <v>0.9456</v>
      </c>
      <c r="X509" t="s">
        <v>3268</v>
      </c>
      <c r="Y509" t="s">
        <v>7</v>
      </c>
      <c r="Z509" t="s">
        <v>12</v>
      </c>
    </row>
    <row r="510" spans="1:26">
      <c r="B510" t="s">
        <v>3104</v>
      </c>
      <c r="C510" t="s">
        <v>1378</v>
      </c>
      <c r="D510" t="s">
        <v>2133</v>
      </c>
      <c r="E510" t="s">
        <v>2707</v>
      </c>
      <c r="F510" t="s">
        <v>2704</v>
      </c>
      <c r="G510">
        <v>40</v>
      </c>
      <c r="H510" t="s">
        <v>2976</v>
      </c>
      <c r="I510">
        <v>10</v>
      </c>
      <c r="K510" t="s">
        <v>1108</v>
      </c>
      <c r="M510">
        <v>8.86</v>
      </c>
      <c r="N510" t="s">
        <v>2976</v>
      </c>
      <c r="Q510">
        <f t="shared" si="19"/>
        <v>7.8233316090287289E-2</v>
      </c>
      <c r="R510" t="s">
        <v>3267</v>
      </c>
      <c r="W510">
        <v>0.93159999999999998</v>
      </c>
      <c r="X510" t="s">
        <v>3268</v>
      </c>
      <c r="Y510" t="s">
        <v>7</v>
      </c>
      <c r="Z510" t="s">
        <v>12</v>
      </c>
    </row>
    <row r="511" spans="1:26">
      <c r="A511" t="s">
        <v>213</v>
      </c>
      <c r="B511" t="s">
        <v>3105</v>
      </c>
      <c r="C511" t="s">
        <v>1381</v>
      </c>
      <c r="D511" t="s">
        <v>2136</v>
      </c>
      <c r="E511" t="s">
        <v>2617</v>
      </c>
      <c r="F511" t="s">
        <v>2607</v>
      </c>
      <c r="G511">
        <v>21</v>
      </c>
      <c r="H511" t="s">
        <v>2976</v>
      </c>
      <c r="I511">
        <v>25</v>
      </c>
      <c r="K511" t="s">
        <v>1603</v>
      </c>
      <c r="L511" s="23">
        <v>15.064723190752</v>
      </c>
    </row>
    <row r="512" spans="1:26">
      <c r="B512" t="s">
        <v>3105</v>
      </c>
      <c r="C512" t="s">
        <v>1381</v>
      </c>
      <c r="D512" t="s">
        <v>2137</v>
      </c>
      <c r="E512" t="s">
        <v>2617</v>
      </c>
      <c r="F512" t="s">
        <v>2607</v>
      </c>
      <c r="G512">
        <v>21</v>
      </c>
      <c r="H512" t="s">
        <v>2976</v>
      </c>
      <c r="I512">
        <v>25</v>
      </c>
      <c r="K512" t="s">
        <v>1603</v>
      </c>
      <c r="L512" s="23">
        <v>22.2006455208491</v>
      </c>
    </row>
    <row r="513" spans="1:25">
      <c r="B513" t="s">
        <v>3105</v>
      </c>
      <c r="C513" t="s">
        <v>1381</v>
      </c>
      <c r="D513" t="s">
        <v>2140</v>
      </c>
      <c r="E513" t="s">
        <v>2617</v>
      </c>
      <c r="F513" t="s">
        <v>2607</v>
      </c>
      <c r="G513">
        <v>21</v>
      </c>
      <c r="H513" t="s">
        <v>2976</v>
      </c>
      <c r="I513">
        <v>25</v>
      </c>
      <c r="K513" t="s">
        <v>1603</v>
      </c>
      <c r="L513" s="23">
        <v>29.336567850946199</v>
      </c>
    </row>
    <row r="514" spans="1:25">
      <c r="B514" t="s">
        <v>3105</v>
      </c>
      <c r="C514" t="s">
        <v>1381</v>
      </c>
      <c r="D514" t="s">
        <v>2141</v>
      </c>
      <c r="E514" t="s">
        <v>2617</v>
      </c>
      <c r="F514" t="s">
        <v>2607</v>
      </c>
      <c r="G514">
        <v>21</v>
      </c>
      <c r="H514" t="s">
        <v>2976</v>
      </c>
      <c r="I514">
        <v>25</v>
      </c>
      <c r="K514" t="s">
        <v>1603</v>
      </c>
      <c r="L514" s="23">
        <v>34.207116284416699</v>
      </c>
    </row>
    <row r="515" spans="1:25">
      <c r="A515" t="s">
        <v>233</v>
      </c>
      <c r="B515" t="s">
        <v>3108</v>
      </c>
      <c r="C515" t="s">
        <v>1384</v>
      </c>
      <c r="D515" t="s">
        <v>2143</v>
      </c>
      <c r="E515" t="s">
        <v>2744</v>
      </c>
      <c r="F515" t="s">
        <v>2742</v>
      </c>
      <c r="G515">
        <v>10</v>
      </c>
      <c r="H515" t="s">
        <v>2976</v>
      </c>
      <c r="I515">
        <v>50</v>
      </c>
      <c r="K515" t="s">
        <v>1572</v>
      </c>
      <c r="M515">
        <v>24.1</v>
      </c>
      <c r="N515" t="s">
        <v>2976</v>
      </c>
      <c r="Q515">
        <f t="shared" ref="Q515:Q532" si="20">LN(2)/M515</f>
        <v>2.8761293799167854E-2</v>
      </c>
      <c r="R515" t="s">
        <v>3267</v>
      </c>
      <c r="X515" t="s">
        <v>3268</v>
      </c>
      <c r="Y515" t="s">
        <v>7</v>
      </c>
    </row>
    <row r="516" spans="1:25">
      <c r="B516" t="s">
        <v>3108</v>
      </c>
      <c r="C516" t="s">
        <v>1388</v>
      </c>
      <c r="D516" t="s">
        <v>2143</v>
      </c>
      <c r="E516" t="s">
        <v>2744</v>
      </c>
      <c r="F516" t="s">
        <v>2742</v>
      </c>
      <c r="G516">
        <v>10</v>
      </c>
      <c r="H516" t="s">
        <v>2976</v>
      </c>
      <c r="I516">
        <v>50</v>
      </c>
      <c r="K516" t="s">
        <v>1572</v>
      </c>
      <c r="M516">
        <v>23.3</v>
      </c>
      <c r="N516" t="s">
        <v>2976</v>
      </c>
      <c r="Q516">
        <f t="shared" si="20"/>
        <v>2.9748806032615677E-2</v>
      </c>
      <c r="R516" t="s">
        <v>3267</v>
      </c>
      <c r="X516" t="s">
        <v>3268</v>
      </c>
      <c r="Y516" t="s">
        <v>7</v>
      </c>
    </row>
    <row r="517" spans="1:25">
      <c r="B517" t="s">
        <v>3108</v>
      </c>
      <c r="C517" t="s">
        <v>1391</v>
      </c>
      <c r="D517" t="s">
        <v>2143</v>
      </c>
      <c r="E517" t="s">
        <v>2744</v>
      </c>
      <c r="F517" t="s">
        <v>2742</v>
      </c>
      <c r="G517">
        <v>10</v>
      </c>
      <c r="H517" t="s">
        <v>2976</v>
      </c>
      <c r="I517">
        <v>50</v>
      </c>
      <c r="K517" t="s">
        <v>1572</v>
      </c>
      <c r="M517">
        <v>10.3</v>
      </c>
      <c r="N517" t="s">
        <v>2976</v>
      </c>
      <c r="Q517">
        <f t="shared" si="20"/>
        <v>6.7295842772810213E-2</v>
      </c>
      <c r="R517" t="s">
        <v>3267</v>
      </c>
      <c r="X517" t="s">
        <v>3268</v>
      </c>
      <c r="Y517" t="s">
        <v>7</v>
      </c>
    </row>
    <row r="518" spans="1:25">
      <c r="B518" t="s">
        <v>3108</v>
      </c>
      <c r="C518" t="s">
        <v>1391</v>
      </c>
      <c r="D518" t="s">
        <v>2144</v>
      </c>
      <c r="E518" t="s">
        <v>2744</v>
      </c>
      <c r="F518" t="s">
        <v>2742</v>
      </c>
      <c r="G518">
        <v>10</v>
      </c>
      <c r="H518" t="s">
        <v>2976</v>
      </c>
      <c r="I518">
        <v>50</v>
      </c>
      <c r="K518" t="s">
        <v>1572</v>
      </c>
      <c r="M518">
        <v>9.9</v>
      </c>
      <c r="N518" t="s">
        <v>2976</v>
      </c>
      <c r="Q518">
        <f t="shared" si="20"/>
        <v>7.0014866723226793E-2</v>
      </c>
      <c r="R518" t="s">
        <v>3267</v>
      </c>
      <c r="X518" t="s">
        <v>3268</v>
      </c>
      <c r="Y518" t="s">
        <v>7</v>
      </c>
    </row>
    <row r="519" spans="1:25">
      <c r="B519" t="s">
        <v>3108</v>
      </c>
      <c r="C519" t="s">
        <v>1384</v>
      </c>
      <c r="D519" t="s">
        <v>2144</v>
      </c>
      <c r="E519" t="s">
        <v>2744</v>
      </c>
      <c r="F519" t="s">
        <v>2742</v>
      </c>
      <c r="G519">
        <v>10</v>
      </c>
      <c r="H519" t="s">
        <v>2976</v>
      </c>
      <c r="I519">
        <v>50</v>
      </c>
      <c r="K519" t="s">
        <v>1572</v>
      </c>
      <c r="M519">
        <v>21.3</v>
      </c>
      <c r="N519" t="s">
        <v>2976</v>
      </c>
      <c r="Q519">
        <f t="shared" si="20"/>
        <v>3.2542121153049074E-2</v>
      </c>
      <c r="R519" t="s">
        <v>3267</v>
      </c>
      <c r="X519" t="s">
        <v>3268</v>
      </c>
      <c r="Y519" t="s">
        <v>7</v>
      </c>
    </row>
    <row r="520" spans="1:25">
      <c r="B520" t="s">
        <v>3108</v>
      </c>
      <c r="C520" t="s">
        <v>1391</v>
      </c>
      <c r="D520" t="s">
        <v>2147</v>
      </c>
      <c r="E520" t="s">
        <v>2744</v>
      </c>
      <c r="F520" t="s">
        <v>2742</v>
      </c>
      <c r="G520">
        <v>10</v>
      </c>
      <c r="H520" t="s">
        <v>2976</v>
      </c>
      <c r="I520">
        <v>50</v>
      </c>
      <c r="K520" t="s">
        <v>1572</v>
      </c>
      <c r="M520">
        <v>29.1</v>
      </c>
      <c r="N520" t="s">
        <v>2976</v>
      </c>
      <c r="Q520">
        <f t="shared" si="20"/>
        <v>2.381949074089159E-2</v>
      </c>
      <c r="R520" t="s">
        <v>3267</v>
      </c>
      <c r="X520" t="s">
        <v>3268</v>
      </c>
      <c r="Y520" t="s">
        <v>7</v>
      </c>
    </row>
    <row r="521" spans="1:25">
      <c r="B521" t="s">
        <v>3108</v>
      </c>
      <c r="C521" t="s">
        <v>1384</v>
      </c>
      <c r="D521" t="s">
        <v>2147</v>
      </c>
      <c r="E521" t="s">
        <v>2744</v>
      </c>
      <c r="F521" t="s">
        <v>2742</v>
      </c>
      <c r="G521">
        <v>10</v>
      </c>
      <c r="H521" t="s">
        <v>2976</v>
      </c>
      <c r="I521">
        <v>50</v>
      </c>
      <c r="K521" t="s">
        <v>1572</v>
      </c>
      <c r="M521">
        <v>12.1</v>
      </c>
      <c r="N521" t="s">
        <v>2976</v>
      </c>
      <c r="Q521">
        <f t="shared" si="20"/>
        <v>5.728489095536738E-2</v>
      </c>
      <c r="R521" t="s">
        <v>3267</v>
      </c>
      <c r="X521" t="s">
        <v>3268</v>
      </c>
      <c r="Y521" t="s">
        <v>7</v>
      </c>
    </row>
    <row r="522" spans="1:25">
      <c r="B522" t="s">
        <v>3109</v>
      </c>
      <c r="C522" t="s">
        <v>1384</v>
      </c>
      <c r="D522" t="s">
        <v>2143</v>
      </c>
      <c r="E522" t="s">
        <v>2744</v>
      </c>
      <c r="F522" t="s">
        <v>2742</v>
      </c>
      <c r="G522">
        <v>10</v>
      </c>
      <c r="H522" t="s">
        <v>2976</v>
      </c>
      <c r="I522">
        <v>50</v>
      </c>
      <c r="K522" t="s">
        <v>1572</v>
      </c>
      <c r="M522">
        <v>41</v>
      </c>
      <c r="N522" t="s">
        <v>2976</v>
      </c>
      <c r="Q522">
        <f t="shared" si="20"/>
        <v>1.6906028794145007E-2</v>
      </c>
      <c r="R522" t="s">
        <v>3267</v>
      </c>
      <c r="X522" t="s">
        <v>3268</v>
      </c>
      <c r="Y522" t="s">
        <v>7</v>
      </c>
    </row>
    <row r="523" spans="1:25">
      <c r="B523" t="s">
        <v>3109</v>
      </c>
      <c r="C523" t="s">
        <v>1388</v>
      </c>
      <c r="D523" t="s">
        <v>2143</v>
      </c>
      <c r="E523" t="s">
        <v>2744</v>
      </c>
      <c r="F523" t="s">
        <v>2742</v>
      </c>
      <c r="G523">
        <v>10</v>
      </c>
      <c r="H523" t="s">
        <v>2976</v>
      </c>
      <c r="I523">
        <v>50</v>
      </c>
      <c r="K523" t="s">
        <v>1572</v>
      </c>
      <c r="M523">
        <v>37.299999999999997</v>
      </c>
      <c r="N523" t="s">
        <v>2976</v>
      </c>
      <c r="Q523">
        <f t="shared" si="20"/>
        <v>1.8583034331365825E-2</v>
      </c>
      <c r="R523" t="s">
        <v>3267</v>
      </c>
      <c r="X523" t="s">
        <v>3268</v>
      </c>
      <c r="Y523" t="s">
        <v>7</v>
      </c>
    </row>
    <row r="524" spans="1:25">
      <c r="B524" t="s">
        <v>3109</v>
      </c>
      <c r="C524" t="s">
        <v>1391</v>
      </c>
      <c r="D524" t="s">
        <v>2143</v>
      </c>
      <c r="E524" t="s">
        <v>2744</v>
      </c>
      <c r="F524" t="s">
        <v>2742</v>
      </c>
      <c r="G524">
        <v>10</v>
      </c>
      <c r="H524" t="s">
        <v>2976</v>
      </c>
      <c r="I524">
        <v>50</v>
      </c>
      <c r="K524" t="s">
        <v>1572</v>
      </c>
      <c r="M524">
        <v>15.4</v>
      </c>
      <c r="N524" t="s">
        <v>2976</v>
      </c>
      <c r="Q524">
        <f t="shared" si="20"/>
        <v>4.5009557179217223E-2</v>
      </c>
      <c r="R524" t="s">
        <v>3267</v>
      </c>
      <c r="X524" t="s">
        <v>3268</v>
      </c>
      <c r="Y524" t="s">
        <v>7</v>
      </c>
    </row>
    <row r="525" spans="1:25">
      <c r="B525" t="s">
        <v>3109</v>
      </c>
      <c r="C525" t="s">
        <v>1391</v>
      </c>
      <c r="D525" t="s">
        <v>2144</v>
      </c>
      <c r="E525" t="s">
        <v>2744</v>
      </c>
      <c r="F525" t="s">
        <v>2742</v>
      </c>
      <c r="G525">
        <v>10</v>
      </c>
      <c r="H525" t="s">
        <v>2976</v>
      </c>
      <c r="I525">
        <v>50</v>
      </c>
      <c r="K525" t="s">
        <v>1572</v>
      </c>
      <c r="M525">
        <v>11.6</v>
      </c>
      <c r="N525" t="s">
        <v>2976</v>
      </c>
      <c r="Q525">
        <f t="shared" si="20"/>
        <v>5.9754067289650457E-2</v>
      </c>
      <c r="R525" t="s">
        <v>3267</v>
      </c>
      <c r="X525" t="s">
        <v>3268</v>
      </c>
      <c r="Y525" t="s">
        <v>7</v>
      </c>
    </row>
    <row r="526" spans="1:25">
      <c r="B526" t="s">
        <v>3109</v>
      </c>
      <c r="C526" t="s">
        <v>1384</v>
      </c>
      <c r="D526" t="s">
        <v>2144</v>
      </c>
      <c r="E526" t="s">
        <v>2744</v>
      </c>
      <c r="F526" t="s">
        <v>2742</v>
      </c>
      <c r="G526">
        <v>10</v>
      </c>
      <c r="H526" t="s">
        <v>2976</v>
      </c>
      <c r="I526">
        <v>50</v>
      </c>
      <c r="K526" t="s">
        <v>1572</v>
      </c>
      <c r="M526">
        <v>32.1</v>
      </c>
      <c r="N526" t="s">
        <v>2976</v>
      </c>
      <c r="Q526">
        <f t="shared" si="20"/>
        <v>2.1593370110901722E-2</v>
      </c>
      <c r="R526" t="s">
        <v>3267</v>
      </c>
      <c r="X526" t="s">
        <v>3268</v>
      </c>
      <c r="Y526" t="s">
        <v>7</v>
      </c>
    </row>
    <row r="527" spans="1:25">
      <c r="B527" t="s">
        <v>3109</v>
      </c>
      <c r="C527" t="s">
        <v>1391</v>
      </c>
      <c r="D527" t="s">
        <v>2147</v>
      </c>
      <c r="E527" t="s">
        <v>2744</v>
      </c>
      <c r="F527" t="s">
        <v>2742</v>
      </c>
      <c r="G527">
        <v>10</v>
      </c>
      <c r="H527" t="s">
        <v>2976</v>
      </c>
      <c r="I527">
        <v>50</v>
      </c>
      <c r="K527" t="s">
        <v>1572</v>
      </c>
      <c r="M527">
        <v>46.8</v>
      </c>
      <c r="N527" t="s">
        <v>2976</v>
      </c>
      <c r="Q527">
        <f t="shared" si="20"/>
        <v>1.4810837191451823E-2</v>
      </c>
      <c r="R527" t="s">
        <v>3267</v>
      </c>
      <c r="X527" t="s">
        <v>3268</v>
      </c>
      <c r="Y527" t="s">
        <v>7</v>
      </c>
    </row>
    <row r="528" spans="1:25">
      <c r="B528" t="s">
        <v>3109</v>
      </c>
      <c r="C528" t="s">
        <v>1384</v>
      </c>
      <c r="D528" t="s">
        <v>2147</v>
      </c>
      <c r="E528" t="s">
        <v>2744</v>
      </c>
      <c r="F528" t="s">
        <v>2742</v>
      </c>
      <c r="G528">
        <v>10</v>
      </c>
      <c r="H528" t="s">
        <v>2976</v>
      </c>
      <c r="I528">
        <v>50</v>
      </c>
      <c r="K528" t="s">
        <v>1572</v>
      </c>
      <c r="M528">
        <v>26.9</v>
      </c>
      <c r="N528" t="s">
        <v>2976</v>
      </c>
      <c r="Q528">
        <f t="shared" si="20"/>
        <v>2.5767553180667112E-2</v>
      </c>
      <c r="R528" t="s">
        <v>3267</v>
      </c>
      <c r="X528" t="s">
        <v>3268</v>
      </c>
      <c r="Y528" t="s">
        <v>7</v>
      </c>
    </row>
    <row r="529" spans="1:26">
      <c r="B529" t="s">
        <v>3108</v>
      </c>
      <c r="C529" t="s">
        <v>1384</v>
      </c>
      <c r="D529" t="s">
        <v>2143</v>
      </c>
      <c r="E529" t="s">
        <v>2946</v>
      </c>
      <c r="F529" t="s">
        <v>2944</v>
      </c>
      <c r="G529">
        <v>10</v>
      </c>
      <c r="H529" t="s">
        <v>2976</v>
      </c>
      <c r="I529">
        <v>50</v>
      </c>
      <c r="K529" t="s">
        <v>1572</v>
      </c>
      <c r="M529">
        <v>29.5</v>
      </c>
      <c r="N529" t="s">
        <v>2976</v>
      </c>
      <c r="Q529">
        <f t="shared" si="20"/>
        <v>2.3496514595252382E-2</v>
      </c>
      <c r="R529" t="s">
        <v>3267</v>
      </c>
      <c r="X529" t="s">
        <v>3268</v>
      </c>
      <c r="Y529" t="s">
        <v>7</v>
      </c>
    </row>
    <row r="530" spans="1:26">
      <c r="B530" t="s">
        <v>3108</v>
      </c>
      <c r="C530" t="s">
        <v>1394</v>
      </c>
      <c r="D530" t="s">
        <v>2143</v>
      </c>
      <c r="E530" t="s">
        <v>2946</v>
      </c>
      <c r="F530" t="s">
        <v>2944</v>
      </c>
      <c r="G530">
        <v>10</v>
      </c>
      <c r="H530" t="s">
        <v>2976</v>
      </c>
      <c r="I530">
        <v>50</v>
      </c>
      <c r="K530" t="s">
        <v>1572</v>
      </c>
      <c r="M530">
        <v>28.3</v>
      </c>
      <c r="N530" t="s">
        <v>2976</v>
      </c>
      <c r="Q530">
        <f t="shared" si="20"/>
        <v>2.4492833235333755E-2</v>
      </c>
      <c r="R530" t="s">
        <v>3267</v>
      </c>
      <c r="X530" t="s">
        <v>3268</v>
      </c>
      <c r="Y530" t="s">
        <v>7</v>
      </c>
    </row>
    <row r="531" spans="1:26">
      <c r="B531" t="s">
        <v>3108</v>
      </c>
      <c r="C531" t="s">
        <v>1384</v>
      </c>
      <c r="D531" t="s">
        <v>2144</v>
      </c>
      <c r="E531" t="s">
        <v>2946</v>
      </c>
      <c r="F531" t="s">
        <v>2944</v>
      </c>
      <c r="G531">
        <v>10</v>
      </c>
      <c r="H531" t="s">
        <v>2976</v>
      </c>
      <c r="I531">
        <v>50</v>
      </c>
      <c r="K531" t="s">
        <v>1572</v>
      </c>
      <c r="M531">
        <v>27.2</v>
      </c>
      <c r="N531" t="s">
        <v>2976</v>
      </c>
      <c r="Q531">
        <f t="shared" si="20"/>
        <v>2.5483352226468577E-2</v>
      </c>
      <c r="R531" t="s">
        <v>3267</v>
      </c>
      <c r="X531" t="s">
        <v>3268</v>
      </c>
      <c r="Y531" t="s">
        <v>7</v>
      </c>
    </row>
    <row r="532" spans="1:26">
      <c r="B532" t="s">
        <v>3108</v>
      </c>
      <c r="C532" t="s">
        <v>1384</v>
      </c>
      <c r="D532" t="s">
        <v>2147</v>
      </c>
      <c r="E532" t="s">
        <v>2946</v>
      </c>
      <c r="F532" t="s">
        <v>2944</v>
      </c>
      <c r="G532">
        <v>10</v>
      </c>
      <c r="H532" t="s">
        <v>2976</v>
      </c>
      <c r="I532">
        <v>50</v>
      </c>
      <c r="K532" t="s">
        <v>1572</v>
      </c>
      <c r="M532">
        <v>12.9</v>
      </c>
      <c r="N532" t="s">
        <v>2976</v>
      </c>
      <c r="Q532">
        <f t="shared" si="20"/>
        <v>5.3732339578290329E-2</v>
      </c>
      <c r="R532" t="s">
        <v>3267</v>
      </c>
      <c r="X532" t="s">
        <v>3268</v>
      </c>
      <c r="Y532" t="s">
        <v>7</v>
      </c>
    </row>
    <row r="533" spans="1:26">
      <c r="A533" t="s">
        <v>776</v>
      </c>
      <c r="B533" t="s">
        <v>3111</v>
      </c>
      <c r="C533" t="s">
        <v>1397</v>
      </c>
      <c r="D533" t="s">
        <v>2149</v>
      </c>
      <c r="E533" t="s">
        <v>2709</v>
      </c>
      <c r="F533" t="s">
        <v>2710</v>
      </c>
      <c r="G533">
        <v>64</v>
      </c>
      <c r="H533" t="s">
        <v>2976</v>
      </c>
      <c r="I533">
        <v>0.91</v>
      </c>
      <c r="K533" t="s">
        <v>1108</v>
      </c>
      <c r="M533">
        <v>5.7</v>
      </c>
      <c r="N533" t="s">
        <v>2976</v>
      </c>
      <c r="Q533">
        <v>0.122</v>
      </c>
      <c r="R533" t="s">
        <v>3267</v>
      </c>
      <c r="S533">
        <v>1.21E-2</v>
      </c>
      <c r="T533" t="s">
        <v>3267</v>
      </c>
      <c r="X533" t="s">
        <v>3283</v>
      </c>
      <c r="Y533" t="s">
        <v>7</v>
      </c>
      <c r="Z533" t="s">
        <v>4</v>
      </c>
    </row>
    <row r="534" spans="1:26">
      <c r="B534" t="s">
        <v>3111</v>
      </c>
      <c r="C534" t="s">
        <v>1397</v>
      </c>
      <c r="D534" t="s">
        <v>2150</v>
      </c>
      <c r="E534" t="s">
        <v>2709</v>
      </c>
      <c r="F534" t="s">
        <v>2710</v>
      </c>
      <c r="G534">
        <v>64</v>
      </c>
      <c r="H534" t="s">
        <v>2976</v>
      </c>
      <c r="I534">
        <v>0.91</v>
      </c>
      <c r="K534" t="s">
        <v>1108</v>
      </c>
      <c r="M534">
        <v>14.9</v>
      </c>
      <c r="N534" t="s">
        <v>2976</v>
      </c>
      <c r="Q534">
        <v>4.65E-2</v>
      </c>
      <c r="R534" t="s">
        <v>3267</v>
      </c>
      <c r="S534">
        <v>6.4999999999999997E-3</v>
      </c>
      <c r="T534" t="s">
        <v>3267</v>
      </c>
      <c r="X534" t="s">
        <v>3283</v>
      </c>
      <c r="Y534" t="s">
        <v>7</v>
      </c>
      <c r="Z534" t="s">
        <v>4</v>
      </c>
    </row>
    <row r="535" spans="1:26">
      <c r="A535" t="s">
        <v>768</v>
      </c>
      <c r="B535" t="s">
        <v>3113</v>
      </c>
      <c r="C535" t="s">
        <v>1403</v>
      </c>
      <c r="D535" t="s">
        <v>2151</v>
      </c>
      <c r="E535" t="s">
        <v>2578</v>
      </c>
      <c r="F535" t="s">
        <v>2579</v>
      </c>
      <c r="G535">
        <v>98</v>
      </c>
      <c r="H535" t="s">
        <v>2976</v>
      </c>
      <c r="I535">
        <v>1</v>
      </c>
      <c r="K535" t="s">
        <v>1108</v>
      </c>
      <c r="M535">
        <v>3.17</v>
      </c>
      <c r="N535" t="s">
        <v>2976</v>
      </c>
      <c r="Q535">
        <f>LN(2)/M535</f>
        <v>0.2186584165804244</v>
      </c>
      <c r="R535" t="s">
        <v>3267</v>
      </c>
      <c r="W535">
        <v>0.99</v>
      </c>
      <c r="X535" t="s">
        <v>3268</v>
      </c>
      <c r="Y535" t="s">
        <v>7</v>
      </c>
      <c r="Z535" t="s">
        <v>4</v>
      </c>
    </row>
    <row r="536" spans="1:26">
      <c r="B536" t="s">
        <v>3113</v>
      </c>
      <c r="C536" t="s">
        <v>1403</v>
      </c>
      <c r="D536" t="s">
        <v>2152</v>
      </c>
      <c r="E536" t="s">
        <v>2578</v>
      </c>
      <c r="F536" t="s">
        <v>2579</v>
      </c>
      <c r="G536">
        <v>98</v>
      </c>
      <c r="H536" t="s">
        <v>2976</v>
      </c>
      <c r="I536">
        <v>1</v>
      </c>
      <c r="K536" t="s">
        <v>1108</v>
      </c>
      <c r="M536">
        <v>151</v>
      </c>
      <c r="N536" t="s">
        <v>2976</v>
      </c>
      <c r="Q536">
        <f t="shared" ref="Q536:Q545" si="21">LN(2)/M536</f>
        <v>4.5903786792049353E-3</v>
      </c>
      <c r="R536" t="s">
        <v>3267</v>
      </c>
      <c r="W536">
        <v>0.53</v>
      </c>
      <c r="X536" t="s">
        <v>3268</v>
      </c>
      <c r="Y536" t="s">
        <v>7</v>
      </c>
      <c r="Z536" t="s">
        <v>4</v>
      </c>
    </row>
    <row r="537" spans="1:26">
      <c r="B537" t="s">
        <v>3113</v>
      </c>
      <c r="C537" t="s">
        <v>1403</v>
      </c>
      <c r="D537" t="s">
        <v>2155</v>
      </c>
      <c r="E537" t="s">
        <v>2578</v>
      </c>
      <c r="F537" t="s">
        <v>2579</v>
      </c>
      <c r="G537">
        <v>98</v>
      </c>
      <c r="H537" t="s">
        <v>2976</v>
      </c>
      <c r="I537">
        <v>1</v>
      </c>
      <c r="K537" t="s">
        <v>1108</v>
      </c>
      <c r="M537">
        <v>16.7</v>
      </c>
      <c r="N537" t="s">
        <v>2976</v>
      </c>
      <c r="Q537">
        <f t="shared" si="21"/>
        <v>4.1505819195206309E-2</v>
      </c>
      <c r="R537" t="s">
        <v>3267</v>
      </c>
      <c r="W537">
        <v>0.98</v>
      </c>
      <c r="X537" t="s">
        <v>3268</v>
      </c>
      <c r="Y537" t="s">
        <v>7</v>
      </c>
      <c r="Z537" t="s">
        <v>4</v>
      </c>
    </row>
    <row r="538" spans="1:26">
      <c r="B538" t="s">
        <v>3113</v>
      </c>
      <c r="C538" t="s">
        <v>1403</v>
      </c>
      <c r="D538" t="s">
        <v>2151</v>
      </c>
      <c r="E538" t="s">
        <v>2805</v>
      </c>
      <c r="F538" t="s">
        <v>2804</v>
      </c>
      <c r="G538">
        <v>98</v>
      </c>
      <c r="H538" t="s">
        <v>2976</v>
      </c>
      <c r="I538">
        <v>1</v>
      </c>
      <c r="K538" t="s">
        <v>1108</v>
      </c>
      <c r="M538">
        <v>29.1</v>
      </c>
      <c r="N538" t="s">
        <v>2976</v>
      </c>
      <c r="Q538">
        <f t="shared" si="21"/>
        <v>2.381949074089159E-2</v>
      </c>
      <c r="R538" t="s">
        <v>3267</v>
      </c>
      <c r="W538">
        <v>0.98</v>
      </c>
      <c r="X538" t="s">
        <v>3268</v>
      </c>
      <c r="Y538" t="s">
        <v>7</v>
      </c>
      <c r="Z538" t="s">
        <v>4</v>
      </c>
    </row>
    <row r="539" spans="1:26">
      <c r="B539" t="s">
        <v>3113</v>
      </c>
      <c r="C539" t="s">
        <v>1403</v>
      </c>
      <c r="D539" t="s">
        <v>2152</v>
      </c>
      <c r="E539" t="s">
        <v>2805</v>
      </c>
      <c r="F539" t="s">
        <v>2804</v>
      </c>
      <c r="G539">
        <v>98</v>
      </c>
      <c r="H539" t="s">
        <v>2976</v>
      </c>
      <c r="I539">
        <v>1</v>
      </c>
      <c r="K539" t="s">
        <v>1108</v>
      </c>
      <c r="M539">
        <v>144</v>
      </c>
      <c r="N539" t="s">
        <v>2976</v>
      </c>
      <c r="Q539">
        <f t="shared" si="21"/>
        <v>4.8135220872218424E-3</v>
      </c>
      <c r="R539" t="s">
        <v>3267</v>
      </c>
      <c r="W539">
        <v>0.95</v>
      </c>
      <c r="X539" t="s">
        <v>3268</v>
      </c>
      <c r="Y539" t="s">
        <v>7</v>
      </c>
      <c r="Z539" t="s">
        <v>4</v>
      </c>
    </row>
    <row r="540" spans="1:26">
      <c r="B540" t="s">
        <v>3113</v>
      </c>
      <c r="C540" t="s">
        <v>1403</v>
      </c>
      <c r="D540" t="s">
        <v>2155</v>
      </c>
      <c r="E540" t="s">
        <v>2805</v>
      </c>
      <c r="F540" t="s">
        <v>2804</v>
      </c>
      <c r="G540">
        <v>98</v>
      </c>
      <c r="H540" t="s">
        <v>2976</v>
      </c>
      <c r="I540">
        <v>1</v>
      </c>
      <c r="K540" t="s">
        <v>1108</v>
      </c>
      <c r="M540">
        <v>68.599999999999994</v>
      </c>
      <c r="N540" t="s">
        <v>2976</v>
      </c>
      <c r="Q540">
        <f t="shared" si="21"/>
        <v>1.0104186305538563E-2</v>
      </c>
      <c r="R540" t="s">
        <v>3267</v>
      </c>
      <c r="W540">
        <v>0.96</v>
      </c>
      <c r="X540" t="s">
        <v>3268</v>
      </c>
      <c r="Y540" t="s">
        <v>7</v>
      </c>
      <c r="Z540" t="s">
        <v>4</v>
      </c>
    </row>
    <row r="541" spans="1:26">
      <c r="A541" t="s">
        <v>765</v>
      </c>
      <c r="B541" t="s">
        <v>3114</v>
      </c>
      <c r="C541" t="s">
        <v>1405</v>
      </c>
      <c r="D541" t="s">
        <v>2158</v>
      </c>
      <c r="E541" t="s">
        <v>2723</v>
      </c>
      <c r="F541" t="s">
        <v>2724</v>
      </c>
      <c r="G541">
        <v>60</v>
      </c>
      <c r="H541" t="s">
        <v>2976</v>
      </c>
      <c r="I541">
        <v>10</v>
      </c>
      <c r="K541" t="s">
        <v>1108</v>
      </c>
      <c r="M541">
        <v>18.809999999999999</v>
      </c>
      <c r="N541" t="s">
        <v>2976</v>
      </c>
      <c r="Q541">
        <f t="shared" si="21"/>
        <v>3.6849929854329895E-2</v>
      </c>
      <c r="R541" t="s">
        <v>3267</v>
      </c>
      <c r="W541">
        <v>0.98</v>
      </c>
      <c r="X541" t="s">
        <v>3268</v>
      </c>
      <c r="Y541" t="s">
        <v>7</v>
      </c>
      <c r="Z541" t="s">
        <v>4</v>
      </c>
    </row>
    <row r="542" spans="1:26">
      <c r="B542" t="s">
        <v>3114</v>
      </c>
      <c r="C542" t="s">
        <v>1405</v>
      </c>
      <c r="D542" t="s">
        <v>2160</v>
      </c>
      <c r="E542" t="s">
        <v>2723</v>
      </c>
      <c r="F542" t="s">
        <v>2724</v>
      </c>
      <c r="G542">
        <v>60</v>
      </c>
      <c r="H542" t="s">
        <v>2976</v>
      </c>
      <c r="I542">
        <v>10</v>
      </c>
      <c r="K542" t="s">
        <v>1108</v>
      </c>
      <c r="M542">
        <v>1.01</v>
      </c>
      <c r="N542" t="s">
        <v>2976</v>
      </c>
      <c r="Q542">
        <f t="shared" si="21"/>
        <v>0.68628433718806459</v>
      </c>
      <c r="R542" t="s">
        <v>3267</v>
      </c>
      <c r="W542">
        <v>0.97</v>
      </c>
      <c r="X542" t="s">
        <v>3268</v>
      </c>
      <c r="Y542" t="s">
        <v>7</v>
      </c>
      <c r="Z542" t="s">
        <v>4</v>
      </c>
    </row>
    <row r="543" spans="1:26">
      <c r="B543" t="s">
        <v>3114</v>
      </c>
      <c r="C543" t="s">
        <v>1405</v>
      </c>
      <c r="D543" t="s">
        <v>2161</v>
      </c>
      <c r="E543" t="s">
        <v>2723</v>
      </c>
      <c r="F543" t="s">
        <v>2724</v>
      </c>
      <c r="G543">
        <v>60</v>
      </c>
      <c r="H543" t="s">
        <v>2976</v>
      </c>
      <c r="I543">
        <v>10</v>
      </c>
      <c r="K543" t="s">
        <v>1108</v>
      </c>
      <c r="M543">
        <v>1.24</v>
      </c>
      <c r="N543" t="s">
        <v>2976</v>
      </c>
      <c r="Q543">
        <f t="shared" si="21"/>
        <v>0.55898966174189135</v>
      </c>
      <c r="R543" t="s">
        <v>3267</v>
      </c>
      <c r="W543">
        <v>0.98</v>
      </c>
      <c r="X543" t="s">
        <v>3268</v>
      </c>
      <c r="Y543" t="s">
        <v>7</v>
      </c>
      <c r="Z543" t="s">
        <v>4</v>
      </c>
    </row>
    <row r="544" spans="1:26">
      <c r="B544" t="s">
        <v>3114</v>
      </c>
      <c r="C544" t="s">
        <v>1405</v>
      </c>
      <c r="D544" t="s">
        <v>2163</v>
      </c>
      <c r="E544" t="s">
        <v>2723</v>
      </c>
      <c r="F544" t="s">
        <v>2724</v>
      </c>
      <c r="G544">
        <v>60</v>
      </c>
      <c r="H544" t="s">
        <v>2976</v>
      </c>
      <c r="I544">
        <v>10</v>
      </c>
      <c r="K544" t="s">
        <v>1108</v>
      </c>
      <c r="M544">
        <v>1.29</v>
      </c>
      <c r="N544" t="s">
        <v>2976</v>
      </c>
      <c r="Q544">
        <f t="shared" si="21"/>
        <v>0.53732339578290333</v>
      </c>
      <c r="R544" t="s">
        <v>3267</v>
      </c>
      <c r="W544">
        <v>0.92</v>
      </c>
      <c r="X544" t="s">
        <v>3268</v>
      </c>
      <c r="Y544" t="s">
        <v>7</v>
      </c>
      <c r="Z544" t="s">
        <v>4</v>
      </c>
    </row>
    <row r="545" spans="1:26">
      <c r="B545" t="s">
        <v>3114</v>
      </c>
      <c r="C545" t="s">
        <v>1405</v>
      </c>
      <c r="D545" t="s">
        <v>2165</v>
      </c>
      <c r="E545" t="s">
        <v>2723</v>
      </c>
      <c r="F545" t="s">
        <v>2724</v>
      </c>
      <c r="G545">
        <v>60</v>
      </c>
      <c r="H545" t="s">
        <v>2976</v>
      </c>
      <c r="I545">
        <v>10</v>
      </c>
      <c r="K545" t="s">
        <v>1108</v>
      </c>
      <c r="M545">
        <v>15.84</v>
      </c>
      <c r="N545" t="s">
        <v>2976</v>
      </c>
      <c r="Q545">
        <f t="shared" si="21"/>
        <v>4.3759291702016749E-2</v>
      </c>
      <c r="R545" t="s">
        <v>3267</v>
      </c>
      <c r="W545">
        <v>0.93</v>
      </c>
      <c r="X545" t="s">
        <v>3268</v>
      </c>
      <c r="Y545" t="s">
        <v>7</v>
      </c>
      <c r="Z545" t="s">
        <v>4</v>
      </c>
    </row>
    <row r="546" spans="1:26">
      <c r="A546" t="s">
        <v>756</v>
      </c>
      <c r="B546" t="s">
        <v>3116</v>
      </c>
      <c r="C546" t="s">
        <v>1408</v>
      </c>
      <c r="D546" t="s">
        <v>2167</v>
      </c>
      <c r="E546" t="s">
        <v>2625</v>
      </c>
      <c r="F546" t="s">
        <v>3299</v>
      </c>
      <c r="G546">
        <v>43</v>
      </c>
      <c r="H546" t="s">
        <v>2976</v>
      </c>
      <c r="I546">
        <v>0.2</v>
      </c>
      <c r="K546" t="s">
        <v>1108</v>
      </c>
      <c r="L546">
        <v>41.2</v>
      </c>
      <c r="Y546" t="s">
        <v>7</v>
      </c>
      <c r="Z546" t="s">
        <v>12</v>
      </c>
    </row>
    <row r="547" spans="1:26">
      <c r="B547" t="s">
        <v>3116</v>
      </c>
      <c r="C547" t="s">
        <v>1408</v>
      </c>
      <c r="D547" t="s">
        <v>2168</v>
      </c>
      <c r="E547" t="s">
        <v>2625</v>
      </c>
      <c r="F547" t="s">
        <v>3299</v>
      </c>
      <c r="G547">
        <v>43</v>
      </c>
      <c r="H547" t="s">
        <v>2976</v>
      </c>
      <c r="I547">
        <v>0.2</v>
      </c>
      <c r="K547" t="s">
        <v>1108</v>
      </c>
      <c r="L547">
        <v>35.5</v>
      </c>
      <c r="Y547" t="s">
        <v>7</v>
      </c>
      <c r="Z547" t="s">
        <v>12</v>
      </c>
    </row>
    <row r="548" spans="1:26">
      <c r="A548" t="s">
        <v>753</v>
      </c>
      <c r="B548" t="s">
        <v>3117</v>
      </c>
      <c r="C548" t="s">
        <v>1413</v>
      </c>
      <c r="D548" t="s">
        <v>2171</v>
      </c>
      <c r="E548" t="s">
        <v>2920</v>
      </c>
      <c r="F548" t="s">
        <v>2916</v>
      </c>
      <c r="G548">
        <v>60</v>
      </c>
      <c r="H548" t="s">
        <v>2976</v>
      </c>
      <c r="I548">
        <v>0.6</v>
      </c>
      <c r="K548" t="s">
        <v>1108</v>
      </c>
      <c r="M548">
        <v>37.4</v>
      </c>
      <c r="N548" t="s">
        <v>2976</v>
      </c>
      <c r="Q548">
        <f t="shared" ref="Q548:Q559" si="22">LN(2)/M548</f>
        <v>1.853334707379533E-2</v>
      </c>
      <c r="R548" t="s">
        <v>3267</v>
      </c>
      <c r="W548">
        <v>0.85299999999999998</v>
      </c>
      <c r="X548" t="s">
        <v>3268</v>
      </c>
      <c r="Y548" t="s">
        <v>7</v>
      </c>
      <c r="Z548" t="s">
        <v>4</v>
      </c>
    </row>
    <row r="549" spans="1:26">
      <c r="B549" t="s">
        <v>3117</v>
      </c>
      <c r="C549" t="s">
        <v>1413</v>
      </c>
      <c r="D549" t="s">
        <v>2172</v>
      </c>
      <c r="E549" t="s">
        <v>2920</v>
      </c>
      <c r="F549" t="s">
        <v>2916</v>
      </c>
      <c r="G549">
        <v>60</v>
      </c>
      <c r="H549" t="s">
        <v>2976</v>
      </c>
      <c r="I549">
        <v>0.6</v>
      </c>
      <c r="K549" t="s">
        <v>1108</v>
      </c>
      <c r="M549">
        <v>29.5</v>
      </c>
      <c r="N549" t="s">
        <v>2976</v>
      </c>
      <c r="Q549">
        <f t="shared" si="22"/>
        <v>2.3496514595252382E-2</v>
      </c>
      <c r="R549" t="s">
        <v>3267</v>
      </c>
      <c r="W549">
        <v>0.96399999999999997</v>
      </c>
      <c r="X549" t="s">
        <v>3268</v>
      </c>
      <c r="Y549" t="s">
        <v>7</v>
      </c>
      <c r="Z549" t="s">
        <v>4</v>
      </c>
    </row>
    <row r="550" spans="1:26">
      <c r="B550" t="s">
        <v>3117</v>
      </c>
      <c r="C550" t="s">
        <v>1413</v>
      </c>
      <c r="D550" t="s">
        <v>2174</v>
      </c>
      <c r="E550" t="s">
        <v>2920</v>
      </c>
      <c r="F550" t="s">
        <v>2916</v>
      </c>
      <c r="G550">
        <v>60</v>
      </c>
      <c r="H550" t="s">
        <v>2976</v>
      </c>
      <c r="I550">
        <v>0.6</v>
      </c>
      <c r="K550" t="s">
        <v>1108</v>
      </c>
      <c r="M550">
        <v>38.1</v>
      </c>
      <c r="N550" t="s">
        <v>2976</v>
      </c>
      <c r="Q550">
        <f t="shared" si="22"/>
        <v>1.8192839384775467E-2</v>
      </c>
      <c r="R550" t="s">
        <v>3267</v>
      </c>
      <c r="W550">
        <v>0.85799999999999998</v>
      </c>
      <c r="X550" t="s">
        <v>3268</v>
      </c>
      <c r="Y550" t="s">
        <v>7</v>
      </c>
      <c r="Z550" t="s">
        <v>4</v>
      </c>
    </row>
    <row r="551" spans="1:26">
      <c r="B551" t="s">
        <v>3117</v>
      </c>
      <c r="C551" t="s">
        <v>1413</v>
      </c>
      <c r="D551" t="s">
        <v>2177</v>
      </c>
      <c r="E551" t="s">
        <v>2920</v>
      </c>
      <c r="F551" t="s">
        <v>2916</v>
      </c>
      <c r="G551">
        <v>60</v>
      </c>
      <c r="H551" t="s">
        <v>2976</v>
      </c>
      <c r="I551">
        <v>0.6</v>
      </c>
      <c r="K551" t="s">
        <v>1108</v>
      </c>
      <c r="M551">
        <v>39.1</v>
      </c>
      <c r="N551" t="s">
        <v>2976</v>
      </c>
      <c r="Q551">
        <f t="shared" si="22"/>
        <v>1.7727549374934662E-2</v>
      </c>
      <c r="R551" t="s">
        <v>3267</v>
      </c>
      <c r="W551">
        <v>0.90600000000000003</v>
      </c>
      <c r="X551" t="s">
        <v>3268</v>
      </c>
      <c r="Y551" t="s">
        <v>7</v>
      </c>
      <c r="Z551" t="s">
        <v>4</v>
      </c>
    </row>
    <row r="552" spans="1:26">
      <c r="A552" t="s">
        <v>749</v>
      </c>
      <c r="B552" t="s">
        <v>3120</v>
      </c>
      <c r="C552" t="s">
        <v>1415</v>
      </c>
      <c r="D552" t="s">
        <v>2180</v>
      </c>
      <c r="E552" t="s">
        <v>2921</v>
      </c>
      <c r="F552" t="s">
        <v>2916</v>
      </c>
      <c r="G552">
        <v>64</v>
      </c>
      <c r="H552" t="s">
        <v>2976</v>
      </c>
      <c r="I552">
        <v>2.5</v>
      </c>
      <c r="K552" t="s">
        <v>1108</v>
      </c>
      <c r="M552">
        <v>57.3</v>
      </c>
      <c r="N552" t="s">
        <v>2976</v>
      </c>
      <c r="Q552">
        <f t="shared" si="22"/>
        <v>1.2096809433855939E-2</v>
      </c>
      <c r="R552" t="s">
        <v>3267</v>
      </c>
      <c r="W552">
        <v>0.98799999999999999</v>
      </c>
      <c r="X552" t="s">
        <v>3268</v>
      </c>
      <c r="Y552" t="s">
        <v>7</v>
      </c>
      <c r="Z552" t="s">
        <v>4</v>
      </c>
    </row>
    <row r="553" spans="1:26">
      <c r="B553" t="s">
        <v>3120</v>
      </c>
      <c r="C553" t="s">
        <v>1415</v>
      </c>
      <c r="D553" t="s">
        <v>2181</v>
      </c>
      <c r="E553" t="s">
        <v>2921</v>
      </c>
      <c r="F553" t="s">
        <v>2916</v>
      </c>
      <c r="G553">
        <v>64</v>
      </c>
      <c r="H553" t="s">
        <v>2976</v>
      </c>
      <c r="I553">
        <v>2.5</v>
      </c>
      <c r="K553" t="s">
        <v>1108</v>
      </c>
      <c r="M553">
        <v>55.5</v>
      </c>
      <c r="N553" t="s">
        <v>2976</v>
      </c>
      <c r="Q553">
        <f t="shared" si="22"/>
        <v>1.2489138388467482E-2</v>
      </c>
      <c r="R553" t="s">
        <v>3267</v>
      </c>
      <c r="W553">
        <v>0.98299999999999998</v>
      </c>
      <c r="X553" t="s">
        <v>3268</v>
      </c>
      <c r="Y553" t="s">
        <v>7</v>
      </c>
      <c r="Z553" t="s">
        <v>4</v>
      </c>
    </row>
    <row r="554" spans="1:26">
      <c r="B554" t="s">
        <v>3120</v>
      </c>
      <c r="C554" t="s">
        <v>1415</v>
      </c>
      <c r="D554" t="s">
        <v>2182</v>
      </c>
      <c r="E554" t="s">
        <v>2921</v>
      </c>
      <c r="F554" t="s">
        <v>2916</v>
      </c>
      <c r="G554">
        <v>64</v>
      </c>
      <c r="H554" t="s">
        <v>2976</v>
      </c>
      <c r="I554">
        <v>2.5</v>
      </c>
      <c r="K554" t="s">
        <v>1108</v>
      </c>
      <c r="M554">
        <v>60.3</v>
      </c>
      <c r="N554" t="s">
        <v>2976</v>
      </c>
      <c r="Q554">
        <f t="shared" si="22"/>
        <v>1.1494978118738728E-2</v>
      </c>
      <c r="R554" t="s">
        <v>3267</v>
      </c>
      <c r="W554">
        <v>0.98699999999999999</v>
      </c>
      <c r="X554" t="s">
        <v>3268</v>
      </c>
      <c r="Y554" t="s">
        <v>7</v>
      </c>
      <c r="Z554" t="s">
        <v>4</v>
      </c>
    </row>
    <row r="555" spans="1:26">
      <c r="B555" t="s">
        <v>3120</v>
      </c>
      <c r="C555" t="s">
        <v>1415</v>
      </c>
      <c r="D555" t="s">
        <v>2183</v>
      </c>
      <c r="E555" t="s">
        <v>2921</v>
      </c>
      <c r="F555" t="s">
        <v>2916</v>
      </c>
      <c r="G555">
        <v>64</v>
      </c>
      <c r="H555" t="s">
        <v>2976</v>
      </c>
      <c r="I555">
        <v>2.5</v>
      </c>
      <c r="K555" t="s">
        <v>1108</v>
      </c>
      <c r="M555">
        <v>73.7</v>
      </c>
      <c r="N555" t="s">
        <v>2976</v>
      </c>
      <c r="Q555">
        <f t="shared" si="22"/>
        <v>9.4049820971498672E-3</v>
      </c>
      <c r="R555" t="s">
        <v>3267</v>
      </c>
      <c r="W555">
        <v>0.99399999999999999</v>
      </c>
      <c r="X555" t="s">
        <v>3268</v>
      </c>
      <c r="Y555" t="s">
        <v>7</v>
      </c>
      <c r="Z555" t="s">
        <v>4</v>
      </c>
    </row>
    <row r="556" spans="1:26">
      <c r="B556" t="s">
        <v>3121</v>
      </c>
      <c r="C556" t="s">
        <v>1415</v>
      </c>
      <c r="D556" t="s">
        <v>2180</v>
      </c>
      <c r="E556" t="s">
        <v>2921</v>
      </c>
      <c r="F556" t="s">
        <v>2916</v>
      </c>
      <c r="G556">
        <v>64</v>
      </c>
      <c r="H556" t="s">
        <v>2976</v>
      </c>
      <c r="I556">
        <v>2.5</v>
      </c>
      <c r="K556" t="s">
        <v>1108</v>
      </c>
      <c r="M556">
        <v>78.8</v>
      </c>
      <c r="N556" t="s">
        <v>2976</v>
      </c>
      <c r="Q556">
        <f t="shared" si="22"/>
        <v>8.7962840172581894E-3</v>
      </c>
      <c r="R556" t="s">
        <v>3267</v>
      </c>
      <c r="W556">
        <v>0.97699999999999998</v>
      </c>
      <c r="X556" t="s">
        <v>3268</v>
      </c>
      <c r="Y556" t="s">
        <v>7</v>
      </c>
      <c r="Z556" t="s">
        <v>4</v>
      </c>
    </row>
    <row r="557" spans="1:26">
      <c r="B557" t="s">
        <v>3121</v>
      </c>
      <c r="C557" t="s">
        <v>1415</v>
      </c>
      <c r="D557" t="s">
        <v>2181</v>
      </c>
      <c r="E557" t="s">
        <v>2921</v>
      </c>
      <c r="F557" t="s">
        <v>2916</v>
      </c>
      <c r="G557">
        <v>64</v>
      </c>
      <c r="H557" t="s">
        <v>2976</v>
      </c>
      <c r="I557">
        <v>2.5</v>
      </c>
      <c r="K557" t="s">
        <v>1108</v>
      </c>
      <c r="M557">
        <v>62.5</v>
      </c>
      <c r="N557" t="s">
        <v>2976</v>
      </c>
      <c r="Q557">
        <f t="shared" si="22"/>
        <v>1.1090354888959125E-2</v>
      </c>
      <c r="R557" t="s">
        <v>3267</v>
      </c>
      <c r="W557">
        <v>0.96899999999999997</v>
      </c>
      <c r="X557" t="s">
        <v>3268</v>
      </c>
      <c r="Y557" t="s">
        <v>7</v>
      </c>
      <c r="Z557" t="s">
        <v>4</v>
      </c>
    </row>
    <row r="558" spans="1:26">
      <c r="B558" t="s">
        <v>3121</v>
      </c>
      <c r="C558" t="s">
        <v>1415</v>
      </c>
      <c r="D558" t="s">
        <v>2182</v>
      </c>
      <c r="E558" t="s">
        <v>2921</v>
      </c>
      <c r="F558" t="s">
        <v>2916</v>
      </c>
      <c r="G558">
        <v>64</v>
      </c>
      <c r="H558" t="s">
        <v>2976</v>
      </c>
      <c r="I558">
        <v>2.5</v>
      </c>
      <c r="K558" t="s">
        <v>1108</v>
      </c>
      <c r="M558">
        <v>91.2</v>
      </c>
      <c r="N558" t="s">
        <v>2976</v>
      </c>
      <c r="Q558">
        <f t="shared" si="22"/>
        <v>7.6002980324555401E-3</v>
      </c>
      <c r="R558" t="s">
        <v>3267</v>
      </c>
      <c r="W558">
        <v>0.98</v>
      </c>
      <c r="X558" t="s">
        <v>3268</v>
      </c>
      <c r="Y558" t="s">
        <v>7</v>
      </c>
      <c r="Z558" t="s">
        <v>4</v>
      </c>
    </row>
    <row r="559" spans="1:26">
      <c r="B559" t="s">
        <v>3121</v>
      </c>
      <c r="C559" t="s">
        <v>1415</v>
      </c>
      <c r="D559" t="s">
        <v>2183</v>
      </c>
      <c r="E559" t="s">
        <v>2921</v>
      </c>
      <c r="F559" t="s">
        <v>2916</v>
      </c>
      <c r="G559">
        <v>64</v>
      </c>
      <c r="H559" t="s">
        <v>2976</v>
      </c>
      <c r="I559">
        <v>2.5</v>
      </c>
      <c r="K559" t="s">
        <v>1108</v>
      </c>
      <c r="M559">
        <v>115.5</v>
      </c>
      <c r="N559" t="s">
        <v>2976</v>
      </c>
      <c r="Q559">
        <f t="shared" si="22"/>
        <v>6.0012742905622965E-3</v>
      </c>
      <c r="R559" t="s">
        <v>3267</v>
      </c>
      <c r="W559">
        <v>0.96399999999999997</v>
      </c>
      <c r="X559" t="s">
        <v>3268</v>
      </c>
      <c r="Y559" t="s">
        <v>7</v>
      </c>
      <c r="Z559" t="s">
        <v>4</v>
      </c>
    </row>
    <row r="560" spans="1:26">
      <c r="A560" t="s">
        <v>741</v>
      </c>
      <c r="B560" t="s">
        <v>3122</v>
      </c>
      <c r="C560" t="s">
        <v>1420</v>
      </c>
      <c r="D560" t="s">
        <v>2191</v>
      </c>
      <c r="E560" t="s">
        <v>2949</v>
      </c>
      <c r="F560" t="s">
        <v>2950</v>
      </c>
      <c r="G560">
        <v>113</v>
      </c>
      <c r="H560" t="s">
        <v>2976</v>
      </c>
      <c r="I560">
        <v>1.22</v>
      </c>
      <c r="K560" t="s">
        <v>1104</v>
      </c>
      <c r="M560" s="30">
        <f>LN(2)/Q560</f>
        <v>26.866169789145165</v>
      </c>
      <c r="N560" t="s">
        <v>2976</v>
      </c>
      <c r="Q560">
        <v>2.58E-2</v>
      </c>
      <c r="R560" t="s">
        <v>3267</v>
      </c>
      <c r="X560" t="s">
        <v>3268</v>
      </c>
      <c r="Y560" t="s">
        <v>7</v>
      </c>
      <c r="Z560" t="s">
        <v>4</v>
      </c>
    </row>
    <row r="561" spans="2:26">
      <c r="B561" t="s">
        <v>3122</v>
      </c>
      <c r="C561" t="s">
        <v>1420</v>
      </c>
      <c r="D561" t="s">
        <v>2192</v>
      </c>
      <c r="E561" t="s">
        <v>2949</v>
      </c>
      <c r="F561" t="s">
        <v>2950</v>
      </c>
      <c r="G561">
        <v>113</v>
      </c>
      <c r="H561" t="s">
        <v>2976</v>
      </c>
      <c r="I561">
        <v>1.22</v>
      </c>
      <c r="K561" t="s">
        <v>1104</v>
      </c>
      <c r="M561" s="30">
        <f t="shared" ref="M561:M580" si="23">LN(2)/Q561</f>
        <v>36.674453997880704</v>
      </c>
      <c r="N561" t="s">
        <v>2976</v>
      </c>
      <c r="Q561">
        <v>1.89E-2</v>
      </c>
      <c r="R561" t="s">
        <v>3267</v>
      </c>
      <c r="X561" t="s">
        <v>3268</v>
      </c>
      <c r="Y561" t="s">
        <v>7</v>
      </c>
      <c r="Z561" t="s">
        <v>4</v>
      </c>
    </row>
    <row r="562" spans="2:26">
      <c r="B562" t="s">
        <v>3122</v>
      </c>
      <c r="C562" t="s">
        <v>1420</v>
      </c>
      <c r="D562" t="s">
        <v>2195</v>
      </c>
      <c r="E562" t="s">
        <v>2949</v>
      </c>
      <c r="F562" t="s">
        <v>2950</v>
      </c>
      <c r="G562">
        <v>113</v>
      </c>
      <c r="H562" t="s">
        <v>2976</v>
      </c>
      <c r="I562">
        <v>1.22</v>
      </c>
      <c r="K562" t="s">
        <v>1104</v>
      </c>
      <c r="M562" s="30">
        <f t="shared" si="23"/>
        <v>24.84398496630628</v>
      </c>
      <c r="N562" t="s">
        <v>2976</v>
      </c>
      <c r="Q562">
        <v>2.7900000000000001E-2</v>
      </c>
      <c r="R562" t="s">
        <v>3267</v>
      </c>
      <c r="X562" t="s">
        <v>3268</v>
      </c>
      <c r="Y562" t="s">
        <v>7</v>
      </c>
      <c r="Z562" t="s">
        <v>4</v>
      </c>
    </row>
    <row r="563" spans="2:26">
      <c r="B563" t="s">
        <v>3122</v>
      </c>
      <c r="C563" t="s">
        <v>1420</v>
      </c>
      <c r="D563" t="s">
        <v>2196</v>
      </c>
      <c r="E563" t="s">
        <v>2949</v>
      </c>
      <c r="F563" t="s">
        <v>2950</v>
      </c>
      <c r="G563">
        <v>113</v>
      </c>
      <c r="H563" t="s">
        <v>2976</v>
      </c>
      <c r="I563">
        <v>1.22</v>
      </c>
      <c r="K563" t="s">
        <v>1104</v>
      </c>
      <c r="M563" s="30">
        <f t="shared" si="23"/>
        <v>23.984331507264542</v>
      </c>
      <c r="N563" t="s">
        <v>2976</v>
      </c>
      <c r="Q563">
        <v>2.8899999999999999E-2</v>
      </c>
      <c r="R563" t="s">
        <v>3267</v>
      </c>
      <c r="X563" t="s">
        <v>3268</v>
      </c>
      <c r="Y563" t="s">
        <v>7</v>
      </c>
      <c r="Z563" t="s">
        <v>4</v>
      </c>
    </row>
    <row r="564" spans="2:26">
      <c r="B564" t="s">
        <v>3122</v>
      </c>
      <c r="C564" t="s">
        <v>1420</v>
      </c>
      <c r="D564" t="s">
        <v>2197</v>
      </c>
      <c r="E564" t="s">
        <v>2949</v>
      </c>
      <c r="F564" t="s">
        <v>2950</v>
      </c>
      <c r="G564">
        <v>113</v>
      </c>
      <c r="H564" t="s">
        <v>2976</v>
      </c>
      <c r="I564">
        <v>1.22</v>
      </c>
      <c r="K564" t="s">
        <v>1104</v>
      </c>
      <c r="M564" s="30">
        <f t="shared" si="23"/>
        <v>34.14518130837169</v>
      </c>
      <c r="N564" t="s">
        <v>2976</v>
      </c>
      <c r="Q564">
        <v>2.0299999999999999E-2</v>
      </c>
      <c r="R564" t="s">
        <v>3267</v>
      </c>
      <c r="X564" t="s">
        <v>3268</v>
      </c>
      <c r="Y564" t="s">
        <v>7</v>
      </c>
      <c r="Z564" t="s">
        <v>4</v>
      </c>
    </row>
    <row r="565" spans="2:26">
      <c r="B565" t="s">
        <v>3122</v>
      </c>
      <c r="C565" t="s">
        <v>1420</v>
      </c>
      <c r="D565" t="s">
        <v>2198</v>
      </c>
      <c r="E565" t="s">
        <v>2949</v>
      </c>
      <c r="F565" t="s">
        <v>2950</v>
      </c>
      <c r="G565">
        <v>113</v>
      </c>
      <c r="H565" t="s">
        <v>2976</v>
      </c>
      <c r="I565">
        <v>1.22</v>
      </c>
      <c r="K565" t="s">
        <v>1104</v>
      </c>
      <c r="M565" s="30">
        <f t="shared" si="23"/>
        <v>33.977802968624765</v>
      </c>
      <c r="N565" t="s">
        <v>2976</v>
      </c>
      <c r="Q565">
        <v>2.0400000000000001E-2</v>
      </c>
      <c r="R565" t="s">
        <v>3267</v>
      </c>
      <c r="X565" t="s">
        <v>3268</v>
      </c>
      <c r="Y565" t="s">
        <v>7</v>
      </c>
      <c r="Z565" t="s">
        <v>4</v>
      </c>
    </row>
    <row r="566" spans="2:26">
      <c r="B566" t="s">
        <v>3122</v>
      </c>
      <c r="C566" t="s">
        <v>1420</v>
      </c>
      <c r="D566" t="s">
        <v>2201</v>
      </c>
      <c r="E566" t="s">
        <v>2949</v>
      </c>
      <c r="F566" t="s">
        <v>2950</v>
      </c>
      <c r="G566">
        <v>113</v>
      </c>
      <c r="H566" t="s">
        <v>2976</v>
      </c>
      <c r="I566">
        <v>1.22</v>
      </c>
      <c r="K566" t="s">
        <v>1104</v>
      </c>
      <c r="M566" s="30">
        <f t="shared" si="23"/>
        <v>40.299254683717749</v>
      </c>
      <c r="N566" t="s">
        <v>2976</v>
      </c>
      <c r="Q566">
        <v>1.72E-2</v>
      </c>
      <c r="R566" t="s">
        <v>3267</v>
      </c>
      <c r="X566" t="s">
        <v>3268</v>
      </c>
      <c r="Y566" t="s">
        <v>7</v>
      </c>
      <c r="Z566" t="s">
        <v>4</v>
      </c>
    </row>
    <row r="567" spans="2:26">
      <c r="B567" t="s">
        <v>3122</v>
      </c>
      <c r="C567" t="s">
        <v>1420</v>
      </c>
      <c r="D567" t="s">
        <v>2202</v>
      </c>
      <c r="E567" t="s">
        <v>2949</v>
      </c>
      <c r="F567" t="s">
        <v>2950</v>
      </c>
      <c r="G567">
        <v>113</v>
      </c>
      <c r="H567" t="s">
        <v>2976</v>
      </c>
      <c r="I567">
        <v>1.22</v>
      </c>
      <c r="K567" t="s">
        <v>1104</v>
      </c>
      <c r="M567" s="30">
        <f t="shared" si="23"/>
        <v>38.295424340328466</v>
      </c>
      <c r="N567" t="s">
        <v>2976</v>
      </c>
      <c r="Q567">
        <v>1.8100000000000002E-2</v>
      </c>
      <c r="R567" t="s">
        <v>3267</v>
      </c>
      <c r="X567" t="s">
        <v>3268</v>
      </c>
      <c r="Y567" t="s">
        <v>7</v>
      </c>
      <c r="Z567" t="s">
        <v>4</v>
      </c>
    </row>
    <row r="568" spans="2:26">
      <c r="B568" t="s">
        <v>3122</v>
      </c>
      <c r="C568" t="s">
        <v>1420</v>
      </c>
      <c r="D568" t="s">
        <v>2203</v>
      </c>
      <c r="E568" t="s">
        <v>2949</v>
      </c>
      <c r="F568" t="s">
        <v>2950</v>
      </c>
      <c r="G568">
        <v>113</v>
      </c>
      <c r="H568" t="s">
        <v>2976</v>
      </c>
      <c r="I568">
        <v>1.22</v>
      </c>
      <c r="K568" t="s">
        <v>1104</v>
      </c>
      <c r="M568" s="30">
        <f t="shared" si="23"/>
        <v>38.295424340328466</v>
      </c>
      <c r="N568" t="s">
        <v>2976</v>
      </c>
      <c r="Q568">
        <v>1.8100000000000002E-2</v>
      </c>
      <c r="R568" t="s">
        <v>3267</v>
      </c>
      <c r="X568" t="s">
        <v>3268</v>
      </c>
      <c r="Y568" t="s">
        <v>7</v>
      </c>
      <c r="Z568" t="s">
        <v>4</v>
      </c>
    </row>
    <row r="569" spans="2:26">
      <c r="B569" t="s">
        <v>3122</v>
      </c>
      <c r="C569" t="s">
        <v>1420</v>
      </c>
      <c r="D569" t="s">
        <v>2204</v>
      </c>
      <c r="E569" t="s">
        <v>2949</v>
      </c>
      <c r="F569" t="s">
        <v>2950</v>
      </c>
      <c r="G569">
        <v>113</v>
      </c>
      <c r="H569" t="s">
        <v>2976</v>
      </c>
      <c r="I569">
        <v>1.22</v>
      </c>
      <c r="K569" t="s">
        <v>1104</v>
      </c>
      <c r="M569" s="30">
        <f t="shared" si="23"/>
        <v>38.723306176533256</v>
      </c>
      <c r="N569" t="s">
        <v>2976</v>
      </c>
      <c r="Q569">
        <v>1.7899999999999999E-2</v>
      </c>
      <c r="R569" t="s">
        <v>3267</v>
      </c>
      <c r="X569" t="s">
        <v>3268</v>
      </c>
      <c r="Y569" t="s">
        <v>7</v>
      </c>
      <c r="Z569" t="s">
        <v>4</v>
      </c>
    </row>
    <row r="570" spans="2:26">
      <c r="B570" t="s">
        <v>3122</v>
      </c>
      <c r="C570" t="s">
        <v>1420</v>
      </c>
      <c r="D570" t="s">
        <v>2207</v>
      </c>
      <c r="E570" t="s">
        <v>2949</v>
      </c>
      <c r="F570" t="s">
        <v>2950</v>
      </c>
      <c r="G570">
        <v>113</v>
      </c>
      <c r="H570" t="s">
        <v>2976</v>
      </c>
      <c r="I570">
        <v>1.22</v>
      </c>
      <c r="K570" t="s">
        <v>1104</v>
      </c>
      <c r="M570" s="30">
        <f t="shared" si="23"/>
        <v>37.671042421736161</v>
      </c>
      <c r="N570" t="s">
        <v>2976</v>
      </c>
      <c r="Q570">
        <v>1.84E-2</v>
      </c>
      <c r="R570" t="s">
        <v>3267</v>
      </c>
      <c r="X570" t="s">
        <v>3268</v>
      </c>
      <c r="Y570" t="s">
        <v>7</v>
      </c>
      <c r="Z570" t="s">
        <v>4</v>
      </c>
    </row>
    <row r="571" spans="2:26">
      <c r="B571" t="s">
        <v>3122</v>
      </c>
      <c r="C571" t="s">
        <v>1420</v>
      </c>
      <c r="D571" t="s">
        <v>2208</v>
      </c>
      <c r="E571" t="s">
        <v>2949</v>
      </c>
      <c r="F571" t="s">
        <v>2950</v>
      </c>
      <c r="G571">
        <v>113</v>
      </c>
      <c r="H571" t="s">
        <v>2976</v>
      </c>
      <c r="I571">
        <v>1.22</v>
      </c>
      <c r="K571" t="s">
        <v>1104</v>
      </c>
      <c r="M571" s="30">
        <f t="shared" si="23"/>
        <v>37.876895112565315</v>
      </c>
      <c r="N571" t="s">
        <v>2976</v>
      </c>
      <c r="Q571">
        <v>1.83E-2</v>
      </c>
      <c r="R571" t="s">
        <v>3267</v>
      </c>
      <c r="X571" t="s">
        <v>3268</v>
      </c>
      <c r="Y571" t="s">
        <v>7</v>
      </c>
      <c r="Z571" t="s">
        <v>4</v>
      </c>
    </row>
    <row r="572" spans="2:26">
      <c r="B572" t="s">
        <v>3122</v>
      </c>
      <c r="C572" t="s">
        <v>1420</v>
      </c>
      <c r="D572" t="s">
        <v>2209</v>
      </c>
      <c r="E572" t="s">
        <v>2949</v>
      </c>
      <c r="F572" t="s">
        <v>2950</v>
      </c>
      <c r="G572">
        <v>113</v>
      </c>
      <c r="H572" t="s">
        <v>2976</v>
      </c>
      <c r="I572">
        <v>1.22</v>
      </c>
      <c r="K572" t="s">
        <v>1104</v>
      </c>
      <c r="M572" s="30">
        <f t="shared" si="23"/>
        <v>59.243348765807291</v>
      </c>
      <c r="N572" t="s">
        <v>2976</v>
      </c>
      <c r="Q572">
        <v>1.17E-2</v>
      </c>
      <c r="R572" t="s">
        <v>3267</v>
      </c>
      <c r="X572" t="s">
        <v>3268</v>
      </c>
      <c r="Y572" t="s">
        <v>7</v>
      </c>
      <c r="Z572" t="s">
        <v>4</v>
      </c>
    </row>
    <row r="573" spans="2:26">
      <c r="B573" t="s">
        <v>3122</v>
      </c>
      <c r="C573" t="s">
        <v>1420</v>
      </c>
      <c r="D573" t="s">
        <v>2210</v>
      </c>
      <c r="E573" t="s">
        <v>2949</v>
      </c>
      <c r="F573" t="s">
        <v>2950</v>
      </c>
      <c r="G573">
        <v>113</v>
      </c>
      <c r="H573" t="s">
        <v>2976</v>
      </c>
      <c r="I573">
        <v>1.22</v>
      </c>
      <c r="K573" t="s">
        <v>1104</v>
      </c>
      <c r="M573" s="30">
        <f t="shared" si="23"/>
        <v>34.14518130837169</v>
      </c>
      <c r="N573" t="s">
        <v>2976</v>
      </c>
      <c r="Q573">
        <v>2.0299999999999999E-2</v>
      </c>
      <c r="R573" t="s">
        <v>3267</v>
      </c>
      <c r="X573" t="s">
        <v>3268</v>
      </c>
      <c r="Y573" t="s">
        <v>7</v>
      </c>
      <c r="Z573" t="s">
        <v>4</v>
      </c>
    </row>
    <row r="574" spans="2:26">
      <c r="B574" t="s">
        <v>3122</v>
      </c>
      <c r="C574" t="s">
        <v>1420</v>
      </c>
      <c r="D574" t="s">
        <v>2213</v>
      </c>
      <c r="E574" t="s">
        <v>2949</v>
      </c>
      <c r="F574" t="s">
        <v>2950</v>
      </c>
      <c r="G574">
        <v>113</v>
      </c>
      <c r="H574" t="s">
        <v>2976</v>
      </c>
      <c r="I574">
        <v>1.22</v>
      </c>
      <c r="K574" t="s">
        <v>1104</v>
      </c>
      <c r="M574" s="30">
        <f t="shared" si="23"/>
        <v>28.524575331684993</v>
      </c>
      <c r="N574" t="s">
        <v>2976</v>
      </c>
      <c r="Q574">
        <v>2.4299999999999999E-2</v>
      </c>
      <c r="R574" t="s">
        <v>3267</v>
      </c>
      <c r="X574" t="s">
        <v>3268</v>
      </c>
      <c r="Y574" t="s">
        <v>7</v>
      </c>
      <c r="Z574" t="s">
        <v>4</v>
      </c>
    </row>
    <row r="575" spans="2:26">
      <c r="B575" t="s">
        <v>3122</v>
      </c>
      <c r="C575" t="s">
        <v>1420</v>
      </c>
      <c r="D575" t="s">
        <v>2214</v>
      </c>
      <c r="E575" t="s">
        <v>2949</v>
      </c>
      <c r="F575" t="s">
        <v>2950</v>
      </c>
      <c r="G575">
        <v>113</v>
      </c>
      <c r="H575" t="s">
        <v>2976</v>
      </c>
      <c r="I575">
        <v>1.22</v>
      </c>
      <c r="K575" t="s">
        <v>1104</v>
      </c>
      <c r="M575" s="30">
        <f t="shared" si="23"/>
        <v>35.546009259484372</v>
      </c>
      <c r="N575" t="s">
        <v>2976</v>
      </c>
      <c r="Q575">
        <v>1.95E-2</v>
      </c>
      <c r="R575" t="s">
        <v>3267</v>
      </c>
      <c r="X575" t="s">
        <v>3268</v>
      </c>
      <c r="Y575" t="s">
        <v>7</v>
      </c>
      <c r="Z575" t="s">
        <v>4</v>
      </c>
    </row>
    <row r="576" spans="2:26">
      <c r="B576" t="s">
        <v>3122</v>
      </c>
      <c r="C576" t="s">
        <v>1420</v>
      </c>
      <c r="D576" t="s">
        <v>2215</v>
      </c>
      <c r="E576" t="s">
        <v>2949</v>
      </c>
      <c r="F576" t="s">
        <v>2950</v>
      </c>
      <c r="G576">
        <v>113</v>
      </c>
      <c r="H576" t="s">
        <v>2976</v>
      </c>
      <c r="I576">
        <v>1.22</v>
      </c>
      <c r="K576" t="s">
        <v>1104</v>
      </c>
      <c r="M576" s="30">
        <f t="shared" si="23"/>
        <v>49.510512897138945</v>
      </c>
      <c r="N576" t="s">
        <v>2976</v>
      </c>
      <c r="Q576">
        <v>1.4E-2</v>
      </c>
      <c r="R576" t="s">
        <v>3267</v>
      </c>
      <c r="X576" t="s">
        <v>3268</v>
      </c>
      <c r="Y576" t="s">
        <v>7</v>
      </c>
      <c r="Z576" t="s">
        <v>4</v>
      </c>
    </row>
    <row r="577" spans="1:42">
      <c r="B577" t="s">
        <v>3122</v>
      </c>
      <c r="C577" t="s">
        <v>1420</v>
      </c>
      <c r="D577" t="s">
        <v>2216</v>
      </c>
      <c r="E577" t="s">
        <v>2949</v>
      </c>
      <c r="F577" t="s">
        <v>2950</v>
      </c>
      <c r="G577">
        <v>113</v>
      </c>
      <c r="H577" t="s">
        <v>2976</v>
      </c>
      <c r="I577">
        <v>1.22</v>
      </c>
      <c r="K577" t="s">
        <v>1104</v>
      </c>
      <c r="M577" s="30">
        <f t="shared" si="23"/>
        <v>39.836044859766972</v>
      </c>
      <c r="N577" t="s">
        <v>2976</v>
      </c>
      <c r="Q577">
        <v>1.7399999999999999E-2</v>
      </c>
      <c r="R577" t="s">
        <v>3267</v>
      </c>
      <c r="X577" t="s">
        <v>3268</v>
      </c>
      <c r="Y577" t="s">
        <v>7</v>
      </c>
      <c r="Z577" t="s">
        <v>4</v>
      </c>
    </row>
    <row r="578" spans="1:42">
      <c r="B578" t="s">
        <v>3122</v>
      </c>
      <c r="C578" t="s">
        <v>1420</v>
      </c>
      <c r="D578" t="s">
        <v>2219</v>
      </c>
      <c r="E578" t="s">
        <v>2949</v>
      </c>
      <c r="F578" t="s">
        <v>2950</v>
      </c>
      <c r="G578">
        <v>113</v>
      </c>
      <c r="H578" t="s">
        <v>2976</v>
      </c>
      <c r="I578">
        <v>1.22</v>
      </c>
      <c r="K578" t="s">
        <v>1104</v>
      </c>
      <c r="M578" s="30">
        <f t="shared" si="23"/>
        <v>61.888141121423686</v>
      </c>
      <c r="N578" t="s">
        <v>2976</v>
      </c>
      <c r="Q578">
        <v>1.12E-2</v>
      </c>
      <c r="R578" t="s">
        <v>3267</v>
      </c>
      <c r="X578" t="s">
        <v>3268</v>
      </c>
      <c r="Y578" t="s">
        <v>7</v>
      </c>
      <c r="Z578" t="s">
        <v>4</v>
      </c>
    </row>
    <row r="579" spans="1:42">
      <c r="B579" t="s">
        <v>3122</v>
      </c>
      <c r="C579" t="s">
        <v>1420</v>
      </c>
      <c r="D579" t="s">
        <v>2220</v>
      </c>
      <c r="E579" t="s">
        <v>2949</v>
      </c>
      <c r="F579" t="s">
        <v>2950</v>
      </c>
      <c r="G579">
        <v>113</v>
      </c>
      <c r="H579" t="s">
        <v>2976</v>
      </c>
      <c r="I579">
        <v>1.22</v>
      </c>
      <c r="K579" t="s">
        <v>1104</v>
      </c>
      <c r="M579" s="30">
        <f t="shared" si="23"/>
        <v>19.415887410642725</v>
      </c>
      <c r="N579" t="s">
        <v>2976</v>
      </c>
      <c r="Q579">
        <v>3.5700000000000003E-2</v>
      </c>
      <c r="R579" t="s">
        <v>3267</v>
      </c>
      <c r="X579" t="s">
        <v>3268</v>
      </c>
      <c r="Y579" t="s">
        <v>7</v>
      </c>
      <c r="Z579" t="s">
        <v>4</v>
      </c>
    </row>
    <row r="580" spans="1:42">
      <c r="B580" t="s">
        <v>3122</v>
      </c>
      <c r="C580" t="s">
        <v>1420</v>
      </c>
      <c r="D580" t="s">
        <v>2221</v>
      </c>
      <c r="E580" t="s">
        <v>2949</v>
      </c>
      <c r="F580" t="s">
        <v>2950</v>
      </c>
      <c r="G580">
        <v>113</v>
      </c>
      <c r="H580" t="s">
        <v>2976</v>
      </c>
      <c r="I580">
        <v>1.22</v>
      </c>
      <c r="K580" t="s">
        <v>1104</v>
      </c>
      <c r="M580" s="30">
        <f t="shared" si="23"/>
        <v>57.762265046662108</v>
      </c>
      <c r="N580" t="s">
        <v>2976</v>
      </c>
      <c r="Q580">
        <v>1.2E-2</v>
      </c>
      <c r="R580" t="s">
        <v>3267</v>
      </c>
      <c r="X580" t="s">
        <v>3268</v>
      </c>
      <c r="Y580" t="s">
        <v>7</v>
      </c>
      <c r="Z580" t="s">
        <v>4</v>
      </c>
    </row>
    <row r="581" spans="1:42">
      <c r="A581" t="s">
        <v>733</v>
      </c>
      <c r="B581" t="s">
        <v>3123</v>
      </c>
      <c r="C581" t="s">
        <v>1424</v>
      </c>
      <c r="D581" t="s">
        <v>2222</v>
      </c>
      <c r="E581" t="s">
        <v>2753</v>
      </c>
      <c r="F581" t="s">
        <v>2754</v>
      </c>
      <c r="G581">
        <v>60</v>
      </c>
      <c r="H581" t="s">
        <v>2976</v>
      </c>
      <c r="I581">
        <v>10</v>
      </c>
      <c r="K581" t="s">
        <v>1402</v>
      </c>
      <c r="M581">
        <v>29.6</v>
      </c>
      <c r="N581" t="s">
        <v>2976</v>
      </c>
      <c r="Q581">
        <v>2.3400000000000001E-2</v>
      </c>
      <c r="R581" t="s">
        <v>3267</v>
      </c>
      <c r="W581">
        <v>0.98399999999999999</v>
      </c>
      <c r="X581" t="s">
        <v>3268</v>
      </c>
      <c r="Y581" t="s">
        <v>7</v>
      </c>
      <c r="Z581" t="s">
        <v>4</v>
      </c>
    </row>
    <row r="582" spans="1:42">
      <c r="B582" t="s">
        <v>3123</v>
      </c>
      <c r="C582" t="s">
        <v>1424</v>
      </c>
      <c r="D582" t="s">
        <v>2223</v>
      </c>
      <c r="E582" t="s">
        <v>2753</v>
      </c>
      <c r="F582" t="s">
        <v>2754</v>
      </c>
      <c r="G582">
        <v>60</v>
      </c>
      <c r="H582" t="s">
        <v>2976</v>
      </c>
      <c r="I582">
        <v>10</v>
      </c>
      <c r="K582" t="s">
        <v>1402</v>
      </c>
      <c r="M582">
        <v>21.8</v>
      </c>
      <c r="N582" t="s">
        <v>2976</v>
      </c>
      <c r="Q582">
        <v>3.1800000000000002E-2</v>
      </c>
      <c r="R582" t="s">
        <v>3267</v>
      </c>
      <c r="W582">
        <v>0.93920000000000003</v>
      </c>
      <c r="X582" t="s">
        <v>3268</v>
      </c>
      <c r="Y582" t="s">
        <v>7</v>
      </c>
      <c r="Z582" t="s">
        <v>4</v>
      </c>
    </row>
    <row r="583" spans="1:42">
      <c r="A583" t="s">
        <v>721</v>
      </c>
      <c r="B583" t="s">
        <v>3124</v>
      </c>
      <c r="C583" t="s">
        <v>1426</v>
      </c>
      <c r="D583" t="s">
        <v>2226</v>
      </c>
      <c r="E583" t="s">
        <v>2632</v>
      </c>
      <c r="F583" t="s">
        <v>2629</v>
      </c>
      <c r="G583">
        <v>140</v>
      </c>
      <c r="H583" t="s">
        <v>2976</v>
      </c>
      <c r="I583">
        <v>25</v>
      </c>
      <c r="K583" t="s">
        <v>1108</v>
      </c>
      <c r="M583">
        <v>66</v>
      </c>
      <c r="N583" t="s">
        <v>2976</v>
      </c>
      <c r="Q583">
        <f>LN(2)/M583</f>
        <v>1.050223000848402E-2</v>
      </c>
      <c r="R583" t="s">
        <v>3267</v>
      </c>
      <c r="W583">
        <v>0.99</v>
      </c>
      <c r="X583" t="s">
        <v>3268</v>
      </c>
      <c r="Y583" t="s">
        <v>7</v>
      </c>
      <c r="Z583" t="s">
        <v>8</v>
      </c>
    </row>
    <row r="584" spans="1:42">
      <c r="B584" t="s">
        <v>3124</v>
      </c>
      <c r="C584" t="s">
        <v>1426</v>
      </c>
      <c r="D584" t="s">
        <v>2227</v>
      </c>
      <c r="E584" t="s">
        <v>2632</v>
      </c>
      <c r="F584" t="s">
        <v>2629</v>
      </c>
      <c r="G584">
        <v>140</v>
      </c>
      <c r="H584" t="s">
        <v>2976</v>
      </c>
      <c r="I584">
        <v>25</v>
      </c>
      <c r="K584" t="s">
        <v>1108</v>
      </c>
      <c r="M584">
        <v>66</v>
      </c>
      <c r="N584" t="s">
        <v>2976</v>
      </c>
      <c r="Q584">
        <f t="shared" ref="Q584:Q586" si="24">LN(2)/M584</f>
        <v>1.050223000848402E-2</v>
      </c>
      <c r="R584" t="s">
        <v>3267</v>
      </c>
      <c r="W584">
        <v>0.99</v>
      </c>
      <c r="X584" t="s">
        <v>3268</v>
      </c>
      <c r="Y584" t="s">
        <v>7</v>
      </c>
      <c r="Z584" t="s">
        <v>8</v>
      </c>
    </row>
    <row r="585" spans="1:42">
      <c r="B585" t="s">
        <v>3124</v>
      </c>
      <c r="C585" t="s">
        <v>1426</v>
      </c>
      <c r="D585" t="s">
        <v>2230</v>
      </c>
      <c r="E585" t="s">
        <v>2632</v>
      </c>
      <c r="F585" t="s">
        <v>2629</v>
      </c>
      <c r="G585">
        <v>140</v>
      </c>
      <c r="H585" t="s">
        <v>2976</v>
      </c>
      <c r="I585">
        <v>25</v>
      </c>
      <c r="K585" t="s">
        <v>1108</v>
      </c>
      <c r="M585">
        <v>66</v>
      </c>
      <c r="N585" t="s">
        <v>2976</v>
      </c>
      <c r="Q585">
        <f t="shared" si="24"/>
        <v>1.050223000848402E-2</v>
      </c>
      <c r="R585" t="s">
        <v>3267</v>
      </c>
      <c r="W585">
        <v>0.99</v>
      </c>
      <c r="X585" t="s">
        <v>3268</v>
      </c>
      <c r="Y585" t="s">
        <v>7</v>
      </c>
      <c r="Z585" t="s">
        <v>8</v>
      </c>
    </row>
    <row r="586" spans="1:42">
      <c r="B586" t="s">
        <v>3124</v>
      </c>
      <c r="C586" t="s">
        <v>1426</v>
      </c>
      <c r="D586" t="s">
        <v>2232</v>
      </c>
      <c r="E586" t="s">
        <v>2632</v>
      </c>
      <c r="F586" t="s">
        <v>2629</v>
      </c>
      <c r="G586">
        <v>140</v>
      </c>
      <c r="H586" t="s">
        <v>2976</v>
      </c>
      <c r="I586">
        <v>25</v>
      </c>
      <c r="K586" t="s">
        <v>1108</v>
      </c>
      <c r="M586">
        <v>66</v>
      </c>
      <c r="N586" t="s">
        <v>2976</v>
      </c>
      <c r="Q586">
        <f t="shared" si="24"/>
        <v>1.050223000848402E-2</v>
      </c>
      <c r="R586" t="s">
        <v>3267</v>
      </c>
      <c r="W586">
        <v>0.99</v>
      </c>
      <c r="X586" t="s">
        <v>3268</v>
      </c>
      <c r="Y586" t="s">
        <v>7</v>
      </c>
      <c r="Z586" t="s">
        <v>8</v>
      </c>
    </row>
    <row r="587" spans="1:42">
      <c r="A587" t="s">
        <v>302</v>
      </c>
      <c r="B587" t="s">
        <v>3125</v>
      </c>
      <c r="C587" t="s">
        <v>1416</v>
      </c>
      <c r="D587" t="s">
        <v>2184</v>
      </c>
      <c r="E587" t="s">
        <v>2719</v>
      </c>
      <c r="F587" t="s">
        <v>2713</v>
      </c>
      <c r="G587">
        <v>55</v>
      </c>
      <c r="H587" t="s">
        <v>2976</v>
      </c>
      <c r="I587">
        <v>3</v>
      </c>
      <c r="K587" t="s">
        <v>1108</v>
      </c>
      <c r="M587">
        <v>8.5</v>
      </c>
      <c r="N587" t="s">
        <v>2976</v>
      </c>
      <c r="Q587">
        <f>LN(2)/M587</f>
        <v>8.1546727124699445E-2</v>
      </c>
      <c r="R587" t="s">
        <v>3267</v>
      </c>
      <c r="Y587" t="s">
        <v>11</v>
      </c>
      <c r="Z587" t="s">
        <v>4</v>
      </c>
      <c r="AK587">
        <v>6.93</v>
      </c>
      <c r="AN587" t="s">
        <v>3270</v>
      </c>
      <c r="AO587">
        <v>0.995</v>
      </c>
      <c r="AP587" t="s">
        <v>3300</v>
      </c>
    </row>
    <row r="588" spans="1:42">
      <c r="B588" t="s">
        <v>3125</v>
      </c>
      <c r="C588" t="s">
        <v>1416</v>
      </c>
      <c r="D588" t="s">
        <v>2186</v>
      </c>
      <c r="E588" t="s">
        <v>2719</v>
      </c>
      <c r="F588" t="s">
        <v>2713</v>
      </c>
      <c r="G588">
        <v>55</v>
      </c>
      <c r="H588" t="s">
        <v>2976</v>
      </c>
      <c r="I588">
        <v>3</v>
      </c>
      <c r="K588" t="s">
        <v>1108</v>
      </c>
      <c r="M588">
        <v>10.8</v>
      </c>
      <c r="N588" t="s">
        <v>2976</v>
      </c>
      <c r="Q588">
        <f>LN(2)/M588</f>
        <v>6.4180294496291229E-2</v>
      </c>
      <c r="R588" t="s">
        <v>3267</v>
      </c>
      <c r="Y588" t="s">
        <v>11</v>
      </c>
      <c r="Z588" t="s">
        <v>4</v>
      </c>
      <c r="AK588">
        <v>22.3</v>
      </c>
      <c r="AN588" t="s">
        <v>3270</v>
      </c>
      <c r="AO588">
        <v>0.89400000000000002</v>
      </c>
      <c r="AP588" t="s">
        <v>3300</v>
      </c>
    </row>
    <row r="589" spans="1:42">
      <c r="B589" t="s">
        <v>3125</v>
      </c>
      <c r="C589" t="s">
        <v>1416</v>
      </c>
      <c r="D589" t="s">
        <v>2189</v>
      </c>
      <c r="E589" t="s">
        <v>2719</v>
      </c>
      <c r="F589" t="s">
        <v>2713</v>
      </c>
      <c r="G589">
        <v>55</v>
      </c>
      <c r="H589" t="s">
        <v>2976</v>
      </c>
      <c r="I589">
        <v>3</v>
      </c>
      <c r="K589" t="s">
        <v>1108</v>
      </c>
      <c r="M589">
        <v>50.7</v>
      </c>
      <c r="N589" t="s">
        <v>2976</v>
      </c>
      <c r="Q589">
        <f>LN(2)/M589</f>
        <v>1.3671542022878605E-2</v>
      </c>
      <c r="R589" t="s">
        <v>3267</v>
      </c>
      <c r="Y589" t="s">
        <v>11</v>
      </c>
      <c r="Z589" t="s">
        <v>4</v>
      </c>
      <c r="AK589">
        <v>29</v>
      </c>
      <c r="AN589" t="s">
        <v>3270</v>
      </c>
      <c r="AO589">
        <v>0.92200000000000004</v>
      </c>
      <c r="AP589" t="s">
        <v>3300</v>
      </c>
    </row>
    <row r="590" spans="1:42">
      <c r="A590" t="s">
        <v>717</v>
      </c>
      <c r="B590" t="s">
        <v>3126</v>
      </c>
      <c r="C590" t="s">
        <v>1428</v>
      </c>
      <c r="D590" t="s">
        <v>2234</v>
      </c>
      <c r="E590" t="s">
        <v>2569</v>
      </c>
      <c r="F590" t="s">
        <v>2570</v>
      </c>
      <c r="G590">
        <v>28</v>
      </c>
      <c r="H590" t="s">
        <v>2976</v>
      </c>
      <c r="I590">
        <v>10</v>
      </c>
      <c r="K590" t="s">
        <v>1108</v>
      </c>
      <c r="M590">
        <v>5.5</v>
      </c>
      <c r="N590" t="s">
        <v>2976</v>
      </c>
      <c r="Q590">
        <f>LN(2)/M590</f>
        <v>0.12602676010180824</v>
      </c>
      <c r="R590" t="s">
        <v>3267</v>
      </c>
      <c r="W590">
        <v>0.99</v>
      </c>
      <c r="X590" t="s">
        <v>3268</v>
      </c>
      <c r="Y590" t="s">
        <v>7</v>
      </c>
      <c r="Z590" t="s">
        <v>4</v>
      </c>
    </row>
    <row r="591" spans="1:42">
      <c r="B591" t="s">
        <v>3126</v>
      </c>
      <c r="C591" t="s">
        <v>1428</v>
      </c>
      <c r="D591" t="s">
        <v>2235</v>
      </c>
      <c r="E591" t="s">
        <v>2569</v>
      </c>
      <c r="F591" t="s">
        <v>2570</v>
      </c>
      <c r="G591">
        <v>28</v>
      </c>
      <c r="H591" t="s">
        <v>2976</v>
      </c>
      <c r="I591">
        <v>10</v>
      </c>
      <c r="K591" t="s">
        <v>1108</v>
      </c>
      <c r="M591">
        <v>13.2</v>
      </c>
      <c r="N591" t="s">
        <v>2976</v>
      </c>
      <c r="Q591">
        <f t="shared" ref="Q591:Q602" si="25">LN(2)/M591</f>
        <v>5.2511150042420102E-2</v>
      </c>
      <c r="R591" t="s">
        <v>3267</v>
      </c>
      <c r="W591">
        <v>0.95</v>
      </c>
      <c r="X591" t="s">
        <v>3268</v>
      </c>
      <c r="Y591" t="s">
        <v>7</v>
      </c>
      <c r="Z591" t="s">
        <v>4</v>
      </c>
    </row>
    <row r="592" spans="1:42">
      <c r="B592" t="s">
        <v>3126</v>
      </c>
      <c r="C592" t="s">
        <v>1431</v>
      </c>
      <c r="D592" t="s">
        <v>2234</v>
      </c>
      <c r="E592" t="s">
        <v>2569</v>
      </c>
      <c r="F592" t="s">
        <v>2570</v>
      </c>
      <c r="G592">
        <v>28</v>
      </c>
      <c r="H592" t="s">
        <v>2976</v>
      </c>
      <c r="I592">
        <v>10</v>
      </c>
      <c r="K592" t="s">
        <v>1108</v>
      </c>
      <c r="M592">
        <v>6.7</v>
      </c>
      <c r="N592" t="s">
        <v>2976</v>
      </c>
      <c r="Q592">
        <f t="shared" si="25"/>
        <v>0.10345480306864854</v>
      </c>
      <c r="R592" t="s">
        <v>3267</v>
      </c>
      <c r="W592">
        <v>0.98</v>
      </c>
      <c r="X592" t="s">
        <v>3268</v>
      </c>
      <c r="Y592" t="s">
        <v>7</v>
      </c>
      <c r="Z592" t="s">
        <v>4</v>
      </c>
    </row>
    <row r="593" spans="1:41">
      <c r="B593" t="s">
        <v>3126</v>
      </c>
      <c r="C593" t="s">
        <v>1431</v>
      </c>
      <c r="D593" t="s">
        <v>2235</v>
      </c>
      <c r="E593" t="s">
        <v>2569</v>
      </c>
      <c r="F593" t="s">
        <v>2570</v>
      </c>
      <c r="G593">
        <v>28</v>
      </c>
      <c r="H593" t="s">
        <v>2976</v>
      </c>
      <c r="I593">
        <v>10</v>
      </c>
      <c r="K593" t="s">
        <v>1108</v>
      </c>
      <c r="M593">
        <v>10</v>
      </c>
      <c r="N593" t="s">
        <v>2976</v>
      </c>
      <c r="Q593">
        <f t="shared" si="25"/>
        <v>6.9314718055994526E-2</v>
      </c>
      <c r="R593" t="s">
        <v>3267</v>
      </c>
      <c r="W593">
        <v>0.99</v>
      </c>
      <c r="X593" t="s">
        <v>3268</v>
      </c>
      <c r="Y593" t="s">
        <v>7</v>
      </c>
      <c r="Z593" t="s">
        <v>4</v>
      </c>
    </row>
    <row r="594" spans="1:41">
      <c r="B594" t="s">
        <v>3126</v>
      </c>
      <c r="C594" t="s">
        <v>1434</v>
      </c>
      <c r="D594" t="s">
        <v>2234</v>
      </c>
      <c r="E594" t="s">
        <v>2569</v>
      </c>
      <c r="F594" t="s">
        <v>2570</v>
      </c>
      <c r="G594">
        <v>28</v>
      </c>
      <c r="H594" t="s">
        <v>2976</v>
      </c>
      <c r="I594">
        <v>10</v>
      </c>
      <c r="K594" t="s">
        <v>1108</v>
      </c>
      <c r="M594">
        <v>9.1999999999999993</v>
      </c>
      <c r="N594" t="s">
        <v>2976</v>
      </c>
      <c r="Q594">
        <f t="shared" si="25"/>
        <v>7.5342084843472323E-2</v>
      </c>
      <c r="R594" t="s">
        <v>3267</v>
      </c>
      <c r="W594">
        <v>0.99</v>
      </c>
      <c r="X594" t="s">
        <v>3268</v>
      </c>
      <c r="Y594" t="s">
        <v>7</v>
      </c>
      <c r="Z594" t="s">
        <v>4</v>
      </c>
    </row>
    <row r="595" spans="1:41">
      <c r="B595" t="s">
        <v>3126</v>
      </c>
      <c r="C595" t="s">
        <v>1434</v>
      </c>
      <c r="D595" t="s">
        <v>2235</v>
      </c>
      <c r="E595" t="s">
        <v>2569</v>
      </c>
      <c r="F595" t="s">
        <v>2570</v>
      </c>
      <c r="G595">
        <v>28</v>
      </c>
      <c r="H595" t="s">
        <v>2976</v>
      </c>
      <c r="I595">
        <v>10</v>
      </c>
      <c r="K595" t="s">
        <v>1108</v>
      </c>
      <c r="M595">
        <v>13.3</v>
      </c>
      <c r="N595" t="s">
        <v>2976</v>
      </c>
      <c r="Q595">
        <f t="shared" si="25"/>
        <v>5.2116329365409414E-2</v>
      </c>
      <c r="R595" t="s">
        <v>3267</v>
      </c>
      <c r="W595">
        <v>0.97</v>
      </c>
      <c r="X595" t="s">
        <v>3268</v>
      </c>
      <c r="Y595" t="s">
        <v>7</v>
      </c>
      <c r="Z595" t="s">
        <v>4</v>
      </c>
    </row>
    <row r="596" spans="1:41">
      <c r="A596" t="s">
        <v>713</v>
      </c>
      <c r="B596" t="s">
        <v>3129</v>
      </c>
      <c r="C596" t="s">
        <v>1437</v>
      </c>
      <c r="D596" t="s">
        <v>2237</v>
      </c>
      <c r="E596" t="s">
        <v>2567</v>
      </c>
      <c r="F596" t="s">
        <v>2563</v>
      </c>
      <c r="G596">
        <v>70</v>
      </c>
      <c r="H596" t="s">
        <v>2976</v>
      </c>
      <c r="I596">
        <v>10</v>
      </c>
      <c r="K596" t="s">
        <v>1108</v>
      </c>
      <c r="M596">
        <v>5.2</v>
      </c>
      <c r="N596" t="s">
        <v>2976</v>
      </c>
      <c r="Q596">
        <f t="shared" si="25"/>
        <v>0.13329753472306641</v>
      </c>
      <c r="R596" t="s">
        <v>3267</v>
      </c>
      <c r="X596" t="s">
        <v>3268</v>
      </c>
      <c r="Y596" t="s">
        <v>7</v>
      </c>
      <c r="Z596" t="s">
        <v>8</v>
      </c>
    </row>
    <row r="597" spans="1:41">
      <c r="B597" t="s">
        <v>3129</v>
      </c>
      <c r="C597" t="s">
        <v>1437</v>
      </c>
      <c r="D597" t="s">
        <v>2238</v>
      </c>
      <c r="E597" t="s">
        <v>2567</v>
      </c>
      <c r="F597" t="s">
        <v>2563</v>
      </c>
      <c r="G597">
        <v>70</v>
      </c>
      <c r="H597" t="s">
        <v>2976</v>
      </c>
      <c r="I597">
        <v>10</v>
      </c>
      <c r="K597" t="s">
        <v>1108</v>
      </c>
      <c r="M597">
        <v>21.5</v>
      </c>
      <c r="N597" t="s">
        <v>2976</v>
      </c>
      <c r="Q597">
        <f t="shared" si="25"/>
        <v>3.2239403746974198E-2</v>
      </c>
      <c r="R597" t="s">
        <v>3267</v>
      </c>
      <c r="X597" t="s">
        <v>3268</v>
      </c>
      <c r="Y597" t="s">
        <v>7</v>
      </c>
      <c r="Z597" t="s">
        <v>8</v>
      </c>
    </row>
    <row r="598" spans="1:41">
      <c r="A598" t="s">
        <v>705</v>
      </c>
      <c r="B598" t="s">
        <v>3131</v>
      </c>
      <c r="C598" t="s">
        <v>1441</v>
      </c>
      <c r="D598" t="s">
        <v>2240</v>
      </c>
      <c r="E598" t="s">
        <v>2900</v>
      </c>
      <c r="F598" t="s">
        <v>2895</v>
      </c>
      <c r="G598">
        <v>103</v>
      </c>
      <c r="H598" t="s">
        <v>2976</v>
      </c>
      <c r="I598">
        <v>1.5</v>
      </c>
      <c r="K598" t="s">
        <v>1108</v>
      </c>
      <c r="M598">
        <v>27</v>
      </c>
      <c r="N598" t="s">
        <v>2976</v>
      </c>
      <c r="Q598">
        <f t="shared" si="25"/>
        <v>2.5672117798516494E-2</v>
      </c>
      <c r="R598" t="s">
        <v>3267</v>
      </c>
      <c r="W598">
        <v>0.93899999999999995</v>
      </c>
      <c r="X598" t="s">
        <v>3268</v>
      </c>
      <c r="Y598" t="s">
        <v>7</v>
      </c>
      <c r="Z598" t="s">
        <v>4</v>
      </c>
      <c r="AK598">
        <v>2.8</v>
      </c>
      <c r="AL598" t="s">
        <v>3274</v>
      </c>
      <c r="AN598" t="s">
        <v>3275</v>
      </c>
      <c r="AO598">
        <v>0.998</v>
      </c>
    </row>
    <row r="599" spans="1:41">
      <c r="B599" t="s">
        <v>3131</v>
      </c>
      <c r="C599" t="s">
        <v>1441</v>
      </c>
      <c r="D599" t="s">
        <v>2241</v>
      </c>
      <c r="E599" t="s">
        <v>2900</v>
      </c>
      <c r="F599" t="s">
        <v>2895</v>
      </c>
      <c r="G599">
        <v>103</v>
      </c>
      <c r="H599" t="s">
        <v>2976</v>
      </c>
      <c r="I599">
        <v>1.5</v>
      </c>
      <c r="K599" t="s">
        <v>1108</v>
      </c>
      <c r="M599">
        <v>38.200000000000003</v>
      </c>
      <c r="N599" t="s">
        <v>2976</v>
      </c>
      <c r="Q599">
        <f t="shared" si="25"/>
        <v>1.8145214150783906E-2</v>
      </c>
      <c r="R599" t="s">
        <v>3267</v>
      </c>
      <c r="W599">
        <v>0.88400000000000001</v>
      </c>
      <c r="X599" t="s">
        <v>3268</v>
      </c>
      <c r="Y599" t="s">
        <v>7</v>
      </c>
      <c r="Z599" t="s">
        <v>4</v>
      </c>
      <c r="AK599">
        <v>4.2699999999999996</v>
      </c>
      <c r="AL599" t="s">
        <v>3274</v>
      </c>
      <c r="AN599" t="s">
        <v>3275</v>
      </c>
      <c r="AO599">
        <v>0.998</v>
      </c>
    </row>
    <row r="600" spans="1:41">
      <c r="B600" t="s">
        <v>3131</v>
      </c>
      <c r="C600" t="s">
        <v>1441</v>
      </c>
      <c r="D600" t="s">
        <v>2243</v>
      </c>
      <c r="E600" t="s">
        <v>2900</v>
      </c>
      <c r="F600" t="s">
        <v>2895</v>
      </c>
      <c r="G600">
        <v>103</v>
      </c>
      <c r="H600" t="s">
        <v>2976</v>
      </c>
      <c r="I600">
        <v>1.5</v>
      </c>
      <c r="K600" t="s">
        <v>1108</v>
      </c>
      <c r="M600">
        <v>46.8</v>
      </c>
      <c r="N600" t="s">
        <v>2976</v>
      </c>
      <c r="Q600">
        <f t="shared" si="25"/>
        <v>1.4810837191451823E-2</v>
      </c>
      <c r="R600" t="s">
        <v>3267</v>
      </c>
      <c r="W600">
        <v>0.91300000000000003</v>
      </c>
      <c r="X600" t="s">
        <v>3268</v>
      </c>
      <c r="Y600" t="s">
        <v>7</v>
      </c>
      <c r="Z600" t="s">
        <v>4</v>
      </c>
      <c r="AK600">
        <v>6.06</v>
      </c>
      <c r="AL600" t="s">
        <v>3274</v>
      </c>
      <c r="AN600" t="s">
        <v>3275</v>
      </c>
      <c r="AO600">
        <v>0.996</v>
      </c>
    </row>
    <row r="601" spans="1:41">
      <c r="B601" t="s">
        <v>3131</v>
      </c>
      <c r="C601" t="s">
        <v>1441</v>
      </c>
      <c r="D601" t="s">
        <v>2244</v>
      </c>
      <c r="E601" t="s">
        <v>2900</v>
      </c>
      <c r="F601" t="s">
        <v>2895</v>
      </c>
      <c r="G601">
        <v>103</v>
      </c>
      <c r="H601" t="s">
        <v>2976</v>
      </c>
      <c r="I601">
        <v>1.5</v>
      </c>
      <c r="K601" t="s">
        <v>1108</v>
      </c>
      <c r="M601">
        <v>34.700000000000003</v>
      </c>
      <c r="N601" t="s">
        <v>2976</v>
      </c>
      <c r="Q601">
        <f t="shared" si="25"/>
        <v>1.9975423070891795E-2</v>
      </c>
      <c r="R601" t="s">
        <v>3267</v>
      </c>
      <c r="W601">
        <v>0.92300000000000004</v>
      </c>
      <c r="X601" t="s">
        <v>3268</v>
      </c>
      <c r="Y601" t="s">
        <v>7</v>
      </c>
      <c r="Z601" t="s">
        <v>4</v>
      </c>
      <c r="AK601">
        <v>4.1399999999999997</v>
      </c>
      <c r="AL601" t="s">
        <v>3274</v>
      </c>
      <c r="AN601" t="s">
        <v>3275</v>
      </c>
      <c r="AO601">
        <v>0.995</v>
      </c>
    </row>
    <row r="602" spans="1:41">
      <c r="B602" t="s">
        <v>3131</v>
      </c>
      <c r="C602" t="s">
        <v>1441</v>
      </c>
      <c r="D602" t="s">
        <v>2247</v>
      </c>
      <c r="E602" t="s">
        <v>2900</v>
      </c>
      <c r="F602" t="s">
        <v>2895</v>
      </c>
      <c r="G602">
        <v>103</v>
      </c>
      <c r="H602" t="s">
        <v>2976</v>
      </c>
      <c r="I602">
        <v>1.5</v>
      </c>
      <c r="K602" t="s">
        <v>1108</v>
      </c>
      <c r="M602">
        <v>40.700000000000003</v>
      </c>
      <c r="N602" t="s">
        <v>2976</v>
      </c>
      <c r="Q602">
        <f t="shared" si="25"/>
        <v>1.7030643257001113E-2</v>
      </c>
      <c r="R602" t="s">
        <v>3267</v>
      </c>
      <c r="W602">
        <v>0.93200000000000005</v>
      </c>
      <c r="X602" t="s">
        <v>3268</v>
      </c>
      <c r="AK602">
        <v>6.03</v>
      </c>
      <c r="AL602" t="s">
        <v>3274</v>
      </c>
      <c r="AN602" t="s">
        <v>3275</v>
      </c>
      <c r="AO602">
        <v>0.98299999999999998</v>
      </c>
    </row>
    <row r="603" spans="1:41">
      <c r="A603" t="s">
        <v>320</v>
      </c>
      <c r="B603" t="s">
        <v>3133</v>
      </c>
      <c r="C603" t="s">
        <v>1444</v>
      </c>
      <c r="D603" t="s">
        <v>2248</v>
      </c>
      <c r="E603" t="s">
        <v>2572</v>
      </c>
      <c r="F603" t="s">
        <v>2573</v>
      </c>
      <c r="G603">
        <v>28</v>
      </c>
      <c r="H603" t="s">
        <v>2976</v>
      </c>
      <c r="I603">
        <v>10</v>
      </c>
      <c r="K603" t="s">
        <v>1108</v>
      </c>
      <c r="M603">
        <v>17.3</v>
      </c>
      <c r="N603" t="s">
        <v>2976</v>
      </c>
      <c r="Q603">
        <v>0.04</v>
      </c>
      <c r="R603" t="s">
        <v>3267</v>
      </c>
      <c r="W603">
        <v>0.97</v>
      </c>
      <c r="X603" t="s">
        <v>3268</v>
      </c>
    </row>
    <row r="604" spans="1:41">
      <c r="B604" t="s">
        <v>3133</v>
      </c>
      <c r="C604" t="s">
        <v>1444</v>
      </c>
      <c r="D604" t="s">
        <v>2249</v>
      </c>
      <c r="E604" t="s">
        <v>2572</v>
      </c>
      <c r="F604" t="s">
        <v>2573</v>
      </c>
      <c r="G604">
        <v>28</v>
      </c>
      <c r="H604" t="s">
        <v>2976</v>
      </c>
      <c r="I604">
        <v>10</v>
      </c>
      <c r="K604" t="s">
        <v>1108</v>
      </c>
      <c r="M604">
        <v>4.95</v>
      </c>
      <c r="N604" t="s">
        <v>2976</v>
      </c>
      <c r="Q604">
        <v>0.14000000000000001</v>
      </c>
      <c r="R604" t="s">
        <v>3267</v>
      </c>
      <c r="W604">
        <v>0.99</v>
      </c>
      <c r="X604" t="s">
        <v>3268</v>
      </c>
    </row>
    <row r="605" spans="1:41">
      <c r="A605" t="s">
        <v>695</v>
      </c>
      <c r="B605" t="s">
        <v>3134</v>
      </c>
      <c r="C605" t="s">
        <v>1446</v>
      </c>
      <c r="D605" t="s">
        <v>2252</v>
      </c>
      <c r="E605" t="s">
        <v>2763</v>
      </c>
      <c r="F605" t="s">
        <v>2764</v>
      </c>
      <c r="G605">
        <v>50</v>
      </c>
      <c r="H605" t="s">
        <v>2976</v>
      </c>
      <c r="I605">
        <v>10</v>
      </c>
      <c r="K605" t="s">
        <v>1108</v>
      </c>
      <c r="M605">
        <v>21.5</v>
      </c>
      <c r="N605" t="s">
        <v>2976</v>
      </c>
      <c r="Q605">
        <f t="shared" ref="Q605:Q607" si="26">LN(2)/M605</f>
        <v>3.2239403746974198E-2</v>
      </c>
      <c r="R605" t="s">
        <v>3267</v>
      </c>
      <c r="W605">
        <v>0.97899999999999998</v>
      </c>
      <c r="X605" t="s">
        <v>3268</v>
      </c>
      <c r="Y605" t="s">
        <v>7</v>
      </c>
      <c r="Z605" t="s">
        <v>4</v>
      </c>
    </row>
    <row r="606" spans="1:41">
      <c r="B606" t="s">
        <v>3134</v>
      </c>
      <c r="C606" t="s">
        <v>1446</v>
      </c>
      <c r="D606" t="s">
        <v>2253</v>
      </c>
      <c r="E606" t="s">
        <v>2763</v>
      </c>
      <c r="F606" t="s">
        <v>2764</v>
      </c>
      <c r="G606">
        <v>50</v>
      </c>
      <c r="H606" t="s">
        <v>2976</v>
      </c>
      <c r="I606">
        <v>10</v>
      </c>
      <c r="K606" t="s">
        <v>1108</v>
      </c>
      <c r="M606">
        <v>9</v>
      </c>
      <c r="N606" t="s">
        <v>2976</v>
      </c>
      <c r="Q606">
        <f t="shared" si="26"/>
        <v>7.7016353395549478E-2</v>
      </c>
      <c r="R606" t="s">
        <v>3267</v>
      </c>
      <c r="W606">
        <v>0.99609999999999999</v>
      </c>
      <c r="X606" t="s">
        <v>3268</v>
      </c>
      <c r="Y606" t="s">
        <v>7</v>
      </c>
      <c r="Z606" t="s">
        <v>4</v>
      </c>
    </row>
    <row r="607" spans="1:41">
      <c r="B607" t="s">
        <v>3134</v>
      </c>
      <c r="C607" t="s">
        <v>1446</v>
      </c>
      <c r="D607" t="s">
        <v>2255</v>
      </c>
      <c r="E607" t="s">
        <v>2763</v>
      </c>
      <c r="F607" t="s">
        <v>2764</v>
      </c>
      <c r="G607">
        <v>50</v>
      </c>
      <c r="H607" t="s">
        <v>2976</v>
      </c>
      <c r="I607">
        <v>10</v>
      </c>
      <c r="K607" t="s">
        <v>1108</v>
      </c>
      <c r="M607">
        <v>14.2</v>
      </c>
      <c r="N607" t="s">
        <v>2976</v>
      </c>
      <c r="Q607">
        <f t="shared" si="26"/>
        <v>4.8813181729573614E-2</v>
      </c>
      <c r="R607" t="s">
        <v>3267</v>
      </c>
      <c r="W607">
        <v>0.99319999999999997</v>
      </c>
      <c r="X607" t="s">
        <v>3268</v>
      </c>
      <c r="Y607" t="s">
        <v>7</v>
      </c>
      <c r="Z607" t="s">
        <v>4</v>
      </c>
    </row>
    <row r="608" spans="1:41">
      <c r="A608" t="s">
        <v>329</v>
      </c>
      <c r="B608" t="s">
        <v>3135</v>
      </c>
      <c r="C608" t="s">
        <v>1448</v>
      </c>
      <c r="D608" t="s">
        <v>2256</v>
      </c>
      <c r="E608" t="s">
        <v>2759</v>
      </c>
      <c r="F608" t="s">
        <v>2757</v>
      </c>
      <c r="G608">
        <v>70</v>
      </c>
      <c r="H608" t="s">
        <v>2976</v>
      </c>
      <c r="I608">
        <v>0.2</v>
      </c>
      <c r="K608" t="s">
        <v>1572</v>
      </c>
      <c r="M608">
        <v>40.700000000000003</v>
      </c>
      <c r="N608" t="s">
        <v>2976</v>
      </c>
      <c r="Q608">
        <f t="shared" ref="Q608:Q633" si="27">LN(2)/M608</f>
        <v>1.7030643257001113E-2</v>
      </c>
      <c r="R608" t="s">
        <v>3267</v>
      </c>
      <c r="W608">
        <v>0.98299999999999998</v>
      </c>
      <c r="X608" t="s">
        <v>3268</v>
      </c>
      <c r="AK608">
        <v>1.8</v>
      </c>
      <c r="AL608" t="s">
        <v>3301</v>
      </c>
    </row>
    <row r="609" spans="1:41">
      <c r="B609" t="s">
        <v>3135</v>
      </c>
      <c r="C609" t="s">
        <v>1448</v>
      </c>
      <c r="D609" t="s">
        <v>2257</v>
      </c>
      <c r="E609" t="s">
        <v>2759</v>
      </c>
      <c r="F609" t="s">
        <v>2757</v>
      </c>
      <c r="G609">
        <v>70</v>
      </c>
      <c r="H609" t="s">
        <v>2976</v>
      </c>
      <c r="I609">
        <v>0.2</v>
      </c>
      <c r="K609" t="s">
        <v>1572</v>
      </c>
      <c r="M609">
        <v>25.6</v>
      </c>
      <c r="N609" t="s">
        <v>2976</v>
      </c>
      <c r="Q609">
        <f t="shared" si="27"/>
        <v>2.707606174062286E-2</v>
      </c>
      <c r="R609" t="s">
        <v>3267</v>
      </c>
      <c r="W609">
        <v>0.94399999999999995</v>
      </c>
      <c r="X609" t="s">
        <v>3268</v>
      </c>
      <c r="AK609">
        <v>4.3849999999999998</v>
      </c>
      <c r="AL609" t="s">
        <v>3301</v>
      </c>
    </row>
    <row r="610" spans="1:41">
      <c r="B610" t="s">
        <v>3135</v>
      </c>
      <c r="C610" t="s">
        <v>1448</v>
      </c>
      <c r="D610" t="s">
        <v>2260</v>
      </c>
      <c r="E610" t="s">
        <v>2759</v>
      </c>
      <c r="F610" t="s">
        <v>2757</v>
      </c>
      <c r="G610">
        <v>70</v>
      </c>
      <c r="H610" t="s">
        <v>2976</v>
      </c>
      <c r="I610">
        <v>0.2</v>
      </c>
      <c r="K610" t="s">
        <v>1572</v>
      </c>
      <c r="M610">
        <v>26.6</v>
      </c>
      <c r="N610" t="s">
        <v>2976</v>
      </c>
      <c r="Q610">
        <f t="shared" si="27"/>
        <v>2.6058164682704707E-2</v>
      </c>
      <c r="R610" t="s">
        <v>3267</v>
      </c>
      <c r="W610">
        <v>0.95799999999999996</v>
      </c>
      <c r="X610" t="s">
        <v>3268</v>
      </c>
      <c r="AK610">
        <v>4.4969999999999999</v>
      </c>
      <c r="AL610" t="s">
        <v>3301</v>
      </c>
    </row>
    <row r="611" spans="1:41">
      <c r="B611" t="s">
        <v>3135</v>
      </c>
      <c r="C611" t="s">
        <v>1448</v>
      </c>
      <c r="D611" t="s">
        <v>2256</v>
      </c>
      <c r="E611" t="s">
        <v>2760</v>
      </c>
      <c r="F611" t="s">
        <v>2761</v>
      </c>
      <c r="G611">
        <v>70</v>
      </c>
      <c r="H611" t="s">
        <v>2976</v>
      </c>
      <c r="I611">
        <v>0.2</v>
      </c>
      <c r="K611" t="s">
        <v>1572</v>
      </c>
      <c r="M611">
        <v>46.2</v>
      </c>
      <c r="N611" t="s">
        <v>2976</v>
      </c>
      <c r="Q611">
        <f t="shared" si="27"/>
        <v>1.5003185726405742E-2</v>
      </c>
      <c r="R611" t="s">
        <v>3267</v>
      </c>
      <c r="W611">
        <v>0.96199999999999997</v>
      </c>
      <c r="X611" t="s">
        <v>3268</v>
      </c>
      <c r="AK611">
        <v>1.7999999999999999E-2</v>
      </c>
      <c r="AL611" t="s">
        <v>3301</v>
      </c>
    </row>
    <row r="612" spans="1:41">
      <c r="B612" t="s">
        <v>3135</v>
      </c>
      <c r="C612" t="s">
        <v>1448</v>
      </c>
      <c r="D612" t="s">
        <v>2257</v>
      </c>
      <c r="E612" t="s">
        <v>2760</v>
      </c>
      <c r="F612" t="s">
        <v>2761</v>
      </c>
      <c r="G612">
        <v>70</v>
      </c>
      <c r="H612" t="s">
        <v>2976</v>
      </c>
      <c r="I612">
        <v>0.2</v>
      </c>
      <c r="K612" t="s">
        <v>1572</v>
      </c>
      <c r="M612">
        <v>26.6</v>
      </c>
      <c r="N612" t="s">
        <v>2976</v>
      </c>
      <c r="Q612">
        <f t="shared" si="27"/>
        <v>2.6058164682704707E-2</v>
      </c>
      <c r="R612" t="s">
        <v>3267</v>
      </c>
      <c r="W612">
        <v>0.94899999999999995</v>
      </c>
      <c r="X612" t="s">
        <v>3268</v>
      </c>
      <c r="AK612">
        <v>1.4999999999999999E-2</v>
      </c>
      <c r="AL612" t="s">
        <v>3301</v>
      </c>
    </row>
    <row r="613" spans="1:41">
      <c r="B613" t="s">
        <v>3135</v>
      </c>
      <c r="C613" t="s">
        <v>1448</v>
      </c>
      <c r="D613" t="s">
        <v>2260</v>
      </c>
      <c r="E613" t="s">
        <v>2760</v>
      </c>
      <c r="F613" t="s">
        <v>2761</v>
      </c>
      <c r="G613">
        <v>70</v>
      </c>
      <c r="H613" t="s">
        <v>2976</v>
      </c>
      <c r="I613">
        <v>0.2</v>
      </c>
      <c r="K613" t="s">
        <v>1572</v>
      </c>
      <c r="M613">
        <v>28.8</v>
      </c>
      <c r="N613" t="s">
        <v>2976</v>
      </c>
      <c r="Q613">
        <f t="shared" si="27"/>
        <v>2.4067610436109211E-2</v>
      </c>
      <c r="R613" t="s">
        <v>3267</v>
      </c>
      <c r="W613">
        <v>0.93</v>
      </c>
      <c r="X613" t="s">
        <v>3268</v>
      </c>
      <c r="AK613">
        <v>1.2999999999999999E-2</v>
      </c>
      <c r="AL613" t="s">
        <v>3301</v>
      </c>
    </row>
    <row r="614" spans="1:41">
      <c r="B614" t="s">
        <v>3135</v>
      </c>
      <c r="C614" t="s">
        <v>1448</v>
      </c>
      <c r="D614" t="s">
        <v>2256</v>
      </c>
      <c r="E614" t="s">
        <v>2827</v>
      </c>
      <c r="F614" t="s">
        <v>3302</v>
      </c>
      <c r="G614">
        <v>70</v>
      </c>
      <c r="H614" t="s">
        <v>2976</v>
      </c>
      <c r="I614">
        <v>0.2</v>
      </c>
      <c r="K614" t="s">
        <v>1572</v>
      </c>
      <c r="M614">
        <v>43.4</v>
      </c>
      <c r="N614" t="s">
        <v>2976</v>
      </c>
      <c r="Q614">
        <f t="shared" si="27"/>
        <v>1.597113319262547E-2</v>
      </c>
      <c r="R614" t="s">
        <v>3267</v>
      </c>
      <c r="W614">
        <v>0.96499999999999997</v>
      </c>
      <c r="X614" t="s">
        <v>3268</v>
      </c>
      <c r="AK614">
        <v>1.9E-2</v>
      </c>
      <c r="AL614" t="s">
        <v>3301</v>
      </c>
    </row>
    <row r="615" spans="1:41">
      <c r="B615" t="s">
        <v>3135</v>
      </c>
      <c r="C615" t="s">
        <v>1448</v>
      </c>
      <c r="D615" t="s">
        <v>2257</v>
      </c>
      <c r="E615" t="s">
        <v>2827</v>
      </c>
      <c r="F615" t="s">
        <v>3302</v>
      </c>
      <c r="G615">
        <v>70</v>
      </c>
      <c r="H615" t="s">
        <v>2976</v>
      </c>
      <c r="I615">
        <v>0.2</v>
      </c>
      <c r="K615" t="s">
        <v>1572</v>
      </c>
      <c r="M615">
        <v>26.5</v>
      </c>
      <c r="N615" t="s">
        <v>2976</v>
      </c>
      <c r="Q615">
        <f t="shared" si="27"/>
        <v>2.6156497379620575E-2</v>
      </c>
      <c r="R615" t="s">
        <v>3267</v>
      </c>
      <c r="W615">
        <v>0.98</v>
      </c>
      <c r="X615" t="s">
        <v>3268</v>
      </c>
      <c r="AK615">
        <v>1.6E-2</v>
      </c>
      <c r="AL615" t="s">
        <v>3301</v>
      </c>
    </row>
    <row r="616" spans="1:41">
      <c r="B616" t="s">
        <v>3135</v>
      </c>
      <c r="C616" t="s">
        <v>1448</v>
      </c>
      <c r="D616" t="s">
        <v>2260</v>
      </c>
      <c r="E616" t="s">
        <v>2827</v>
      </c>
      <c r="F616" t="s">
        <v>3302</v>
      </c>
      <c r="G616">
        <v>70</v>
      </c>
      <c r="H616" t="s">
        <v>2976</v>
      </c>
      <c r="I616">
        <v>0.2</v>
      </c>
      <c r="K616" t="s">
        <v>1572</v>
      </c>
      <c r="M616">
        <v>27.7</v>
      </c>
      <c r="N616" t="s">
        <v>2976</v>
      </c>
      <c r="Q616">
        <f t="shared" si="27"/>
        <v>2.5023363919131601E-2</v>
      </c>
      <c r="R616" t="s">
        <v>3267</v>
      </c>
      <c r="W616">
        <v>0.98599999999999999</v>
      </c>
      <c r="X616" t="s">
        <v>3268</v>
      </c>
      <c r="AK616">
        <v>1.4E-2</v>
      </c>
      <c r="AL616" t="s">
        <v>3301</v>
      </c>
    </row>
    <row r="617" spans="1:41">
      <c r="A617" t="s">
        <v>670</v>
      </c>
      <c r="B617" t="s">
        <v>3137</v>
      </c>
      <c r="C617" t="s">
        <v>1451</v>
      </c>
      <c r="D617" t="s">
        <v>2263</v>
      </c>
      <c r="E617" t="s">
        <v>2633</v>
      </c>
      <c r="F617" t="s">
        <v>2629</v>
      </c>
      <c r="G617">
        <v>378</v>
      </c>
      <c r="H617" t="s">
        <v>2976</v>
      </c>
      <c r="I617">
        <v>0.25</v>
      </c>
      <c r="K617" t="s">
        <v>1383</v>
      </c>
      <c r="M617">
        <v>113</v>
      </c>
      <c r="N617" t="s">
        <v>2976</v>
      </c>
      <c r="Q617">
        <f t="shared" si="27"/>
        <v>6.1340458456632324E-3</v>
      </c>
      <c r="R617" t="s">
        <v>3267</v>
      </c>
      <c r="W617">
        <v>0.98499999999999999</v>
      </c>
      <c r="X617" t="s">
        <v>3268</v>
      </c>
      <c r="Y617" t="s">
        <v>7</v>
      </c>
      <c r="Z617" t="s">
        <v>4</v>
      </c>
    </row>
    <row r="618" spans="1:41">
      <c r="B618" t="s">
        <v>3137</v>
      </c>
      <c r="C618" t="s">
        <v>1451</v>
      </c>
      <c r="D618" t="s">
        <v>2264</v>
      </c>
      <c r="E618" t="s">
        <v>2633</v>
      </c>
      <c r="F618" t="s">
        <v>2629</v>
      </c>
      <c r="G618">
        <v>378</v>
      </c>
      <c r="H618" t="s">
        <v>2976</v>
      </c>
      <c r="I618">
        <v>0.25</v>
      </c>
      <c r="K618" t="s">
        <v>1383</v>
      </c>
      <c r="M618">
        <v>148</v>
      </c>
      <c r="N618" t="s">
        <v>2976</v>
      </c>
      <c r="Q618">
        <f t="shared" si="27"/>
        <v>4.6834268956753057E-3</v>
      </c>
      <c r="R618" t="s">
        <v>3267</v>
      </c>
      <c r="W618">
        <v>0.91</v>
      </c>
      <c r="X618" t="s">
        <v>3268</v>
      </c>
      <c r="Y618" t="s">
        <v>7</v>
      </c>
      <c r="Z618" t="s">
        <v>4</v>
      </c>
    </row>
    <row r="619" spans="1:41">
      <c r="B619" t="s">
        <v>3137</v>
      </c>
      <c r="C619" t="s">
        <v>1451</v>
      </c>
      <c r="D619" t="s">
        <v>2263</v>
      </c>
      <c r="E619" t="s">
        <v>2633</v>
      </c>
      <c r="F619" t="s">
        <v>2629</v>
      </c>
      <c r="G619">
        <v>33</v>
      </c>
      <c r="H619" t="s">
        <v>2976</v>
      </c>
      <c r="I619">
        <v>1.25</v>
      </c>
      <c r="K619" t="s">
        <v>1383</v>
      </c>
      <c r="M619">
        <v>163</v>
      </c>
      <c r="N619" t="s">
        <v>2976</v>
      </c>
      <c r="Q619">
        <f t="shared" si="27"/>
        <v>4.252436690551812E-3</v>
      </c>
      <c r="R619" t="s">
        <v>3267</v>
      </c>
      <c r="W619">
        <v>0.97899999999999998</v>
      </c>
      <c r="X619" t="s">
        <v>3268</v>
      </c>
      <c r="Y619" t="s">
        <v>7</v>
      </c>
      <c r="Z619" t="s">
        <v>4</v>
      </c>
    </row>
    <row r="620" spans="1:41">
      <c r="B620" t="s">
        <v>3137</v>
      </c>
      <c r="C620" t="s">
        <v>1451</v>
      </c>
      <c r="D620" t="s">
        <v>2264</v>
      </c>
      <c r="E620" t="s">
        <v>2633</v>
      </c>
      <c r="F620" t="s">
        <v>2629</v>
      </c>
      <c r="G620">
        <v>33</v>
      </c>
      <c r="H620" t="s">
        <v>2976</v>
      </c>
      <c r="I620">
        <v>1.25</v>
      </c>
      <c r="K620" t="s">
        <v>1383</v>
      </c>
      <c r="M620">
        <v>176</v>
      </c>
      <c r="N620" t="s">
        <v>2976</v>
      </c>
      <c r="Q620">
        <f t="shared" si="27"/>
        <v>3.9383362531815076E-3</v>
      </c>
      <c r="R620" t="s">
        <v>3267</v>
      </c>
      <c r="W620">
        <v>0.96399999999999997</v>
      </c>
      <c r="X620" t="s">
        <v>3268</v>
      </c>
      <c r="Y620" t="s">
        <v>7</v>
      </c>
      <c r="Z620" t="s">
        <v>4</v>
      </c>
    </row>
    <row r="621" spans="1:41">
      <c r="A621" t="s">
        <v>658</v>
      </c>
      <c r="B621" t="s">
        <v>3139</v>
      </c>
      <c r="C621" t="s">
        <v>1459</v>
      </c>
      <c r="D621" t="s">
        <v>2266</v>
      </c>
      <c r="E621" t="s">
        <v>2720</v>
      </c>
      <c r="F621" t="s">
        <v>2713</v>
      </c>
      <c r="G621">
        <v>33</v>
      </c>
      <c r="H621" t="s">
        <v>2976</v>
      </c>
      <c r="I621">
        <v>3</v>
      </c>
      <c r="K621" t="s">
        <v>1108</v>
      </c>
      <c r="M621">
        <v>24</v>
      </c>
      <c r="N621" t="s">
        <v>2976</v>
      </c>
      <c r="Q621">
        <f t="shared" si="27"/>
        <v>2.8881132523331052E-2</v>
      </c>
      <c r="R621" t="s">
        <v>3267</v>
      </c>
      <c r="W621">
        <v>0.98</v>
      </c>
      <c r="X621" t="s">
        <v>3268</v>
      </c>
      <c r="Y621" t="s">
        <v>7</v>
      </c>
      <c r="Z621" t="s">
        <v>4</v>
      </c>
      <c r="AK621">
        <v>2.5</v>
      </c>
      <c r="AL621" t="s">
        <v>3301</v>
      </c>
      <c r="AM621">
        <v>0.79</v>
      </c>
      <c r="AN621" t="s">
        <v>3270</v>
      </c>
      <c r="AO621">
        <v>1</v>
      </c>
    </row>
    <row r="622" spans="1:41">
      <c r="B622" t="s">
        <v>3139</v>
      </c>
      <c r="C622" t="s">
        <v>1459</v>
      </c>
      <c r="D622" t="s">
        <v>2267</v>
      </c>
      <c r="E622" t="s">
        <v>2720</v>
      </c>
      <c r="F622" t="s">
        <v>2713</v>
      </c>
      <c r="G622">
        <v>33</v>
      </c>
      <c r="H622" t="s">
        <v>2976</v>
      </c>
      <c r="I622">
        <v>3</v>
      </c>
      <c r="K622" t="s">
        <v>1108</v>
      </c>
      <c r="M622">
        <v>342</v>
      </c>
      <c r="N622" t="s">
        <v>2976</v>
      </c>
      <c r="Q622">
        <f t="shared" si="27"/>
        <v>2.0267461419881442E-3</v>
      </c>
      <c r="R622" t="s">
        <v>3267</v>
      </c>
      <c r="W622">
        <v>0.08</v>
      </c>
      <c r="X622" t="s">
        <v>3268</v>
      </c>
      <c r="Y622" t="s">
        <v>7</v>
      </c>
      <c r="Z622" t="s">
        <v>4</v>
      </c>
      <c r="AK622">
        <v>10</v>
      </c>
      <c r="AL622" t="s">
        <v>3301</v>
      </c>
      <c r="AM622">
        <v>0.87</v>
      </c>
      <c r="AN622" t="s">
        <v>3270</v>
      </c>
      <c r="AO622">
        <v>1</v>
      </c>
    </row>
    <row r="623" spans="1:41">
      <c r="B623" t="s">
        <v>3139</v>
      </c>
      <c r="C623" t="s">
        <v>1459</v>
      </c>
      <c r="D623" t="s">
        <v>2266</v>
      </c>
      <c r="E623" t="s">
        <v>2922</v>
      </c>
      <c r="F623" t="s">
        <v>2916</v>
      </c>
      <c r="G623">
        <v>33</v>
      </c>
      <c r="H623" t="s">
        <v>2976</v>
      </c>
      <c r="I623">
        <v>3</v>
      </c>
      <c r="K623" t="s">
        <v>1108</v>
      </c>
      <c r="M623">
        <v>110</v>
      </c>
      <c r="N623" t="s">
        <v>2976</v>
      </c>
      <c r="Q623">
        <f t="shared" si="27"/>
        <v>6.3013380050904117E-3</v>
      </c>
      <c r="R623" t="s">
        <v>3267</v>
      </c>
      <c r="W623">
        <v>0.98</v>
      </c>
      <c r="X623" t="s">
        <v>3268</v>
      </c>
      <c r="Y623" t="s">
        <v>7</v>
      </c>
      <c r="Z623" t="s">
        <v>4</v>
      </c>
      <c r="AK623">
        <v>1.29</v>
      </c>
      <c r="AL623" t="s">
        <v>3301</v>
      </c>
      <c r="AM623">
        <v>0.95</v>
      </c>
      <c r="AN623" t="s">
        <v>3270</v>
      </c>
      <c r="AO623">
        <v>0.98</v>
      </c>
    </row>
    <row r="624" spans="1:41">
      <c r="B624" t="s">
        <v>3139</v>
      </c>
      <c r="C624" t="s">
        <v>1459</v>
      </c>
      <c r="D624" t="s">
        <v>2267</v>
      </c>
      <c r="E624" t="s">
        <v>2922</v>
      </c>
      <c r="F624" t="s">
        <v>2916</v>
      </c>
      <c r="G624">
        <v>33</v>
      </c>
      <c r="H624" t="s">
        <v>2976</v>
      </c>
      <c r="I624">
        <v>3</v>
      </c>
      <c r="K624" t="s">
        <v>1108</v>
      </c>
      <c r="M624">
        <v>87.1</v>
      </c>
      <c r="N624" t="s">
        <v>2976</v>
      </c>
      <c r="Q624">
        <f t="shared" si="27"/>
        <v>7.9580617745114279E-3</v>
      </c>
      <c r="R624" t="s">
        <v>3267</v>
      </c>
      <c r="W624">
        <v>0.96</v>
      </c>
      <c r="X624" t="s">
        <v>3268</v>
      </c>
      <c r="Y624" t="s">
        <v>7</v>
      </c>
      <c r="Z624" t="s">
        <v>4</v>
      </c>
      <c r="AK624">
        <v>17</v>
      </c>
      <c r="AL624" t="s">
        <v>3301</v>
      </c>
      <c r="AM624">
        <v>0.96</v>
      </c>
      <c r="AN624" t="s">
        <v>3270</v>
      </c>
      <c r="AO624">
        <v>1</v>
      </c>
    </row>
    <row r="625" spans="1:41">
      <c r="B625" t="s">
        <v>3139</v>
      </c>
      <c r="C625" t="s">
        <v>1463</v>
      </c>
      <c r="D625" t="s">
        <v>2266</v>
      </c>
      <c r="E625" t="s">
        <v>2720</v>
      </c>
      <c r="F625" t="s">
        <v>2713</v>
      </c>
      <c r="G625">
        <v>33</v>
      </c>
      <c r="H625" t="s">
        <v>2976</v>
      </c>
      <c r="I625">
        <v>3</v>
      </c>
      <c r="K625" t="s">
        <v>1108</v>
      </c>
      <c r="M625">
        <v>103</v>
      </c>
      <c r="N625" t="s">
        <v>2976</v>
      </c>
      <c r="Q625">
        <f t="shared" si="27"/>
        <v>6.7295842772810222E-3</v>
      </c>
      <c r="R625" t="s">
        <v>3267</v>
      </c>
      <c r="W625">
        <v>0.79</v>
      </c>
      <c r="X625" t="s">
        <v>3268</v>
      </c>
      <c r="Y625" t="s">
        <v>7</v>
      </c>
      <c r="Z625" t="s">
        <v>4</v>
      </c>
      <c r="AK625">
        <v>4.3099999999999996</v>
      </c>
      <c r="AL625" t="s">
        <v>3301</v>
      </c>
      <c r="AM625">
        <v>0.84</v>
      </c>
      <c r="AN625" t="s">
        <v>3270</v>
      </c>
      <c r="AO625">
        <v>1</v>
      </c>
    </row>
    <row r="626" spans="1:41">
      <c r="B626" t="s">
        <v>3139</v>
      </c>
      <c r="C626" t="s">
        <v>1463</v>
      </c>
      <c r="D626" t="s">
        <v>2267</v>
      </c>
      <c r="E626" t="s">
        <v>2720</v>
      </c>
      <c r="F626" t="s">
        <v>2713</v>
      </c>
      <c r="G626">
        <v>33</v>
      </c>
      <c r="H626" t="s">
        <v>2976</v>
      </c>
      <c r="I626">
        <v>3</v>
      </c>
      <c r="K626" t="s">
        <v>1108</v>
      </c>
      <c r="M626">
        <v>150</v>
      </c>
      <c r="N626" t="s">
        <v>2976</v>
      </c>
      <c r="Q626">
        <f t="shared" si="27"/>
        <v>4.6209812037329686E-3</v>
      </c>
      <c r="R626" t="s">
        <v>3267</v>
      </c>
      <c r="W626">
        <v>0.52</v>
      </c>
      <c r="X626" t="s">
        <v>3268</v>
      </c>
      <c r="Y626" t="s">
        <v>7</v>
      </c>
      <c r="Z626" t="s">
        <v>4</v>
      </c>
      <c r="AK626">
        <v>10.3</v>
      </c>
      <c r="AL626" t="s">
        <v>3301</v>
      </c>
      <c r="AM626">
        <v>0.96</v>
      </c>
      <c r="AN626" t="s">
        <v>3270</v>
      </c>
      <c r="AO626">
        <v>0.99</v>
      </c>
    </row>
    <row r="627" spans="1:41">
      <c r="B627" t="s">
        <v>3139</v>
      </c>
      <c r="C627" t="s">
        <v>1463</v>
      </c>
      <c r="D627" t="s">
        <v>2269</v>
      </c>
      <c r="E627" t="s">
        <v>2720</v>
      </c>
      <c r="F627" t="s">
        <v>2713</v>
      </c>
      <c r="G627">
        <v>33</v>
      </c>
      <c r="H627" t="s">
        <v>2976</v>
      </c>
      <c r="I627">
        <v>3</v>
      </c>
      <c r="K627" t="s">
        <v>1108</v>
      </c>
      <c r="M627">
        <v>155</v>
      </c>
      <c r="N627" t="s">
        <v>2976</v>
      </c>
      <c r="Q627">
        <f t="shared" si="27"/>
        <v>4.4719172939351312E-3</v>
      </c>
      <c r="R627" t="s">
        <v>3267</v>
      </c>
      <c r="W627">
        <v>0.63</v>
      </c>
      <c r="X627" t="s">
        <v>3268</v>
      </c>
      <c r="Y627" t="s">
        <v>7</v>
      </c>
      <c r="Z627" t="s">
        <v>4</v>
      </c>
      <c r="AK627">
        <v>7.74</v>
      </c>
      <c r="AL627" t="s">
        <v>3301</v>
      </c>
      <c r="AM627">
        <v>0.97</v>
      </c>
      <c r="AN627" t="s">
        <v>3270</v>
      </c>
      <c r="AO627">
        <v>0.99</v>
      </c>
    </row>
    <row r="628" spans="1:41">
      <c r="B628" t="s">
        <v>3139</v>
      </c>
      <c r="C628" t="s">
        <v>1463</v>
      </c>
      <c r="D628" t="s">
        <v>2266</v>
      </c>
      <c r="E628" t="s">
        <v>2922</v>
      </c>
      <c r="F628" t="s">
        <v>2916</v>
      </c>
      <c r="G628">
        <v>33</v>
      </c>
      <c r="H628" t="s">
        <v>2976</v>
      </c>
      <c r="I628">
        <v>3</v>
      </c>
      <c r="K628" t="s">
        <v>1108</v>
      </c>
      <c r="M628">
        <v>34.299999999999997</v>
      </c>
      <c r="N628" t="s">
        <v>2976</v>
      </c>
      <c r="Q628">
        <f t="shared" si="27"/>
        <v>2.0208372611077125E-2</v>
      </c>
      <c r="R628" t="s">
        <v>3267</v>
      </c>
      <c r="W628">
        <v>0.95</v>
      </c>
      <c r="X628" t="s">
        <v>3268</v>
      </c>
      <c r="Y628" t="s">
        <v>7</v>
      </c>
      <c r="Z628" t="s">
        <v>4</v>
      </c>
      <c r="AK628">
        <v>2.6</v>
      </c>
      <c r="AL628" t="s">
        <v>3301</v>
      </c>
      <c r="AM628">
        <v>0.96</v>
      </c>
      <c r="AN628" t="s">
        <v>3270</v>
      </c>
      <c r="AO628">
        <v>0.99</v>
      </c>
    </row>
    <row r="629" spans="1:41">
      <c r="B629" t="s">
        <v>3139</v>
      </c>
      <c r="C629" t="s">
        <v>1463</v>
      </c>
      <c r="D629" t="s">
        <v>2267</v>
      </c>
      <c r="E629" t="s">
        <v>2922</v>
      </c>
      <c r="F629" t="s">
        <v>2916</v>
      </c>
      <c r="G629">
        <v>33</v>
      </c>
      <c r="H629" t="s">
        <v>2976</v>
      </c>
      <c r="I629">
        <v>3</v>
      </c>
      <c r="K629" t="s">
        <v>1108</v>
      </c>
      <c r="M629">
        <v>109</v>
      </c>
      <c r="N629" t="s">
        <v>2976</v>
      </c>
      <c r="Q629">
        <f t="shared" si="27"/>
        <v>6.3591484455040852E-3</v>
      </c>
      <c r="R629" t="s">
        <v>3267</v>
      </c>
      <c r="W629">
        <v>0.92</v>
      </c>
      <c r="X629" t="s">
        <v>3268</v>
      </c>
      <c r="Y629" t="s">
        <v>7</v>
      </c>
      <c r="Z629" t="s">
        <v>4</v>
      </c>
      <c r="AK629">
        <v>12</v>
      </c>
      <c r="AL629" t="s">
        <v>3301</v>
      </c>
      <c r="AM629">
        <v>1.1499999999999999</v>
      </c>
      <c r="AN629" t="s">
        <v>3270</v>
      </c>
      <c r="AO629">
        <v>1</v>
      </c>
    </row>
    <row r="630" spans="1:41">
      <c r="B630" t="s">
        <v>3139</v>
      </c>
      <c r="C630" t="s">
        <v>1463</v>
      </c>
      <c r="D630" t="s">
        <v>2269</v>
      </c>
      <c r="E630" t="s">
        <v>2922</v>
      </c>
      <c r="F630" t="s">
        <v>2916</v>
      </c>
      <c r="G630">
        <v>33</v>
      </c>
      <c r="H630" t="s">
        <v>2976</v>
      </c>
      <c r="I630">
        <v>3</v>
      </c>
      <c r="K630" t="s">
        <v>1108</v>
      </c>
      <c r="M630">
        <v>88.4</v>
      </c>
      <c r="N630" t="s">
        <v>2976</v>
      </c>
      <c r="Q630">
        <f t="shared" si="27"/>
        <v>7.8410314542980229E-3</v>
      </c>
      <c r="R630" t="s">
        <v>3267</v>
      </c>
      <c r="W630">
        <v>0.89</v>
      </c>
      <c r="X630" t="s">
        <v>3268</v>
      </c>
      <c r="Y630" t="s">
        <v>7</v>
      </c>
      <c r="Z630" t="s">
        <v>4</v>
      </c>
      <c r="AK630">
        <v>8.6999999999999993</v>
      </c>
      <c r="AL630" t="s">
        <v>3301</v>
      </c>
      <c r="AM630">
        <v>1.05</v>
      </c>
      <c r="AN630" t="s">
        <v>3270</v>
      </c>
      <c r="AO630">
        <v>0.98</v>
      </c>
    </row>
    <row r="631" spans="1:41">
      <c r="A631" t="s">
        <v>644</v>
      </c>
      <c r="B631" t="s">
        <v>3141</v>
      </c>
      <c r="C631" t="s">
        <v>1467</v>
      </c>
      <c r="D631" t="s">
        <v>2281</v>
      </c>
      <c r="E631" t="s">
        <v>2774</v>
      </c>
      <c r="F631" t="s">
        <v>2771</v>
      </c>
      <c r="G631">
        <v>90</v>
      </c>
      <c r="H631" t="s">
        <v>2976</v>
      </c>
      <c r="I631">
        <v>3</v>
      </c>
      <c r="K631" t="s">
        <v>1108</v>
      </c>
      <c r="M631">
        <v>231.5</v>
      </c>
      <c r="N631" t="s">
        <v>2976</v>
      </c>
      <c r="Q631">
        <f t="shared" si="27"/>
        <v>2.9941562875159624E-3</v>
      </c>
      <c r="R631" t="s">
        <v>3267</v>
      </c>
      <c r="W631">
        <v>0.97</v>
      </c>
      <c r="X631" t="s">
        <v>3268</v>
      </c>
      <c r="Y631" t="s">
        <v>7</v>
      </c>
      <c r="Z631" t="s">
        <v>4</v>
      </c>
      <c r="AK631">
        <v>12.9</v>
      </c>
      <c r="AL631" t="s">
        <v>3274</v>
      </c>
    </row>
    <row r="632" spans="1:41">
      <c r="B632" t="s">
        <v>3141</v>
      </c>
      <c r="C632" t="s">
        <v>1467</v>
      </c>
      <c r="D632" t="s">
        <v>2282</v>
      </c>
      <c r="E632" t="s">
        <v>2774</v>
      </c>
      <c r="F632" t="s">
        <v>2771</v>
      </c>
      <c r="G632">
        <v>90</v>
      </c>
      <c r="H632" t="s">
        <v>2976</v>
      </c>
      <c r="I632">
        <v>3</v>
      </c>
      <c r="K632" t="s">
        <v>1108</v>
      </c>
      <c r="M632">
        <v>401.1</v>
      </c>
      <c r="N632" t="s">
        <v>2976</v>
      </c>
      <c r="Q632">
        <f t="shared" si="27"/>
        <v>1.7281156334079911E-3</v>
      </c>
      <c r="R632" t="s">
        <v>3267</v>
      </c>
      <c r="W632">
        <v>0.91</v>
      </c>
      <c r="X632" t="s">
        <v>3268</v>
      </c>
      <c r="Y632" t="s">
        <v>7</v>
      </c>
      <c r="Z632" t="s">
        <v>4</v>
      </c>
      <c r="AK632">
        <v>16.600000000000001</v>
      </c>
      <c r="AL632" t="s">
        <v>3274</v>
      </c>
    </row>
    <row r="633" spans="1:41">
      <c r="B633" t="s">
        <v>3141</v>
      </c>
      <c r="C633" t="s">
        <v>1467</v>
      </c>
      <c r="D633" t="s">
        <v>2284</v>
      </c>
      <c r="E633" t="s">
        <v>2774</v>
      </c>
      <c r="F633" t="s">
        <v>2771</v>
      </c>
      <c r="G633">
        <v>90</v>
      </c>
      <c r="H633" t="s">
        <v>2976</v>
      </c>
      <c r="I633">
        <v>3</v>
      </c>
      <c r="K633" t="s">
        <v>1108</v>
      </c>
      <c r="M633">
        <v>154</v>
      </c>
      <c r="N633" t="s">
        <v>2976</v>
      </c>
      <c r="Q633">
        <f t="shared" si="27"/>
        <v>4.500955717921723E-3</v>
      </c>
      <c r="R633" t="s">
        <v>3267</v>
      </c>
      <c r="W633">
        <v>0.99</v>
      </c>
      <c r="X633" t="s">
        <v>3268</v>
      </c>
      <c r="Y633" t="s">
        <v>7</v>
      </c>
      <c r="Z633" t="s">
        <v>4</v>
      </c>
      <c r="AK633">
        <v>10.24</v>
      </c>
      <c r="AL633" t="s">
        <v>3274</v>
      </c>
    </row>
    <row r="634" spans="1:41">
      <c r="A634" t="s">
        <v>333</v>
      </c>
      <c r="B634" t="s">
        <v>3143</v>
      </c>
      <c r="C634" t="s">
        <v>1455</v>
      </c>
      <c r="D634" t="s">
        <v>2272</v>
      </c>
      <c r="E634" t="s">
        <v>2636</v>
      </c>
      <c r="F634" t="s">
        <v>2637</v>
      </c>
      <c r="G634">
        <v>28</v>
      </c>
      <c r="H634" t="s">
        <v>2976</v>
      </c>
      <c r="I634">
        <v>100</v>
      </c>
      <c r="K634" t="s">
        <v>1572</v>
      </c>
      <c r="L634" s="23">
        <v>18.2795818009944</v>
      </c>
    </row>
    <row r="635" spans="1:41">
      <c r="B635" t="s">
        <v>3143</v>
      </c>
      <c r="C635" t="s">
        <v>1455</v>
      </c>
      <c r="D635" t="s">
        <v>2273</v>
      </c>
      <c r="E635" t="s">
        <v>2636</v>
      </c>
      <c r="F635" t="s">
        <v>2637</v>
      </c>
      <c r="G635">
        <v>28</v>
      </c>
      <c r="H635" t="s">
        <v>2976</v>
      </c>
      <c r="I635">
        <v>100</v>
      </c>
      <c r="K635" t="s">
        <v>1572</v>
      </c>
      <c r="L635" s="23">
        <v>38.709692503481797</v>
      </c>
    </row>
    <row r="636" spans="1:41">
      <c r="B636" t="s">
        <v>3143</v>
      </c>
      <c r="C636" t="s">
        <v>1455</v>
      </c>
      <c r="D636" t="s">
        <v>2276</v>
      </c>
      <c r="E636" t="s">
        <v>2636</v>
      </c>
      <c r="F636" t="s">
        <v>2637</v>
      </c>
      <c r="G636">
        <v>28</v>
      </c>
      <c r="H636" t="s">
        <v>2976</v>
      </c>
      <c r="I636">
        <v>100</v>
      </c>
      <c r="K636" t="s">
        <v>1572</v>
      </c>
      <c r="L636" s="23">
        <v>36.021512918407502</v>
      </c>
    </row>
    <row r="637" spans="1:41">
      <c r="B637" t="s">
        <v>3143</v>
      </c>
      <c r="C637" t="s">
        <v>1455</v>
      </c>
      <c r="D637" t="s">
        <v>2278</v>
      </c>
      <c r="E637" t="s">
        <v>2636</v>
      </c>
      <c r="F637" t="s">
        <v>2637</v>
      </c>
      <c r="G637">
        <v>28</v>
      </c>
      <c r="H637" t="s">
        <v>2976</v>
      </c>
      <c r="I637">
        <v>100</v>
      </c>
      <c r="K637" t="s">
        <v>1572</v>
      </c>
      <c r="L637" s="23">
        <v>38.172066430844602</v>
      </c>
    </row>
    <row r="638" spans="1:41">
      <c r="B638" t="s">
        <v>3145</v>
      </c>
      <c r="C638" t="s">
        <v>1455</v>
      </c>
      <c r="D638" t="s">
        <v>2272</v>
      </c>
      <c r="E638" t="s">
        <v>2789</v>
      </c>
      <c r="F638" t="s">
        <v>2786</v>
      </c>
      <c r="G638">
        <v>35</v>
      </c>
      <c r="H638" t="s">
        <v>2976</v>
      </c>
      <c r="I638">
        <v>100</v>
      </c>
      <c r="K638" t="s">
        <v>1572</v>
      </c>
      <c r="L638" s="23">
        <v>19.075164239197001</v>
      </c>
    </row>
    <row r="639" spans="1:41">
      <c r="B639" t="s">
        <v>3145</v>
      </c>
      <c r="C639" t="s">
        <v>1455</v>
      </c>
      <c r="D639" t="s">
        <v>2273</v>
      </c>
      <c r="E639" t="s">
        <v>2789</v>
      </c>
      <c r="F639" t="s">
        <v>2786</v>
      </c>
      <c r="G639">
        <v>35</v>
      </c>
      <c r="H639" t="s">
        <v>2976</v>
      </c>
      <c r="I639">
        <v>100</v>
      </c>
      <c r="K639" t="s">
        <v>1572</v>
      </c>
      <c r="L639" s="23">
        <v>27.745681411414498</v>
      </c>
    </row>
    <row r="640" spans="1:41">
      <c r="B640" t="s">
        <v>3145</v>
      </c>
      <c r="C640" t="s">
        <v>1455</v>
      </c>
      <c r="D640" t="s">
        <v>2276</v>
      </c>
      <c r="E640" t="s">
        <v>2789</v>
      </c>
      <c r="F640" t="s">
        <v>2786</v>
      </c>
      <c r="G640">
        <v>35</v>
      </c>
      <c r="H640" t="s">
        <v>2976</v>
      </c>
      <c r="I640">
        <v>100</v>
      </c>
      <c r="K640" t="s">
        <v>1572</v>
      </c>
      <c r="L640" s="23">
        <v>32.369966056703397</v>
      </c>
    </row>
    <row r="641" spans="1:44">
      <c r="B641" t="s">
        <v>3145</v>
      </c>
      <c r="C641" t="s">
        <v>1455</v>
      </c>
      <c r="D641" t="s">
        <v>2278</v>
      </c>
      <c r="E641" t="s">
        <v>2789</v>
      </c>
      <c r="F641" t="s">
        <v>2786</v>
      </c>
      <c r="G641">
        <v>35</v>
      </c>
      <c r="H641" t="s">
        <v>2976</v>
      </c>
      <c r="I641">
        <v>100</v>
      </c>
      <c r="K641" t="s">
        <v>1572</v>
      </c>
      <c r="L641" s="23">
        <v>30.057810503899699</v>
      </c>
    </row>
    <row r="642" spans="1:44">
      <c r="A642" t="s">
        <v>634</v>
      </c>
      <c r="B642" t="s">
        <v>3146</v>
      </c>
      <c r="C642" t="s">
        <v>1473</v>
      </c>
      <c r="D642" t="s">
        <v>2286</v>
      </c>
      <c r="E642" t="s">
        <v>2752</v>
      </c>
      <c r="F642" t="s">
        <v>2750</v>
      </c>
      <c r="G642">
        <v>55</v>
      </c>
      <c r="H642" t="s">
        <v>2976</v>
      </c>
      <c r="I642">
        <v>130</v>
      </c>
      <c r="K642" t="s">
        <v>1108</v>
      </c>
      <c r="L642" s="23">
        <v>0</v>
      </c>
      <c r="AR642" t="s">
        <v>3303</v>
      </c>
    </row>
    <row r="643" spans="1:44">
      <c r="B643" t="s">
        <v>3146</v>
      </c>
      <c r="C643" t="s">
        <v>1473</v>
      </c>
      <c r="D643" t="s">
        <v>2287</v>
      </c>
      <c r="E643" t="s">
        <v>2752</v>
      </c>
      <c r="F643" t="s">
        <v>2750</v>
      </c>
      <c r="G643">
        <v>55</v>
      </c>
      <c r="H643" t="s">
        <v>2976</v>
      </c>
      <c r="I643">
        <v>130</v>
      </c>
      <c r="K643" t="s">
        <v>1108</v>
      </c>
      <c r="M643">
        <v>20</v>
      </c>
      <c r="N643" t="s">
        <v>2976</v>
      </c>
      <c r="Q643">
        <v>3.5000000000000003E-2</v>
      </c>
      <c r="R643" t="s">
        <v>3267</v>
      </c>
      <c r="W643">
        <v>0.74</v>
      </c>
      <c r="X643" t="s">
        <v>3268</v>
      </c>
      <c r="Y643" t="s">
        <v>7</v>
      </c>
      <c r="Z643" t="s">
        <v>14</v>
      </c>
    </row>
    <row r="644" spans="1:44">
      <c r="A644" t="s">
        <v>622</v>
      </c>
      <c r="B644" t="s">
        <v>3148</v>
      </c>
      <c r="C644" t="s">
        <v>1474</v>
      </c>
      <c r="D644" t="s">
        <v>2290</v>
      </c>
      <c r="E644" t="s">
        <v>2937</v>
      </c>
      <c r="F644" t="s">
        <v>2938</v>
      </c>
      <c r="G644">
        <v>62</v>
      </c>
      <c r="H644" t="s">
        <v>2976</v>
      </c>
      <c r="I644">
        <v>5.3699999999999998E-2</v>
      </c>
      <c r="K644" t="s">
        <v>1108</v>
      </c>
      <c r="M644">
        <v>19.3</v>
      </c>
      <c r="N644" t="s">
        <v>2976</v>
      </c>
      <c r="Q644">
        <f>LN(2)/M644</f>
        <v>3.5914361687043796E-2</v>
      </c>
      <c r="R644" t="s">
        <v>3267</v>
      </c>
      <c r="W644">
        <v>0.98599999999999999</v>
      </c>
      <c r="X644" t="s">
        <v>3268</v>
      </c>
      <c r="Y644" t="s">
        <v>7</v>
      </c>
      <c r="Z644" t="s">
        <v>4</v>
      </c>
      <c r="AK644">
        <v>0.08</v>
      </c>
      <c r="AL644" t="s">
        <v>3301</v>
      </c>
      <c r="AM644">
        <v>0.56000000000000005</v>
      </c>
      <c r="AN644" t="s">
        <v>3270</v>
      </c>
      <c r="AO644">
        <v>0.96130000000000004</v>
      </c>
    </row>
    <row r="645" spans="1:44">
      <c r="B645" t="s">
        <v>3148</v>
      </c>
      <c r="C645" t="s">
        <v>1474</v>
      </c>
      <c r="D645" t="s">
        <v>2291</v>
      </c>
      <c r="E645" t="s">
        <v>2937</v>
      </c>
      <c r="F645" t="s">
        <v>2938</v>
      </c>
      <c r="G645">
        <v>62</v>
      </c>
      <c r="H645" t="s">
        <v>2976</v>
      </c>
      <c r="I645">
        <v>5.3699999999999998E-2</v>
      </c>
      <c r="K645" t="s">
        <v>1108</v>
      </c>
      <c r="M645">
        <v>22.5</v>
      </c>
      <c r="N645" t="s">
        <v>2976</v>
      </c>
      <c r="Q645">
        <f t="shared" ref="Q645:Q674" si="28">LN(2)/M645</f>
        <v>3.080654135821979E-2</v>
      </c>
      <c r="R645" t="s">
        <v>3267</v>
      </c>
      <c r="W645">
        <v>0.99360000000000004</v>
      </c>
      <c r="X645" t="s">
        <v>3268</v>
      </c>
      <c r="Y645" t="s">
        <v>7</v>
      </c>
      <c r="Z645" t="s">
        <v>4</v>
      </c>
      <c r="AK645">
        <v>0.09</v>
      </c>
      <c r="AL645" t="s">
        <v>3301</v>
      </c>
      <c r="AM645">
        <v>0.56999999999999995</v>
      </c>
      <c r="AN645" t="s">
        <v>3270</v>
      </c>
      <c r="AO645">
        <v>0.99619999999999997</v>
      </c>
    </row>
    <row r="646" spans="1:44">
      <c r="B646" t="s">
        <v>3148</v>
      </c>
      <c r="C646" t="s">
        <v>1476</v>
      </c>
      <c r="D646" t="s">
        <v>2290</v>
      </c>
      <c r="E646" t="s">
        <v>2937</v>
      </c>
      <c r="F646" t="s">
        <v>2938</v>
      </c>
      <c r="G646">
        <v>62</v>
      </c>
      <c r="H646" t="s">
        <v>2976</v>
      </c>
      <c r="I646">
        <v>5.3699999999999998E-2</v>
      </c>
      <c r="K646" t="s">
        <v>1108</v>
      </c>
      <c r="M646">
        <v>19.600000000000001</v>
      </c>
      <c r="N646" t="s">
        <v>2976</v>
      </c>
      <c r="Q646">
        <f t="shared" si="28"/>
        <v>3.5364652069384959E-2</v>
      </c>
      <c r="R646" t="s">
        <v>3267</v>
      </c>
      <c r="W646">
        <v>0.98629999999999995</v>
      </c>
      <c r="X646" t="s">
        <v>3268</v>
      </c>
      <c r="Y646" t="s">
        <v>7</v>
      </c>
      <c r="Z646" t="s">
        <v>4</v>
      </c>
      <c r="AK646">
        <v>0.14000000000000001</v>
      </c>
      <c r="AL646" t="s">
        <v>3301</v>
      </c>
      <c r="AM646">
        <v>0.59</v>
      </c>
      <c r="AN646" t="s">
        <v>3270</v>
      </c>
      <c r="AO646">
        <v>0.99439999999999995</v>
      </c>
    </row>
    <row r="647" spans="1:44">
      <c r="B647" t="s">
        <v>3148</v>
      </c>
      <c r="C647" t="s">
        <v>1476</v>
      </c>
      <c r="D647" t="s">
        <v>2291</v>
      </c>
      <c r="E647" t="s">
        <v>2937</v>
      </c>
      <c r="F647" t="s">
        <v>2938</v>
      </c>
      <c r="G647">
        <v>62</v>
      </c>
      <c r="H647" t="s">
        <v>2976</v>
      </c>
      <c r="I647">
        <v>5.3699999999999998E-2</v>
      </c>
      <c r="K647" t="s">
        <v>1108</v>
      </c>
      <c r="M647">
        <v>23.4</v>
      </c>
      <c r="N647" t="s">
        <v>2976</v>
      </c>
      <c r="Q647">
        <f t="shared" si="28"/>
        <v>2.9621674382903647E-2</v>
      </c>
      <c r="R647" t="s">
        <v>3267</v>
      </c>
      <c r="W647">
        <v>0.98109999999999997</v>
      </c>
      <c r="X647" t="s">
        <v>3268</v>
      </c>
      <c r="Y647" t="s">
        <v>7</v>
      </c>
      <c r="Z647" t="s">
        <v>4</v>
      </c>
      <c r="AK647">
        <v>0.13</v>
      </c>
      <c r="AL647" t="s">
        <v>3301</v>
      </c>
      <c r="AM647">
        <v>0.59</v>
      </c>
      <c r="AN647" t="s">
        <v>3270</v>
      </c>
      <c r="AO647">
        <v>0.99739999999999995</v>
      </c>
    </row>
    <row r="648" spans="1:44">
      <c r="A648" t="s">
        <v>618</v>
      </c>
      <c r="B648" t="s">
        <v>3150</v>
      </c>
      <c r="C648" t="s">
        <v>1478</v>
      </c>
      <c r="D648" t="s">
        <v>2295</v>
      </c>
      <c r="E648" t="s">
        <v>2890</v>
      </c>
      <c r="F648" t="s">
        <v>2891</v>
      </c>
      <c r="G648">
        <v>59</v>
      </c>
      <c r="H648" t="s">
        <v>2976</v>
      </c>
      <c r="I648">
        <v>2</v>
      </c>
      <c r="K648" t="s">
        <v>1108</v>
      </c>
      <c r="M648">
        <v>34</v>
      </c>
      <c r="N648" t="s">
        <v>2976</v>
      </c>
      <c r="Q648">
        <f t="shared" si="28"/>
        <v>2.0386681781174861E-2</v>
      </c>
      <c r="R648" t="s">
        <v>3267</v>
      </c>
      <c r="W648">
        <v>0.97799999999999998</v>
      </c>
      <c r="X648" t="s">
        <v>3268</v>
      </c>
      <c r="Y648" t="s">
        <v>7</v>
      </c>
      <c r="Z648" t="s">
        <v>4</v>
      </c>
    </row>
    <row r="649" spans="1:44">
      <c r="B649" t="s">
        <v>3150</v>
      </c>
      <c r="C649" t="s">
        <v>1478</v>
      </c>
      <c r="D649" t="s">
        <v>2296</v>
      </c>
      <c r="E649" t="s">
        <v>2890</v>
      </c>
      <c r="F649" t="s">
        <v>2891</v>
      </c>
      <c r="G649">
        <v>59</v>
      </c>
      <c r="H649" t="s">
        <v>2976</v>
      </c>
      <c r="I649">
        <v>2</v>
      </c>
      <c r="K649" t="s">
        <v>1108</v>
      </c>
      <c r="M649">
        <v>28</v>
      </c>
      <c r="N649" t="s">
        <v>2976</v>
      </c>
      <c r="Q649">
        <f t="shared" si="28"/>
        <v>2.4755256448569473E-2</v>
      </c>
      <c r="R649" t="s">
        <v>3267</v>
      </c>
      <c r="W649">
        <v>0.97199999999999998</v>
      </c>
      <c r="X649" t="s">
        <v>3268</v>
      </c>
      <c r="Y649" t="s">
        <v>7</v>
      </c>
      <c r="Z649" t="s">
        <v>4</v>
      </c>
    </row>
    <row r="650" spans="1:44">
      <c r="B650" t="s">
        <v>3150</v>
      </c>
      <c r="C650" t="s">
        <v>1478</v>
      </c>
      <c r="D650" t="s">
        <v>2297</v>
      </c>
      <c r="E650" t="s">
        <v>2890</v>
      </c>
      <c r="F650" t="s">
        <v>2891</v>
      </c>
      <c r="G650">
        <v>59</v>
      </c>
      <c r="H650" t="s">
        <v>2976</v>
      </c>
      <c r="I650">
        <v>2</v>
      </c>
      <c r="K650" t="s">
        <v>1108</v>
      </c>
      <c r="M650">
        <v>100</v>
      </c>
      <c r="N650" t="s">
        <v>2976</v>
      </c>
      <c r="Q650">
        <f t="shared" si="28"/>
        <v>6.9314718055994533E-3</v>
      </c>
      <c r="R650" t="s">
        <v>3267</v>
      </c>
      <c r="W650">
        <v>0.875</v>
      </c>
      <c r="X650" t="s">
        <v>3268</v>
      </c>
      <c r="Y650" t="s">
        <v>7</v>
      </c>
      <c r="Z650" t="s">
        <v>4</v>
      </c>
    </row>
    <row r="651" spans="1:44">
      <c r="B651" t="s">
        <v>3150</v>
      </c>
      <c r="C651" t="s">
        <v>1478</v>
      </c>
      <c r="D651" t="s">
        <v>2295</v>
      </c>
      <c r="E651" t="s">
        <v>2879</v>
      </c>
      <c r="F651" t="s">
        <v>2880</v>
      </c>
      <c r="G651">
        <v>59</v>
      </c>
      <c r="H651" t="s">
        <v>2976</v>
      </c>
      <c r="I651">
        <v>2</v>
      </c>
      <c r="K651" t="s">
        <v>1108</v>
      </c>
      <c r="M651">
        <v>3</v>
      </c>
      <c r="N651" t="s">
        <v>2976</v>
      </c>
      <c r="Q651">
        <f t="shared" si="28"/>
        <v>0.23104906018664842</v>
      </c>
      <c r="R651" t="s">
        <v>3267</v>
      </c>
      <c r="W651">
        <v>0.996</v>
      </c>
      <c r="X651" t="s">
        <v>3268</v>
      </c>
      <c r="Y651" t="s">
        <v>7</v>
      </c>
      <c r="Z651" t="s">
        <v>4</v>
      </c>
    </row>
    <row r="652" spans="1:44">
      <c r="B652" t="s">
        <v>3150</v>
      </c>
      <c r="C652" t="s">
        <v>1478</v>
      </c>
      <c r="D652" t="s">
        <v>2296</v>
      </c>
      <c r="E652" t="s">
        <v>2879</v>
      </c>
      <c r="F652" t="s">
        <v>2880</v>
      </c>
      <c r="G652">
        <v>59</v>
      </c>
      <c r="H652" t="s">
        <v>2976</v>
      </c>
      <c r="I652">
        <v>2</v>
      </c>
      <c r="K652" t="s">
        <v>1108</v>
      </c>
      <c r="M652">
        <v>6</v>
      </c>
      <c r="N652" t="s">
        <v>2976</v>
      </c>
      <c r="Q652">
        <f t="shared" si="28"/>
        <v>0.11552453009332421</v>
      </c>
      <c r="R652" t="s">
        <v>3267</v>
      </c>
      <c r="W652">
        <v>0.997</v>
      </c>
      <c r="X652" t="s">
        <v>3268</v>
      </c>
      <c r="Y652" t="s">
        <v>7</v>
      </c>
      <c r="Z652" t="s">
        <v>4</v>
      </c>
    </row>
    <row r="653" spans="1:44">
      <c r="B653" t="s">
        <v>3150</v>
      </c>
      <c r="C653" t="s">
        <v>1478</v>
      </c>
      <c r="D653" t="s">
        <v>2297</v>
      </c>
      <c r="E653" t="s">
        <v>2879</v>
      </c>
      <c r="F653" t="s">
        <v>2880</v>
      </c>
      <c r="G653">
        <v>59</v>
      </c>
      <c r="H653" t="s">
        <v>2976</v>
      </c>
      <c r="I653">
        <v>2</v>
      </c>
      <c r="K653" t="s">
        <v>1108</v>
      </c>
      <c r="M653">
        <v>43</v>
      </c>
      <c r="N653" t="s">
        <v>2976</v>
      </c>
      <c r="Q653">
        <f t="shared" si="28"/>
        <v>1.6119701873487099E-2</v>
      </c>
      <c r="R653" t="s">
        <v>3267</v>
      </c>
      <c r="W653">
        <v>0.91600000000000004</v>
      </c>
      <c r="X653" t="s">
        <v>3268</v>
      </c>
      <c r="Y653" t="s">
        <v>7</v>
      </c>
      <c r="Z653" t="s">
        <v>4</v>
      </c>
    </row>
    <row r="654" spans="1:44">
      <c r="A654" t="s">
        <v>610</v>
      </c>
      <c r="B654" t="s">
        <v>3151</v>
      </c>
      <c r="C654" t="s">
        <v>1480</v>
      </c>
      <c r="D654" t="s">
        <v>2299</v>
      </c>
      <c r="E654" t="s">
        <v>2692</v>
      </c>
      <c r="F654" t="s">
        <v>2693</v>
      </c>
      <c r="G654">
        <v>96</v>
      </c>
      <c r="H654" t="s">
        <v>3154</v>
      </c>
      <c r="I654">
        <v>180</v>
      </c>
      <c r="K654" t="s">
        <v>1108</v>
      </c>
      <c r="M654">
        <v>36</v>
      </c>
      <c r="N654" t="s">
        <v>3154</v>
      </c>
      <c r="Q654">
        <f t="shared" si="28"/>
        <v>1.9254088348887369E-2</v>
      </c>
      <c r="R654" t="s">
        <v>3304</v>
      </c>
      <c r="W654">
        <v>0.98</v>
      </c>
      <c r="X654" t="s">
        <v>3268</v>
      </c>
      <c r="Y654" t="s">
        <v>7</v>
      </c>
      <c r="Z654" t="s">
        <v>4</v>
      </c>
    </row>
    <row r="655" spans="1:44">
      <c r="B655" t="s">
        <v>3151</v>
      </c>
      <c r="C655" t="s">
        <v>1480</v>
      </c>
      <c r="D655" t="s">
        <v>2300</v>
      </c>
      <c r="E655" t="s">
        <v>2692</v>
      </c>
      <c r="F655" t="s">
        <v>2693</v>
      </c>
      <c r="G655">
        <v>96</v>
      </c>
      <c r="H655" t="s">
        <v>3154</v>
      </c>
      <c r="I655">
        <v>180</v>
      </c>
      <c r="K655" t="s">
        <v>1108</v>
      </c>
      <c r="M655">
        <v>54</v>
      </c>
      <c r="N655" t="s">
        <v>3154</v>
      </c>
      <c r="Q655">
        <f t="shared" si="28"/>
        <v>1.2836058899258247E-2</v>
      </c>
      <c r="R655" t="s">
        <v>3304</v>
      </c>
      <c r="W655">
        <v>0.99</v>
      </c>
      <c r="X655" t="s">
        <v>3268</v>
      </c>
      <c r="Y655" t="s">
        <v>7</v>
      </c>
      <c r="Z655" t="s">
        <v>4</v>
      </c>
    </row>
    <row r="656" spans="1:44">
      <c r="B656" t="s">
        <v>3151</v>
      </c>
      <c r="C656" t="s">
        <v>1480</v>
      </c>
      <c r="D656" t="s">
        <v>2302</v>
      </c>
      <c r="E656" t="s">
        <v>2692</v>
      </c>
      <c r="F656" t="s">
        <v>2693</v>
      </c>
      <c r="G656">
        <v>96</v>
      </c>
      <c r="H656" t="s">
        <v>3154</v>
      </c>
      <c r="I656">
        <v>180</v>
      </c>
      <c r="K656" t="s">
        <v>1108</v>
      </c>
      <c r="M656">
        <v>105</v>
      </c>
      <c r="N656" t="s">
        <v>3154</v>
      </c>
      <c r="Q656">
        <f t="shared" si="28"/>
        <v>6.6014017196185269E-3</v>
      </c>
      <c r="R656" t="s">
        <v>3304</v>
      </c>
      <c r="W656">
        <v>0.99</v>
      </c>
      <c r="X656" t="s">
        <v>3268</v>
      </c>
      <c r="Y656" t="s">
        <v>7</v>
      </c>
      <c r="Z656" t="s">
        <v>4</v>
      </c>
    </row>
    <row r="657" spans="1:40">
      <c r="B657" t="s">
        <v>3151</v>
      </c>
      <c r="C657" t="s">
        <v>1480</v>
      </c>
      <c r="D657" t="s">
        <v>2303</v>
      </c>
      <c r="E657" t="s">
        <v>2692</v>
      </c>
      <c r="F657" t="s">
        <v>2693</v>
      </c>
      <c r="G657">
        <v>96</v>
      </c>
      <c r="H657" t="s">
        <v>3154</v>
      </c>
      <c r="I657">
        <v>180</v>
      </c>
      <c r="K657" t="s">
        <v>1108</v>
      </c>
      <c r="M657">
        <v>131</v>
      </c>
      <c r="N657" t="s">
        <v>3154</v>
      </c>
      <c r="Q657">
        <f t="shared" si="28"/>
        <v>5.2911998516026355E-3</v>
      </c>
      <c r="R657" t="s">
        <v>3304</v>
      </c>
      <c r="W657">
        <v>0.95</v>
      </c>
      <c r="X657" t="s">
        <v>3268</v>
      </c>
      <c r="Y657" t="s">
        <v>7</v>
      </c>
      <c r="Z657" t="s">
        <v>4</v>
      </c>
    </row>
    <row r="658" spans="1:40">
      <c r="B658" t="s">
        <v>3151</v>
      </c>
      <c r="C658" t="s">
        <v>1484</v>
      </c>
      <c r="D658" t="s">
        <v>2299</v>
      </c>
      <c r="E658" t="s">
        <v>2692</v>
      </c>
      <c r="F658" t="s">
        <v>2693</v>
      </c>
      <c r="G658">
        <v>96</v>
      </c>
      <c r="H658" t="s">
        <v>3154</v>
      </c>
      <c r="I658">
        <v>180</v>
      </c>
      <c r="K658" t="s">
        <v>1108</v>
      </c>
      <c r="M658">
        <v>120</v>
      </c>
      <c r="N658" t="s">
        <v>3154</v>
      </c>
      <c r="Q658">
        <f t="shared" si="28"/>
        <v>5.7762265046662105E-3</v>
      </c>
      <c r="R658" t="s">
        <v>3304</v>
      </c>
      <c r="W658">
        <v>0.85</v>
      </c>
      <c r="X658" t="s">
        <v>3268</v>
      </c>
      <c r="Y658" t="s">
        <v>7</v>
      </c>
      <c r="Z658" t="s">
        <v>4</v>
      </c>
    </row>
    <row r="659" spans="1:40">
      <c r="B659" t="s">
        <v>3151</v>
      </c>
      <c r="C659" t="s">
        <v>1484</v>
      </c>
      <c r="D659" t="s">
        <v>2300</v>
      </c>
      <c r="E659" t="s">
        <v>2692</v>
      </c>
      <c r="F659" t="s">
        <v>2693</v>
      </c>
      <c r="G659">
        <v>96</v>
      </c>
      <c r="H659" t="s">
        <v>3154</v>
      </c>
      <c r="I659">
        <v>180</v>
      </c>
      <c r="K659" t="s">
        <v>1108</v>
      </c>
      <c r="M659">
        <v>126</v>
      </c>
      <c r="N659" t="s">
        <v>3154</v>
      </c>
      <c r="Q659">
        <f t="shared" si="28"/>
        <v>5.5011680996821053E-3</v>
      </c>
      <c r="R659" t="s">
        <v>3304</v>
      </c>
      <c r="W659">
        <v>0.92</v>
      </c>
      <c r="X659" t="s">
        <v>3268</v>
      </c>
      <c r="Y659" t="s">
        <v>7</v>
      </c>
      <c r="Z659" t="s">
        <v>4</v>
      </c>
    </row>
    <row r="660" spans="1:40">
      <c r="B660" t="s">
        <v>3151</v>
      </c>
      <c r="C660" t="s">
        <v>1484</v>
      </c>
      <c r="D660" t="s">
        <v>2302</v>
      </c>
      <c r="E660" t="s">
        <v>2692</v>
      </c>
      <c r="F660" t="s">
        <v>2693</v>
      </c>
      <c r="G660">
        <v>96</v>
      </c>
      <c r="H660" t="s">
        <v>3154</v>
      </c>
      <c r="I660">
        <v>180</v>
      </c>
      <c r="K660" t="s">
        <v>1108</v>
      </c>
      <c r="M660">
        <v>137</v>
      </c>
      <c r="N660" t="s">
        <v>3154</v>
      </c>
      <c r="Q660">
        <f t="shared" si="28"/>
        <v>5.0594684712404765E-3</v>
      </c>
      <c r="R660" t="s">
        <v>3304</v>
      </c>
      <c r="W660">
        <v>0.82</v>
      </c>
      <c r="X660" t="s">
        <v>3268</v>
      </c>
      <c r="Y660" t="s">
        <v>7</v>
      </c>
      <c r="Z660" t="s">
        <v>4</v>
      </c>
    </row>
    <row r="661" spans="1:40">
      <c r="B661" t="s">
        <v>3151</v>
      </c>
      <c r="C661" t="s">
        <v>1484</v>
      </c>
      <c r="D661" t="s">
        <v>2303</v>
      </c>
      <c r="E661" t="s">
        <v>2692</v>
      </c>
      <c r="F661" t="s">
        <v>2693</v>
      </c>
      <c r="G661">
        <v>96</v>
      </c>
      <c r="H661" t="s">
        <v>3154</v>
      </c>
      <c r="I661">
        <v>180</v>
      </c>
      <c r="K661" t="s">
        <v>1108</v>
      </c>
      <c r="M661">
        <v>214</v>
      </c>
      <c r="N661" t="s">
        <v>3154</v>
      </c>
      <c r="Q661">
        <f t="shared" si="28"/>
        <v>3.2390055166352585E-3</v>
      </c>
      <c r="R661" t="s">
        <v>3304</v>
      </c>
      <c r="W661">
        <v>0.83</v>
      </c>
      <c r="X661" t="s">
        <v>3268</v>
      </c>
      <c r="Y661" t="s">
        <v>7</v>
      </c>
      <c r="Z661" t="s">
        <v>4</v>
      </c>
    </row>
    <row r="662" spans="1:40">
      <c r="A662" t="s">
        <v>586</v>
      </c>
      <c r="B662" t="s">
        <v>3155</v>
      </c>
      <c r="C662" t="s">
        <v>1487</v>
      </c>
      <c r="D662" t="s">
        <v>2304</v>
      </c>
      <c r="E662" t="s">
        <v>2924</v>
      </c>
      <c r="F662" t="s">
        <v>2925</v>
      </c>
      <c r="G662">
        <v>90</v>
      </c>
      <c r="H662" t="s">
        <v>2976</v>
      </c>
      <c r="I662">
        <v>5</v>
      </c>
      <c r="K662" t="s">
        <v>1108</v>
      </c>
      <c r="M662">
        <v>19.7</v>
      </c>
      <c r="N662" t="s">
        <v>2976</v>
      </c>
      <c r="Q662">
        <f t="shared" si="28"/>
        <v>3.5185136069032757E-2</v>
      </c>
      <c r="R662" t="s">
        <v>3267</v>
      </c>
      <c r="W662">
        <v>0.86</v>
      </c>
      <c r="X662" t="s">
        <v>3268</v>
      </c>
      <c r="Y662" t="s">
        <v>7</v>
      </c>
      <c r="Z662" t="s">
        <v>4</v>
      </c>
    </row>
    <row r="663" spans="1:40">
      <c r="B663" t="s">
        <v>3155</v>
      </c>
      <c r="C663" t="s">
        <v>1487</v>
      </c>
      <c r="D663" t="s">
        <v>2305</v>
      </c>
      <c r="E663" t="s">
        <v>2924</v>
      </c>
      <c r="F663" t="s">
        <v>2925</v>
      </c>
      <c r="G663">
        <v>90</v>
      </c>
      <c r="H663" t="s">
        <v>2976</v>
      </c>
      <c r="I663">
        <v>5</v>
      </c>
      <c r="K663" t="s">
        <v>1108</v>
      </c>
      <c r="M663">
        <v>18.079999999999998</v>
      </c>
      <c r="N663" t="s">
        <v>2976</v>
      </c>
      <c r="Q663">
        <f t="shared" si="28"/>
        <v>3.8337786535395206E-2</v>
      </c>
      <c r="R663" t="s">
        <v>3267</v>
      </c>
      <c r="W663">
        <v>0.88</v>
      </c>
      <c r="X663" t="s">
        <v>3268</v>
      </c>
      <c r="Y663" t="s">
        <v>7</v>
      </c>
      <c r="Z663" t="s">
        <v>4</v>
      </c>
    </row>
    <row r="664" spans="1:40">
      <c r="A664" t="s">
        <v>556</v>
      </c>
      <c r="B664" t="s">
        <v>3158</v>
      </c>
      <c r="C664" t="s">
        <v>1490</v>
      </c>
      <c r="D664" t="s">
        <v>2309</v>
      </c>
      <c r="E664" t="s">
        <v>2923</v>
      </c>
      <c r="F664" t="s">
        <v>2916</v>
      </c>
      <c r="G664">
        <v>64</v>
      </c>
      <c r="H664" t="s">
        <v>2976</v>
      </c>
      <c r="I664">
        <v>1.5</v>
      </c>
      <c r="K664" t="s">
        <v>1108</v>
      </c>
      <c r="M664">
        <v>105</v>
      </c>
      <c r="N664" t="s">
        <v>2976</v>
      </c>
      <c r="Q664">
        <f t="shared" si="28"/>
        <v>6.6014017196185269E-3</v>
      </c>
      <c r="R664" t="s">
        <v>3267</v>
      </c>
      <c r="W664">
        <v>0.94</v>
      </c>
      <c r="X664" t="s">
        <v>3268</v>
      </c>
      <c r="Y664" t="s">
        <v>7</v>
      </c>
      <c r="Z664" t="s">
        <v>8</v>
      </c>
      <c r="AK664">
        <v>4.2699999999999996</v>
      </c>
      <c r="AL664" t="s">
        <v>3274</v>
      </c>
      <c r="AN664" t="s">
        <v>3275</v>
      </c>
    </row>
    <row r="665" spans="1:40">
      <c r="B665" t="s">
        <v>3158</v>
      </c>
      <c r="C665" t="s">
        <v>1490</v>
      </c>
      <c r="D665" t="s">
        <v>2310</v>
      </c>
      <c r="E665" t="s">
        <v>2923</v>
      </c>
      <c r="F665" t="s">
        <v>2916</v>
      </c>
      <c r="G665">
        <v>64</v>
      </c>
      <c r="H665" t="s">
        <v>2976</v>
      </c>
      <c r="I665">
        <v>1.5</v>
      </c>
      <c r="K665" t="s">
        <v>1108</v>
      </c>
      <c r="M665">
        <v>161</v>
      </c>
      <c r="N665" t="s">
        <v>2976</v>
      </c>
      <c r="Q665">
        <f t="shared" si="28"/>
        <v>4.3052619910555609E-3</v>
      </c>
      <c r="R665" t="s">
        <v>3267</v>
      </c>
      <c r="W665">
        <v>0.75</v>
      </c>
      <c r="X665" t="s">
        <v>3268</v>
      </c>
      <c r="Y665" t="s">
        <v>7</v>
      </c>
      <c r="Z665" t="s">
        <v>8</v>
      </c>
      <c r="AK665">
        <v>11.7</v>
      </c>
      <c r="AL665" t="s">
        <v>3274</v>
      </c>
      <c r="AN665" t="s">
        <v>3275</v>
      </c>
    </row>
    <row r="666" spans="1:40">
      <c r="B666" t="s">
        <v>3158</v>
      </c>
      <c r="C666" t="s">
        <v>1490</v>
      </c>
      <c r="D666" t="s">
        <v>2312</v>
      </c>
      <c r="E666" t="s">
        <v>2923</v>
      </c>
      <c r="F666" t="s">
        <v>2916</v>
      </c>
      <c r="G666">
        <v>64</v>
      </c>
      <c r="H666" t="s">
        <v>2976</v>
      </c>
      <c r="I666">
        <v>1.5</v>
      </c>
      <c r="K666" t="s">
        <v>1108</v>
      </c>
      <c r="M666">
        <v>95</v>
      </c>
      <c r="N666" t="s">
        <v>2976</v>
      </c>
      <c r="Q666">
        <f t="shared" si="28"/>
        <v>7.2962861111573185E-3</v>
      </c>
      <c r="R666" t="s">
        <v>3267</v>
      </c>
      <c r="W666">
        <v>0.93</v>
      </c>
      <c r="X666" t="s">
        <v>3268</v>
      </c>
      <c r="Y666" t="s">
        <v>7</v>
      </c>
      <c r="Z666" t="s">
        <v>8</v>
      </c>
      <c r="AK666">
        <v>5.3</v>
      </c>
      <c r="AL666" t="s">
        <v>3274</v>
      </c>
      <c r="AN666" t="s">
        <v>3275</v>
      </c>
    </row>
    <row r="667" spans="1:40">
      <c r="A667" t="s">
        <v>614</v>
      </c>
      <c r="B667" t="s">
        <v>3160</v>
      </c>
      <c r="C667" t="s">
        <v>1493</v>
      </c>
      <c r="D667" t="s">
        <v>2314</v>
      </c>
      <c r="E667" t="s">
        <v>2844</v>
      </c>
      <c r="F667" t="s">
        <v>2845</v>
      </c>
      <c r="G667">
        <v>30</v>
      </c>
      <c r="H667" t="s">
        <v>2976</v>
      </c>
      <c r="I667">
        <v>5</v>
      </c>
      <c r="K667" t="s">
        <v>1108</v>
      </c>
      <c r="M667">
        <v>33</v>
      </c>
      <c r="N667" t="s">
        <v>2976</v>
      </c>
      <c r="Q667">
        <f t="shared" si="28"/>
        <v>2.1004460016968041E-2</v>
      </c>
      <c r="R667" t="s">
        <v>3267</v>
      </c>
      <c r="X667" t="s">
        <v>3268</v>
      </c>
      <c r="Y667" t="s">
        <v>7</v>
      </c>
      <c r="Z667" t="s">
        <v>8</v>
      </c>
    </row>
    <row r="668" spans="1:40">
      <c r="B668" t="s">
        <v>3160</v>
      </c>
      <c r="C668" t="s">
        <v>1493</v>
      </c>
      <c r="D668" t="s">
        <v>2315</v>
      </c>
      <c r="E668" t="s">
        <v>2844</v>
      </c>
      <c r="F668" t="s">
        <v>2845</v>
      </c>
      <c r="G668">
        <v>30</v>
      </c>
      <c r="H668" t="s">
        <v>2976</v>
      </c>
      <c r="I668">
        <v>5</v>
      </c>
      <c r="K668" t="s">
        <v>1108</v>
      </c>
      <c r="M668">
        <v>21</v>
      </c>
      <c r="N668" t="s">
        <v>2976</v>
      </c>
      <c r="Q668">
        <f t="shared" si="28"/>
        <v>3.3007008598092635E-2</v>
      </c>
      <c r="R668" t="s">
        <v>3267</v>
      </c>
      <c r="X668" t="s">
        <v>3268</v>
      </c>
      <c r="Y668" t="s">
        <v>7</v>
      </c>
      <c r="Z668" t="s">
        <v>8</v>
      </c>
    </row>
    <row r="669" spans="1:40">
      <c r="B669" t="s">
        <v>3160</v>
      </c>
      <c r="C669" t="s">
        <v>1493</v>
      </c>
      <c r="D669" t="s">
        <v>2314</v>
      </c>
      <c r="E669" t="s">
        <v>2912</v>
      </c>
      <c r="F669" t="s">
        <v>2913</v>
      </c>
      <c r="G669">
        <v>30</v>
      </c>
      <c r="H669" t="s">
        <v>2976</v>
      </c>
      <c r="I669">
        <v>5</v>
      </c>
      <c r="K669" t="s">
        <v>1108</v>
      </c>
      <c r="M669">
        <v>13</v>
      </c>
      <c r="N669" t="s">
        <v>2976</v>
      </c>
      <c r="Q669">
        <f t="shared" si="28"/>
        <v>5.3319013889226559E-2</v>
      </c>
      <c r="R669" t="s">
        <v>3267</v>
      </c>
      <c r="X669" t="s">
        <v>3268</v>
      </c>
      <c r="Y669" t="s">
        <v>7</v>
      </c>
      <c r="Z669" t="s">
        <v>8</v>
      </c>
    </row>
    <row r="670" spans="1:40">
      <c r="B670" t="s">
        <v>3160</v>
      </c>
      <c r="C670" t="s">
        <v>1493</v>
      </c>
      <c r="D670" t="s">
        <v>2315</v>
      </c>
      <c r="E670" t="s">
        <v>2912</v>
      </c>
      <c r="F670" t="s">
        <v>2913</v>
      </c>
      <c r="G670">
        <v>30</v>
      </c>
      <c r="H670" t="s">
        <v>2976</v>
      </c>
      <c r="I670">
        <v>5</v>
      </c>
      <c r="K670" t="s">
        <v>1108</v>
      </c>
      <c r="M670">
        <v>6</v>
      </c>
      <c r="N670" t="s">
        <v>2976</v>
      </c>
      <c r="Q670">
        <f t="shared" si="28"/>
        <v>0.11552453009332421</v>
      </c>
      <c r="R670" t="s">
        <v>3267</v>
      </c>
      <c r="X670" t="s">
        <v>3268</v>
      </c>
      <c r="Y670" t="s">
        <v>7</v>
      </c>
      <c r="Z670" t="s">
        <v>8</v>
      </c>
    </row>
    <row r="671" spans="1:40">
      <c r="B671" t="s">
        <v>3160</v>
      </c>
      <c r="C671" t="s">
        <v>1496</v>
      </c>
      <c r="D671" t="s">
        <v>2314</v>
      </c>
      <c r="E671" t="s">
        <v>2844</v>
      </c>
      <c r="F671" t="s">
        <v>2845</v>
      </c>
      <c r="G671">
        <v>30</v>
      </c>
      <c r="H671" t="s">
        <v>2976</v>
      </c>
      <c r="I671">
        <v>5</v>
      </c>
      <c r="K671" t="s">
        <v>1108</v>
      </c>
      <c r="M671">
        <v>28</v>
      </c>
      <c r="N671" t="s">
        <v>2976</v>
      </c>
      <c r="Q671">
        <f t="shared" si="28"/>
        <v>2.4755256448569473E-2</v>
      </c>
      <c r="R671" t="s">
        <v>3267</v>
      </c>
      <c r="X671" t="s">
        <v>3268</v>
      </c>
      <c r="Y671" t="s">
        <v>7</v>
      </c>
      <c r="Z671" t="s">
        <v>8</v>
      </c>
    </row>
    <row r="672" spans="1:40">
      <c r="B672" t="s">
        <v>3160</v>
      </c>
      <c r="C672" t="s">
        <v>1496</v>
      </c>
      <c r="D672" t="s">
        <v>2315</v>
      </c>
      <c r="E672" t="s">
        <v>2844</v>
      </c>
      <c r="F672" t="s">
        <v>2845</v>
      </c>
      <c r="G672">
        <v>30</v>
      </c>
      <c r="H672" t="s">
        <v>2976</v>
      </c>
      <c r="I672">
        <v>5</v>
      </c>
      <c r="K672" t="s">
        <v>1108</v>
      </c>
      <c r="M672">
        <v>18</v>
      </c>
      <c r="N672" t="s">
        <v>2976</v>
      </c>
      <c r="Q672">
        <f t="shared" si="28"/>
        <v>3.8508176697774739E-2</v>
      </c>
      <c r="R672" t="s">
        <v>3267</v>
      </c>
      <c r="X672" t="s">
        <v>3268</v>
      </c>
      <c r="Y672" t="s">
        <v>7</v>
      </c>
      <c r="Z672" t="s">
        <v>8</v>
      </c>
    </row>
    <row r="673" spans="1:41">
      <c r="B673" t="s">
        <v>3160</v>
      </c>
      <c r="C673" t="s">
        <v>1496</v>
      </c>
      <c r="D673" t="s">
        <v>2314</v>
      </c>
      <c r="E673" t="s">
        <v>2912</v>
      </c>
      <c r="F673" t="s">
        <v>2913</v>
      </c>
      <c r="G673">
        <v>30</v>
      </c>
      <c r="H673" t="s">
        <v>2976</v>
      </c>
      <c r="I673">
        <v>5</v>
      </c>
      <c r="K673" t="s">
        <v>1108</v>
      </c>
      <c r="M673">
        <v>10</v>
      </c>
      <c r="N673" t="s">
        <v>2976</v>
      </c>
      <c r="Q673">
        <f t="shared" si="28"/>
        <v>6.9314718055994526E-2</v>
      </c>
      <c r="R673" t="s">
        <v>3267</v>
      </c>
      <c r="X673" t="s">
        <v>3268</v>
      </c>
      <c r="Y673" t="s">
        <v>7</v>
      </c>
      <c r="Z673" t="s">
        <v>8</v>
      </c>
    </row>
    <row r="674" spans="1:41">
      <c r="B674" t="s">
        <v>3160</v>
      </c>
      <c r="C674" t="s">
        <v>1496</v>
      </c>
      <c r="D674" t="s">
        <v>2315</v>
      </c>
      <c r="E674" t="s">
        <v>2912</v>
      </c>
      <c r="F674" t="s">
        <v>2913</v>
      </c>
      <c r="G674">
        <v>30</v>
      </c>
      <c r="H674" t="s">
        <v>2976</v>
      </c>
      <c r="I674">
        <v>5</v>
      </c>
      <c r="K674" t="s">
        <v>1108</v>
      </c>
      <c r="M674">
        <v>5</v>
      </c>
      <c r="N674" t="s">
        <v>2976</v>
      </c>
      <c r="Q674">
        <f t="shared" si="28"/>
        <v>0.13862943611198905</v>
      </c>
      <c r="R674" t="s">
        <v>3267</v>
      </c>
      <c r="X674" t="s">
        <v>3268</v>
      </c>
      <c r="Y674" t="s">
        <v>7</v>
      </c>
      <c r="Z674" t="s">
        <v>8</v>
      </c>
    </row>
    <row r="675" spans="1:41">
      <c r="A675" t="s">
        <v>346</v>
      </c>
      <c r="B675" t="s">
        <v>3163</v>
      </c>
      <c r="C675" t="s">
        <v>1498</v>
      </c>
      <c r="D675" t="s">
        <v>2316</v>
      </c>
      <c r="E675" t="s">
        <v>2700</v>
      </c>
      <c r="F675" t="s">
        <v>2701</v>
      </c>
      <c r="G675">
        <v>305</v>
      </c>
      <c r="H675" t="s">
        <v>2976</v>
      </c>
      <c r="I675">
        <v>0.1</v>
      </c>
      <c r="K675" t="s">
        <v>1108</v>
      </c>
      <c r="M675">
        <v>33</v>
      </c>
      <c r="N675" t="s">
        <v>2976</v>
      </c>
      <c r="Q675">
        <f>LN(2)/M675</f>
        <v>2.1004460016968041E-2</v>
      </c>
      <c r="R675" t="s">
        <v>3267</v>
      </c>
    </row>
    <row r="676" spans="1:41">
      <c r="B676" t="s">
        <v>3163</v>
      </c>
      <c r="C676" t="s">
        <v>1498</v>
      </c>
      <c r="D676" t="s">
        <v>2317</v>
      </c>
      <c r="E676" t="s">
        <v>2700</v>
      </c>
      <c r="F676" t="s">
        <v>2701</v>
      </c>
      <c r="G676">
        <v>305</v>
      </c>
      <c r="H676" t="s">
        <v>2976</v>
      </c>
      <c r="I676">
        <v>0.1</v>
      </c>
      <c r="K676" t="s">
        <v>1108</v>
      </c>
      <c r="M676">
        <v>15</v>
      </c>
      <c r="N676" t="s">
        <v>2976</v>
      </c>
      <c r="Q676">
        <f>LN(2)/M676</f>
        <v>4.6209812037329684E-2</v>
      </c>
      <c r="R676" t="s">
        <v>3267</v>
      </c>
    </row>
    <row r="677" spans="1:41">
      <c r="B677" t="s">
        <v>3163</v>
      </c>
      <c r="C677" t="s">
        <v>1498</v>
      </c>
      <c r="D677" t="s">
        <v>2316</v>
      </c>
      <c r="E677" t="s">
        <v>2700</v>
      </c>
      <c r="F677" t="s">
        <v>2701</v>
      </c>
      <c r="G677">
        <v>305</v>
      </c>
      <c r="H677" t="s">
        <v>2976</v>
      </c>
      <c r="I677">
        <v>1</v>
      </c>
      <c r="K677" t="s">
        <v>1108</v>
      </c>
      <c r="M677">
        <v>54</v>
      </c>
      <c r="N677" t="s">
        <v>2976</v>
      </c>
      <c r="Q677">
        <f>LN(2)/M677</f>
        <v>1.2836058899258247E-2</v>
      </c>
      <c r="R677" t="s">
        <v>3267</v>
      </c>
    </row>
    <row r="678" spans="1:41">
      <c r="B678" t="s">
        <v>3163</v>
      </c>
      <c r="C678" t="s">
        <v>1498</v>
      </c>
      <c r="D678" t="s">
        <v>2317</v>
      </c>
      <c r="E678" t="s">
        <v>2700</v>
      </c>
      <c r="F678" t="s">
        <v>2701</v>
      </c>
      <c r="G678">
        <v>305</v>
      </c>
      <c r="H678" t="s">
        <v>2976</v>
      </c>
      <c r="I678">
        <v>1</v>
      </c>
      <c r="K678" t="s">
        <v>1108</v>
      </c>
      <c r="M678">
        <v>33</v>
      </c>
      <c r="N678" t="s">
        <v>2976</v>
      </c>
      <c r="Q678">
        <f>LN(2)/M678</f>
        <v>2.1004460016968041E-2</v>
      </c>
      <c r="R678" t="s">
        <v>3267</v>
      </c>
    </row>
    <row r="679" spans="1:41">
      <c r="A679" t="s">
        <v>578</v>
      </c>
      <c r="B679" t="s">
        <v>3166</v>
      </c>
      <c r="C679" t="s">
        <v>1501</v>
      </c>
      <c r="D679" t="s">
        <v>2319</v>
      </c>
      <c r="E679" t="s">
        <v>2575</v>
      </c>
      <c r="F679" t="s">
        <v>2573</v>
      </c>
      <c r="G679">
        <v>60</v>
      </c>
      <c r="H679" t="s">
        <v>2976</v>
      </c>
      <c r="I679">
        <v>5</v>
      </c>
      <c r="K679" t="s">
        <v>1108</v>
      </c>
      <c r="M679">
        <v>13.5</v>
      </c>
      <c r="N679" t="s">
        <v>2976</v>
      </c>
      <c r="Q679">
        <f t="shared" ref="Q679" si="29">LN(2)/M679</f>
        <v>5.1344235597032988E-2</v>
      </c>
      <c r="R679" t="s">
        <v>3267</v>
      </c>
      <c r="W679">
        <v>0.95099999999999996</v>
      </c>
      <c r="X679" t="s">
        <v>3268</v>
      </c>
      <c r="Y679" t="s">
        <v>7</v>
      </c>
      <c r="Z679" t="s">
        <v>14</v>
      </c>
      <c r="AK679">
        <v>4.7</v>
      </c>
      <c r="AL679" t="s">
        <v>3301</v>
      </c>
      <c r="AM679">
        <v>0.53</v>
      </c>
      <c r="AN679" t="s">
        <v>3270</v>
      </c>
      <c r="AO679">
        <v>0.99299999999999999</v>
      </c>
    </row>
    <row r="680" spans="1:41">
      <c r="B680" t="s">
        <v>3166</v>
      </c>
      <c r="C680" t="s">
        <v>1501</v>
      </c>
      <c r="D680" t="s">
        <v>2320</v>
      </c>
      <c r="E680" t="s">
        <v>2575</v>
      </c>
      <c r="F680" t="s">
        <v>2573</v>
      </c>
      <c r="G680">
        <v>60</v>
      </c>
      <c r="H680" t="s">
        <v>2976</v>
      </c>
      <c r="I680">
        <v>5</v>
      </c>
      <c r="K680" t="s">
        <v>1108</v>
      </c>
      <c r="M680">
        <v>11.6</v>
      </c>
      <c r="N680" t="s">
        <v>2976</v>
      </c>
      <c r="Q680">
        <f t="shared" ref="Q680:Q687" si="30">LN(2)/M680</f>
        <v>5.9754067289650457E-2</v>
      </c>
      <c r="R680" t="s">
        <v>3267</v>
      </c>
      <c r="W680">
        <v>0.96199999999999997</v>
      </c>
      <c r="X680" t="s">
        <v>3268</v>
      </c>
      <c r="Y680" t="s">
        <v>7</v>
      </c>
      <c r="Z680" t="s">
        <v>14</v>
      </c>
      <c r="AK680">
        <v>15</v>
      </c>
      <c r="AL680" t="s">
        <v>3301</v>
      </c>
      <c r="AM680">
        <v>0.42</v>
      </c>
      <c r="AN680" t="s">
        <v>3270</v>
      </c>
      <c r="AO680">
        <v>0.996</v>
      </c>
    </row>
    <row r="681" spans="1:41">
      <c r="B681" t="s">
        <v>3166</v>
      </c>
      <c r="C681" t="s">
        <v>1501</v>
      </c>
      <c r="D681" t="s">
        <v>2323</v>
      </c>
      <c r="E681" t="s">
        <v>2575</v>
      </c>
      <c r="F681" t="s">
        <v>2573</v>
      </c>
      <c r="G681">
        <v>60</v>
      </c>
      <c r="H681" t="s">
        <v>2976</v>
      </c>
      <c r="I681">
        <v>5</v>
      </c>
      <c r="K681" t="s">
        <v>1108</v>
      </c>
      <c r="M681">
        <v>8.5</v>
      </c>
      <c r="N681" t="s">
        <v>2976</v>
      </c>
      <c r="Q681">
        <f t="shared" si="30"/>
        <v>8.1546727124699445E-2</v>
      </c>
      <c r="R681" t="s">
        <v>3267</v>
      </c>
      <c r="W681">
        <v>0.96899999999999997</v>
      </c>
      <c r="X681" t="s">
        <v>3268</v>
      </c>
      <c r="Y681" t="s">
        <v>7</v>
      </c>
      <c r="Z681" t="s">
        <v>14</v>
      </c>
      <c r="AK681">
        <v>43.1</v>
      </c>
      <c r="AL681" t="s">
        <v>3301</v>
      </c>
      <c r="AM681">
        <v>0.37</v>
      </c>
      <c r="AN681" t="s">
        <v>3270</v>
      </c>
      <c r="AO681">
        <v>0.96399999999999997</v>
      </c>
    </row>
    <row r="682" spans="1:41">
      <c r="B682" t="s">
        <v>3166</v>
      </c>
      <c r="C682" t="s">
        <v>1505</v>
      </c>
      <c r="D682" t="s">
        <v>2319</v>
      </c>
      <c r="E682" t="s">
        <v>2575</v>
      </c>
      <c r="F682" t="s">
        <v>2573</v>
      </c>
      <c r="G682">
        <v>60</v>
      </c>
      <c r="H682" t="s">
        <v>2976</v>
      </c>
      <c r="I682">
        <v>5</v>
      </c>
      <c r="K682" t="s">
        <v>1108</v>
      </c>
      <c r="M682">
        <v>17.100000000000001</v>
      </c>
      <c r="N682" t="s">
        <v>2976</v>
      </c>
      <c r="Q682">
        <f t="shared" si="30"/>
        <v>4.0534922839762878E-2</v>
      </c>
      <c r="R682" t="s">
        <v>3267</v>
      </c>
      <c r="W682">
        <v>0.96099999999999997</v>
      </c>
      <c r="X682" t="s">
        <v>3268</v>
      </c>
      <c r="Y682" t="s">
        <v>7</v>
      </c>
      <c r="Z682" t="s">
        <v>14</v>
      </c>
      <c r="AK682">
        <v>2.8</v>
      </c>
      <c r="AL682" t="s">
        <v>3301</v>
      </c>
      <c r="AM682">
        <v>0.66</v>
      </c>
      <c r="AN682" t="s">
        <v>3270</v>
      </c>
      <c r="AO682">
        <v>0.97499999999999998</v>
      </c>
    </row>
    <row r="683" spans="1:41">
      <c r="B683" t="s">
        <v>3166</v>
      </c>
      <c r="C683" t="s">
        <v>1505</v>
      </c>
      <c r="D683" t="s">
        <v>2320</v>
      </c>
      <c r="E683" t="s">
        <v>2575</v>
      </c>
      <c r="F683" t="s">
        <v>2573</v>
      </c>
      <c r="G683">
        <v>60</v>
      </c>
      <c r="H683" t="s">
        <v>2976</v>
      </c>
      <c r="I683">
        <v>5</v>
      </c>
      <c r="K683" t="s">
        <v>1108</v>
      </c>
      <c r="M683">
        <v>13.9</v>
      </c>
      <c r="N683" t="s">
        <v>2976</v>
      </c>
      <c r="Q683">
        <f t="shared" si="30"/>
        <v>4.9866703637406133E-2</v>
      </c>
      <c r="R683" t="s">
        <v>3267</v>
      </c>
      <c r="W683">
        <v>0.95899999999999996</v>
      </c>
      <c r="X683" t="s">
        <v>3268</v>
      </c>
      <c r="Y683" t="s">
        <v>7</v>
      </c>
      <c r="Z683" t="s">
        <v>14</v>
      </c>
      <c r="AK683">
        <v>17</v>
      </c>
      <c r="AL683" t="s">
        <v>3301</v>
      </c>
      <c r="AM683">
        <v>0.4</v>
      </c>
      <c r="AN683" t="s">
        <v>3270</v>
      </c>
      <c r="AO683">
        <v>0.96</v>
      </c>
    </row>
    <row r="684" spans="1:41">
      <c r="B684" t="s">
        <v>3166</v>
      </c>
      <c r="C684" t="s">
        <v>1505</v>
      </c>
      <c r="D684" t="s">
        <v>2323</v>
      </c>
      <c r="E684" t="s">
        <v>2575</v>
      </c>
      <c r="F684" t="s">
        <v>2573</v>
      </c>
      <c r="G684">
        <v>60</v>
      </c>
      <c r="H684" t="s">
        <v>2976</v>
      </c>
      <c r="I684">
        <v>5</v>
      </c>
      <c r="K684" t="s">
        <v>1108</v>
      </c>
      <c r="M684">
        <v>10.1</v>
      </c>
      <c r="N684" t="s">
        <v>2976</v>
      </c>
      <c r="Q684">
        <f t="shared" si="30"/>
        <v>6.8628433718806461E-2</v>
      </c>
      <c r="R684" t="s">
        <v>3267</v>
      </c>
      <c r="W684">
        <v>0.95799999999999996</v>
      </c>
      <c r="X684" t="s">
        <v>3268</v>
      </c>
      <c r="Y684" t="s">
        <v>7</v>
      </c>
      <c r="Z684" t="s">
        <v>14</v>
      </c>
      <c r="AK684">
        <v>40</v>
      </c>
      <c r="AL684" t="s">
        <v>3301</v>
      </c>
      <c r="AM684">
        <v>0.38</v>
      </c>
      <c r="AN684" t="s">
        <v>3270</v>
      </c>
      <c r="AO684">
        <v>0.97699999999999998</v>
      </c>
    </row>
    <row r="685" spans="1:41">
      <c r="B685" t="s">
        <v>3166</v>
      </c>
      <c r="C685" t="s">
        <v>1508</v>
      </c>
      <c r="D685" t="s">
        <v>2319</v>
      </c>
      <c r="E685" t="s">
        <v>2575</v>
      </c>
      <c r="F685" t="s">
        <v>2573</v>
      </c>
      <c r="G685">
        <v>60</v>
      </c>
      <c r="H685" t="s">
        <v>2976</v>
      </c>
      <c r="I685">
        <v>5</v>
      </c>
      <c r="K685" t="s">
        <v>1108</v>
      </c>
      <c r="M685">
        <v>11.9</v>
      </c>
      <c r="N685" t="s">
        <v>2976</v>
      </c>
      <c r="Q685">
        <f t="shared" si="30"/>
        <v>5.8247662231928177E-2</v>
      </c>
      <c r="R685" t="s">
        <v>3267</v>
      </c>
      <c r="W685">
        <v>0.95199999999999996</v>
      </c>
      <c r="X685" t="s">
        <v>3268</v>
      </c>
      <c r="Y685" t="s">
        <v>7</v>
      </c>
      <c r="Z685" t="s">
        <v>14</v>
      </c>
      <c r="AK685">
        <v>6.3</v>
      </c>
      <c r="AL685" t="s">
        <v>3301</v>
      </c>
      <c r="AM685">
        <v>0.45</v>
      </c>
      <c r="AN685" t="s">
        <v>3270</v>
      </c>
      <c r="AO685">
        <v>0.97799999999999998</v>
      </c>
    </row>
    <row r="686" spans="1:41">
      <c r="B686" t="s">
        <v>3166</v>
      </c>
      <c r="C686" t="s">
        <v>1508</v>
      </c>
      <c r="D686" t="s">
        <v>2320</v>
      </c>
      <c r="E686" t="s">
        <v>2575</v>
      </c>
      <c r="F686" t="s">
        <v>2573</v>
      </c>
      <c r="G686">
        <v>60</v>
      </c>
      <c r="H686" t="s">
        <v>2976</v>
      </c>
      <c r="I686">
        <v>5</v>
      </c>
      <c r="K686" t="s">
        <v>1108</v>
      </c>
      <c r="M686">
        <v>8</v>
      </c>
      <c r="N686" t="s">
        <v>2976</v>
      </c>
      <c r="Q686">
        <f t="shared" si="30"/>
        <v>8.6643397569993161E-2</v>
      </c>
      <c r="R686" t="s">
        <v>3267</v>
      </c>
      <c r="W686">
        <v>0.98499999999999999</v>
      </c>
      <c r="X686" t="s">
        <v>3268</v>
      </c>
      <c r="Y686" t="s">
        <v>7</v>
      </c>
      <c r="Z686" t="s">
        <v>14</v>
      </c>
      <c r="AK686">
        <v>16.5</v>
      </c>
      <c r="AL686" t="s">
        <v>3301</v>
      </c>
      <c r="AM686">
        <v>0.41</v>
      </c>
      <c r="AN686" t="s">
        <v>3270</v>
      </c>
      <c r="AO686">
        <v>0.96099999999999997</v>
      </c>
    </row>
    <row r="687" spans="1:41">
      <c r="B687" t="s">
        <v>3166</v>
      </c>
      <c r="C687" t="s">
        <v>1508</v>
      </c>
      <c r="D687" t="s">
        <v>2323</v>
      </c>
      <c r="E687" t="s">
        <v>2575</v>
      </c>
      <c r="F687" t="s">
        <v>2573</v>
      </c>
      <c r="G687">
        <v>60</v>
      </c>
      <c r="H687" t="s">
        <v>2976</v>
      </c>
      <c r="I687">
        <v>5</v>
      </c>
      <c r="K687" t="s">
        <v>1108</v>
      </c>
      <c r="M687">
        <v>5.9</v>
      </c>
      <c r="N687" t="s">
        <v>2976</v>
      </c>
      <c r="Q687">
        <f t="shared" si="30"/>
        <v>0.11748257297626191</v>
      </c>
      <c r="R687" t="s">
        <v>3267</v>
      </c>
      <c r="W687">
        <v>0.98099999999999998</v>
      </c>
      <c r="X687" t="s">
        <v>3268</v>
      </c>
      <c r="Y687" t="s">
        <v>7</v>
      </c>
      <c r="Z687" t="s">
        <v>14</v>
      </c>
      <c r="AK687">
        <v>45.7</v>
      </c>
      <c r="AL687" t="s">
        <v>3301</v>
      </c>
      <c r="AM687">
        <v>0.33</v>
      </c>
      <c r="AN687" t="s">
        <v>3270</v>
      </c>
      <c r="AO687">
        <v>0.97299999999999998</v>
      </c>
    </row>
    <row r="688" spans="1:41">
      <c r="A688" t="s">
        <v>662</v>
      </c>
      <c r="B688" t="s">
        <v>3168</v>
      </c>
      <c r="C688" t="s">
        <v>1511</v>
      </c>
      <c r="D688" t="s">
        <v>2325</v>
      </c>
      <c r="E688" t="s">
        <v>2568</v>
      </c>
      <c r="F688" t="s">
        <v>2563</v>
      </c>
      <c r="G688">
        <v>28</v>
      </c>
      <c r="H688" t="s">
        <v>2976</v>
      </c>
      <c r="I688">
        <v>0.53300000000000003</v>
      </c>
      <c r="K688" t="s">
        <v>1108</v>
      </c>
      <c r="AD688">
        <v>53.7</v>
      </c>
      <c r="AE688" t="s">
        <v>1118</v>
      </c>
    </row>
    <row r="689" spans="1:31">
      <c r="B689" t="s">
        <v>3168</v>
      </c>
      <c r="C689" t="s">
        <v>1511</v>
      </c>
      <c r="D689" t="s">
        <v>2326</v>
      </c>
      <c r="E689" t="s">
        <v>2568</v>
      </c>
      <c r="F689" t="s">
        <v>2563</v>
      </c>
      <c r="G689">
        <v>28</v>
      </c>
      <c r="H689" t="s">
        <v>2976</v>
      </c>
      <c r="I689">
        <v>0.53300000000000003</v>
      </c>
      <c r="K689" t="s">
        <v>1108</v>
      </c>
      <c r="AD689">
        <v>29.2</v>
      </c>
      <c r="AE689" t="s">
        <v>1118</v>
      </c>
    </row>
    <row r="690" spans="1:31">
      <c r="B690" t="s">
        <v>3168</v>
      </c>
      <c r="C690" t="s">
        <v>1511</v>
      </c>
      <c r="D690" t="s">
        <v>2329</v>
      </c>
      <c r="E690" t="s">
        <v>2568</v>
      </c>
      <c r="F690" t="s">
        <v>2563</v>
      </c>
      <c r="G690">
        <v>28</v>
      </c>
      <c r="H690" t="s">
        <v>2976</v>
      </c>
      <c r="I690">
        <v>0.53300000000000003</v>
      </c>
      <c r="K690" t="s">
        <v>1108</v>
      </c>
      <c r="AD690">
        <v>45.6</v>
      </c>
      <c r="AE690" t="s">
        <v>1118</v>
      </c>
    </row>
    <row r="691" spans="1:31">
      <c r="B691" t="s">
        <v>3168</v>
      </c>
      <c r="C691" t="s">
        <v>1511</v>
      </c>
      <c r="D691" t="s">
        <v>2332</v>
      </c>
      <c r="E691" t="s">
        <v>2568</v>
      </c>
      <c r="F691" t="s">
        <v>2563</v>
      </c>
      <c r="G691">
        <v>28</v>
      </c>
      <c r="H691" t="s">
        <v>2976</v>
      </c>
      <c r="I691">
        <v>0.53300000000000003</v>
      </c>
      <c r="K691" t="s">
        <v>1108</v>
      </c>
      <c r="AD691">
        <v>43</v>
      </c>
      <c r="AE691" t="s">
        <v>1118</v>
      </c>
    </row>
    <row r="692" spans="1:31">
      <c r="B692" t="s">
        <v>3168</v>
      </c>
      <c r="C692" t="s">
        <v>1511</v>
      </c>
      <c r="D692" t="s">
        <v>2334</v>
      </c>
      <c r="E692" t="s">
        <v>2568</v>
      </c>
      <c r="F692" t="s">
        <v>2563</v>
      </c>
      <c r="G692">
        <v>28</v>
      </c>
      <c r="H692" t="s">
        <v>2976</v>
      </c>
      <c r="I692">
        <v>0.53300000000000003</v>
      </c>
      <c r="K692" t="s">
        <v>1108</v>
      </c>
      <c r="AD692">
        <v>47.8</v>
      </c>
      <c r="AE692" t="s">
        <v>1118</v>
      </c>
    </row>
    <row r="693" spans="1:31">
      <c r="B693" t="s">
        <v>3168</v>
      </c>
      <c r="C693" t="s">
        <v>1511</v>
      </c>
      <c r="D693" t="s">
        <v>2325</v>
      </c>
      <c r="E693" t="s">
        <v>2811</v>
      </c>
      <c r="F693" t="s">
        <v>2808</v>
      </c>
      <c r="G693">
        <v>28</v>
      </c>
      <c r="H693" t="s">
        <v>2976</v>
      </c>
      <c r="I693">
        <v>0.10299999999999999</v>
      </c>
      <c r="K693" t="s">
        <v>1108</v>
      </c>
      <c r="AD693">
        <v>0.66</v>
      </c>
      <c r="AE693" t="s">
        <v>1118</v>
      </c>
    </row>
    <row r="694" spans="1:31">
      <c r="B694" t="s">
        <v>3168</v>
      </c>
      <c r="C694" t="s">
        <v>1511</v>
      </c>
      <c r="D694" t="s">
        <v>2326</v>
      </c>
      <c r="E694" t="s">
        <v>2811</v>
      </c>
      <c r="F694" t="s">
        <v>2808</v>
      </c>
      <c r="G694">
        <v>28</v>
      </c>
      <c r="H694" t="s">
        <v>2976</v>
      </c>
      <c r="I694">
        <v>0.10299999999999999</v>
      </c>
      <c r="K694" t="s">
        <v>1108</v>
      </c>
      <c r="AD694">
        <v>0.41</v>
      </c>
      <c r="AE694" t="s">
        <v>1118</v>
      </c>
    </row>
    <row r="695" spans="1:31">
      <c r="B695" t="s">
        <v>3168</v>
      </c>
      <c r="C695" t="s">
        <v>1511</v>
      </c>
      <c r="D695" t="s">
        <v>2329</v>
      </c>
      <c r="E695" t="s">
        <v>2811</v>
      </c>
      <c r="F695" t="s">
        <v>2808</v>
      </c>
      <c r="G695">
        <v>28</v>
      </c>
      <c r="H695" t="s">
        <v>2976</v>
      </c>
      <c r="I695">
        <v>0.10299999999999999</v>
      </c>
      <c r="K695" t="s">
        <v>1108</v>
      </c>
      <c r="AD695">
        <v>0.48</v>
      </c>
      <c r="AE695" t="s">
        <v>1118</v>
      </c>
    </row>
    <row r="696" spans="1:31">
      <c r="B696" t="s">
        <v>3168</v>
      </c>
      <c r="C696" t="s">
        <v>1511</v>
      </c>
      <c r="D696" t="s">
        <v>2332</v>
      </c>
      <c r="E696" t="s">
        <v>2811</v>
      </c>
      <c r="F696" t="s">
        <v>2808</v>
      </c>
      <c r="G696">
        <v>28</v>
      </c>
      <c r="H696" t="s">
        <v>2976</v>
      </c>
      <c r="I696">
        <v>0.10299999999999999</v>
      </c>
      <c r="K696" t="s">
        <v>1108</v>
      </c>
      <c r="AD696">
        <v>0.49</v>
      </c>
      <c r="AE696" t="s">
        <v>1118</v>
      </c>
    </row>
    <row r="697" spans="1:31">
      <c r="B697" t="s">
        <v>3168</v>
      </c>
      <c r="C697" t="s">
        <v>1511</v>
      </c>
      <c r="D697" t="s">
        <v>2334</v>
      </c>
      <c r="E697" t="s">
        <v>2811</v>
      </c>
      <c r="F697" t="s">
        <v>2808</v>
      </c>
      <c r="G697">
        <v>28</v>
      </c>
      <c r="H697" t="s">
        <v>2976</v>
      </c>
      <c r="I697">
        <v>0.10299999999999999</v>
      </c>
      <c r="K697" t="s">
        <v>1108</v>
      </c>
      <c r="AD697">
        <v>0.62</v>
      </c>
      <c r="AE697" t="s">
        <v>1118</v>
      </c>
    </row>
    <row r="698" spans="1:31">
      <c r="A698" t="s">
        <v>350</v>
      </c>
      <c r="B698" t="s">
        <v>3169</v>
      </c>
      <c r="C698" t="s">
        <v>1514</v>
      </c>
      <c r="D698" t="s">
        <v>2336</v>
      </c>
      <c r="E698" t="s">
        <v>2948</v>
      </c>
      <c r="F698" t="s">
        <v>2944</v>
      </c>
      <c r="G698">
        <v>120</v>
      </c>
      <c r="H698" t="s">
        <v>2976</v>
      </c>
      <c r="I698">
        <v>10</v>
      </c>
      <c r="K698" t="s">
        <v>1572</v>
      </c>
      <c r="L698" s="12">
        <v>39.460777129544098</v>
      </c>
    </row>
    <row r="699" spans="1:31">
      <c r="B699" t="s">
        <v>3169</v>
      </c>
      <c r="C699" t="s">
        <v>1514</v>
      </c>
      <c r="D699" t="s">
        <v>2337</v>
      </c>
      <c r="E699" t="s">
        <v>2948</v>
      </c>
      <c r="F699" t="s">
        <v>2944</v>
      </c>
      <c r="G699">
        <v>120</v>
      </c>
      <c r="H699" t="s">
        <v>2976</v>
      </c>
      <c r="I699">
        <v>10</v>
      </c>
      <c r="K699" t="s">
        <v>1572</v>
      </c>
      <c r="L699" s="12">
        <v>43.627446718007</v>
      </c>
    </row>
    <row r="700" spans="1:31">
      <c r="B700" t="s">
        <v>3169</v>
      </c>
      <c r="C700" t="s">
        <v>1517</v>
      </c>
      <c r="D700" t="s">
        <v>2336</v>
      </c>
      <c r="E700" t="s">
        <v>2948</v>
      </c>
      <c r="F700" t="s">
        <v>2944</v>
      </c>
      <c r="G700">
        <v>120</v>
      </c>
      <c r="H700" t="s">
        <v>2976</v>
      </c>
      <c r="I700">
        <v>10</v>
      </c>
      <c r="K700" t="s">
        <v>1572</v>
      </c>
      <c r="L700" s="12">
        <v>40.582963495918101</v>
      </c>
    </row>
    <row r="701" spans="1:31">
      <c r="B701" t="s">
        <v>3169</v>
      </c>
      <c r="C701" t="s">
        <v>1517</v>
      </c>
      <c r="D701" t="s">
        <v>2337</v>
      </c>
      <c r="E701" t="s">
        <v>2948</v>
      </c>
      <c r="F701" t="s">
        <v>2944</v>
      </c>
      <c r="G701">
        <v>120</v>
      </c>
      <c r="H701" t="s">
        <v>2976</v>
      </c>
      <c r="I701">
        <v>10</v>
      </c>
      <c r="K701" t="s">
        <v>1572</v>
      </c>
      <c r="L701" s="12">
        <v>43.9461917352114</v>
      </c>
    </row>
    <row r="702" spans="1:31">
      <c r="A702" t="s">
        <v>535</v>
      </c>
      <c r="B702" t="s">
        <v>3171</v>
      </c>
      <c r="C702" t="s">
        <v>1521</v>
      </c>
      <c r="D702" t="s">
        <v>2343</v>
      </c>
      <c r="E702" t="s">
        <v>2577</v>
      </c>
      <c r="F702" t="s">
        <v>2573</v>
      </c>
      <c r="G702">
        <v>60</v>
      </c>
      <c r="H702" t="s">
        <v>2976</v>
      </c>
      <c r="I702">
        <v>10</v>
      </c>
      <c r="K702" t="s">
        <v>1108</v>
      </c>
      <c r="M702">
        <v>11.95</v>
      </c>
      <c r="N702" t="s">
        <v>2976</v>
      </c>
      <c r="Q702">
        <f t="shared" ref="Q702:Q705" si="31">LN(2)/M702</f>
        <v>5.8003948164012165E-2</v>
      </c>
      <c r="R702" t="s">
        <v>3267</v>
      </c>
      <c r="W702">
        <v>0.96</v>
      </c>
      <c r="X702" t="s">
        <v>3268</v>
      </c>
      <c r="Y702" t="s">
        <v>7</v>
      </c>
      <c r="Z702" t="s">
        <v>4</v>
      </c>
    </row>
    <row r="703" spans="1:31">
      <c r="B703" t="s">
        <v>3171</v>
      </c>
      <c r="C703" t="s">
        <v>1521</v>
      </c>
      <c r="D703" t="s">
        <v>2344</v>
      </c>
      <c r="E703" t="s">
        <v>2577</v>
      </c>
      <c r="F703" t="s">
        <v>2573</v>
      </c>
      <c r="G703">
        <v>60</v>
      </c>
      <c r="H703" t="s">
        <v>2976</v>
      </c>
      <c r="I703">
        <v>10</v>
      </c>
      <c r="K703" t="s">
        <v>1108</v>
      </c>
      <c r="M703">
        <v>24.76</v>
      </c>
      <c r="N703" t="s">
        <v>2976</v>
      </c>
      <c r="Q703">
        <f t="shared" si="31"/>
        <v>2.7994635725361278E-2</v>
      </c>
      <c r="R703" t="s">
        <v>3267</v>
      </c>
      <c r="W703">
        <v>0.96</v>
      </c>
      <c r="X703" t="s">
        <v>3268</v>
      </c>
      <c r="Y703" t="s">
        <v>7</v>
      </c>
      <c r="Z703" t="s">
        <v>4</v>
      </c>
    </row>
    <row r="704" spans="1:31">
      <c r="B704" t="s">
        <v>3171</v>
      </c>
      <c r="C704" t="s">
        <v>1521</v>
      </c>
      <c r="D704" t="s">
        <v>2347</v>
      </c>
      <c r="E704" t="s">
        <v>2577</v>
      </c>
      <c r="F704" t="s">
        <v>2573</v>
      </c>
      <c r="G704">
        <v>60</v>
      </c>
      <c r="H704" t="s">
        <v>2976</v>
      </c>
      <c r="I704">
        <v>10</v>
      </c>
      <c r="K704" t="s">
        <v>1108</v>
      </c>
      <c r="M704">
        <v>19.8</v>
      </c>
      <c r="N704" t="s">
        <v>2976</v>
      </c>
      <c r="Q704">
        <f t="shared" si="31"/>
        <v>3.5007433361613396E-2</v>
      </c>
      <c r="R704" t="s">
        <v>3267</v>
      </c>
      <c r="W704">
        <v>0.98</v>
      </c>
      <c r="X704" t="s">
        <v>3268</v>
      </c>
      <c r="Y704" t="s">
        <v>7</v>
      </c>
      <c r="Z704" t="s">
        <v>4</v>
      </c>
    </row>
    <row r="705" spans="1:26">
      <c r="B705" t="s">
        <v>3171</v>
      </c>
      <c r="C705" t="s">
        <v>1521</v>
      </c>
      <c r="D705" t="s">
        <v>2350</v>
      </c>
      <c r="E705" t="s">
        <v>2577</v>
      </c>
      <c r="F705" t="s">
        <v>2573</v>
      </c>
      <c r="G705">
        <v>60</v>
      </c>
      <c r="H705" t="s">
        <v>2976</v>
      </c>
      <c r="I705">
        <v>10</v>
      </c>
      <c r="K705" t="s">
        <v>1108</v>
      </c>
      <c r="M705">
        <v>99.02</v>
      </c>
      <c r="N705" t="s">
        <v>2976</v>
      </c>
      <c r="Q705">
        <f t="shared" si="31"/>
        <v>7.0000725162587896E-3</v>
      </c>
      <c r="R705" t="s">
        <v>3267</v>
      </c>
      <c r="W705">
        <v>0.91</v>
      </c>
      <c r="X705" t="s">
        <v>3268</v>
      </c>
      <c r="Y705" t="s">
        <v>7</v>
      </c>
      <c r="Z705" t="s">
        <v>4</v>
      </c>
    </row>
    <row r="706" spans="1:26">
      <c r="A706" t="s">
        <v>526</v>
      </c>
      <c r="B706" t="s">
        <v>3173</v>
      </c>
      <c r="C706" t="s">
        <v>1523</v>
      </c>
      <c r="D706" t="s">
        <v>2353</v>
      </c>
      <c r="E706" t="s">
        <v>2746</v>
      </c>
      <c r="F706" t="s">
        <v>2742</v>
      </c>
      <c r="G706">
        <v>60</v>
      </c>
      <c r="H706" t="s">
        <v>2976</v>
      </c>
      <c r="I706">
        <v>5</v>
      </c>
      <c r="K706" t="s">
        <v>1108</v>
      </c>
      <c r="M706">
        <f t="shared" ref="M706:M714" si="32">LN(2)/Q706</f>
        <v>5.6815342668847979</v>
      </c>
      <c r="N706" t="s">
        <v>2976</v>
      </c>
      <c r="Q706">
        <v>0.122</v>
      </c>
      <c r="R706" t="s">
        <v>3267</v>
      </c>
      <c r="W706">
        <v>0.85629999999999995</v>
      </c>
      <c r="X706" t="s">
        <v>3268</v>
      </c>
      <c r="Y706" t="s">
        <v>7</v>
      </c>
      <c r="Z706" t="s">
        <v>14</v>
      </c>
    </row>
    <row r="707" spans="1:26">
      <c r="B707" t="s">
        <v>3173</v>
      </c>
      <c r="C707" t="s">
        <v>1523</v>
      </c>
      <c r="D707" t="s">
        <v>2354</v>
      </c>
      <c r="E707" t="s">
        <v>2746</v>
      </c>
      <c r="F707" t="s">
        <v>2742</v>
      </c>
      <c r="G707">
        <v>60</v>
      </c>
      <c r="H707" t="s">
        <v>2976</v>
      </c>
      <c r="I707">
        <v>5</v>
      </c>
      <c r="K707" t="s">
        <v>1108</v>
      </c>
      <c r="M707">
        <f t="shared" si="32"/>
        <v>4.2265071985362512</v>
      </c>
      <c r="N707" t="s">
        <v>2976</v>
      </c>
      <c r="Q707">
        <v>0.16400000000000001</v>
      </c>
      <c r="R707" t="s">
        <v>3267</v>
      </c>
      <c r="W707">
        <v>0.81659999999999999</v>
      </c>
      <c r="X707" t="s">
        <v>3268</v>
      </c>
      <c r="Y707" t="s">
        <v>7</v>
      </c>
      <c r="Z707" t="s">
        <v>14</v>
      </c>
    </row>
    <row r="708" spans="1:26">
      <c r="B708" t="s">
        <v>3173</v>
      </c>
      <c r="C708" t="s">
        <v>1523</v>
      </c>
      <c r="D708" t="s">
        <v>2356</v>
      </c>
      <c r="E708" t="s">
        <v>2746</v>
      </c>
      <c r="F708" t="s">
        <v>2742</v>
      </c>
      <c r="G708">
        <v>60</v>
      </c>
      <c r="H708" t="s">
        <v>2976</v>
      </c>
      <c r="I708">
        <v>5</v>
      </c>
      <c r="K708" t="s">
        <v>1108</v>
      </c>
      <c r="M708">
        <f t="shared" si="32"/>
        <v>4.747583428492776</v>
      </c>
      <c r="N708" t="s">
        <v>2976</v>
      </c>
      <c r="Q708">
        <v>0.14599999999999999</v>
      </c>
      <c r="R708" t="s">
        <v>3267</v>
      </c>
      <c r="W708">
        <v>0.86639999999999995</v>
      </c>
      <c r="X708" t="s">
        <v>3268</v>
      </c>
      <c r="Y708" t="s">
        <v>7</v>
      </c>
      <c r="Z708" t="s">
        <v>14</v>
      </c>
    </row>
    <row r="709" spans="1:26">
      <c r="B709" t="s">
        <v>3173</v>
      </c>
      <c r="C709" t="s">
        <v>1523</v>
      </c>
      <c r="D709" t="s">
        <v>2353</v>
      </c>
      <c r="E709" t="s">
        <v>2776</v>
      </c>
      <c r="F709" t="s">
        <v>2771</v>
      </c>
      <c r="G709">
        <v>60</v>
      </c>
      <c r="H709" t="s">
        <v>2976</v>
      </c>
      <c r="I709">
        <v>5</v>
      </c>
      <c r="K709" t="s">
        <v>1108</v>
      </c>
      <c r="M709">
        <f t="shared" si="32"/>
        <v>5.3732339578290329</v>
      </c>
      <c r="N709" t="s">
        <v>2976</v>
      </c>
      <c r="Q709">
        <v>0.129</v>
      </c>
      <c r="R709" t="s">
        <v>3267</v>
      </c>
      <c r="W709">
        <v>0.91239999999999999</v>
      </c>
      <c r="X709" t="s">
        <v>3268</v>
      </c>
      <c r="Y709" t="s">
        <v>7</v>
      </c>
      <c r="Z709" t="s">
        <v>14</v>
      </c>
    </row>
    <row r="710" spans="1:26">
      <c r="B710" t="s">
        <v>3173</v>
      </c>
      <c r="C710" t="s">
        <v>1523</v>
      </c>
      <c r="D710" t="s">
        <v>2354</v>
      </c>
      <c r="E710" t="s">
        <v>2776</v>
      </c>
      <c r="F710" t="s">
        <v>2771</v>
      </c>
      <c r="G710">
        <v>60</v>
      </c>
      <c r="H710" t="s">
        <v>2976</v>
      </c>
      <c r="I710">
        <v>5</v>
      </c>
      <c r="K710" t="s">
        <v>1108</v>
      </c>
      <c r="M710">
        <f t="shared" si="32"/>
        <v>4.0299254683717756</v>
      </c>
      <c r="N710" t="s">
        <v>2976</v>
      </c>
      <c r="Q710">
        <v>0.17199999999999999</v>
      </c>
      <c r="R710" t="s">
        <v>3267</v>
      </c>
      <c r="W710">
        <v>0.92120000000000002</v>
      </c>
      <c r="X710" t="s">
        <v>3268</v>
      </c>
      <c r="Y710" t="s">
        <v>7</v>
      </c>
      <c r="Z710" t="s">
        <v>14</v>
      </c>
    </row>
    <row r="711" spans="1:26">
      <c r="B711" t="s">
        <v>3173</v>
      </c>
      <c r="C711" t="s">
        <v>1523</v>
      </c>
      <c r="D711" t="s">
        <v>2356</v>
      </c>
      <c r="E711" t="s">
        <v>2776</v>
      </c>
      <c r="F711" t="s">
        <v>2771</v>
      </c>
      <c r="G711">
        <v>60</v>
      </c>
      <c r="H711" t="s">
        <v>2976</v>
      </c>
      <c r="I711">
        <v>5</v>
      </c>
      <c r="K711" t="s">
        <v>1108</v>
      </c>
      <c r="M711">
        <f t="shared" si="32"/>
        <v>4.9159374507797544</v>
      </c>
      <c r="N711" t="s">
        <v>2976</v>
      </c>
      <c r="Q711">
        <v>0.14099999999999999</v>
      </c>
      <c r="R711" t="s">
        <v>3267</v>
      </c>
      <c r="W711">
        <v>0.9133</v>
      </c>
      <c r="X711" t="s">
        <v>3268</v>
      </c>
      <c r="Y711" t="s">
        <v>7</v>
      </c>
      <c r="Z711" t="s">
        <v>14</v>
      </c>
    </row>
    <row r="712" spans="1:26">
      <c r="B712" t="s">
        <v>3173</v>
      </c>
      <c r="C712" t="s">
        <v>1523</v>
      </c>
      <c r="D712" t="s">
        <v>2353</v>
      </c>
      <c r="E712" t="s">
        <v>2866</v>
      </c>
      <c r="F712" t="s">
        <v>2867</v>
      </c>
      <c r="G712">
        <v>60</v>
      </c>
      <c r="H712" t="s">
        <v>2976</v>
      </c>
      <c r="I712">
        <v>2.5</v>
      </c>
      <c r="K712" t="s">
        <v>1108</v>
      </c>
      <c r="M712">
        <f t="shared" si="32"/>
        <v>5.6815342668847979</v>
      </c>
      <c r="N712" t="s">
        <v>2976</v>
      </c>
      <c r="Q712">
        <v>0.122</v>
      </c>
      <c r="R712" t="s">
        <v>3267</v>
      </c>
      <c r="W712">
        <v>0.87119999999999997</v>
      </c>
      <c r="X712" t="s">
        <v>3268</v>
      </c>
      <c r="Y712" t="s">
        <v>7</v>
      </c>
      <c r="Z712" t="s">
        <v>14</v>
      </c>
    </row>
    <row r="713" spans="1:26">
      <c r="B713" t="s">
        <v>3173</v>
      </c>
      <c r="C713" t="s">
        <v>1523</v>
      </c>
      <c r="D713" t="s">
        <v>2354</v>
      </c>
      <c r="E713" t="s">
        <v>2866</v>
      </c>
      <c r="F713" t="s">
        <v>2867</v>
      </c>
      <c r="G713">
        <v>60</v>
      </c>
      <c r="H713" t="s">
        <v>2976</v>
      </c>
      <c r="I713">
        <v>2.5</v>
      </c>
      <c r="K713" t="s">
        <v>1108</v>
      </c>
      <c r="M713">
        <f t="shared" si="32"/>
        <v>3.9383362531815074</v>
      </c>
      <c r="N713" t="s">
        <v>2976</v>
      </c>
      <c r="Q713">
        <v>0.17599999999999999</v>
      </c>
      <c r="R713" t="s">
        <v>3267</v>
      </c>
      <c r="W713">
        <v>0.92810000000000004</v>
      </c>
      <c r="X713" t="s">
        <v>3268</v>
      </c>
      <c r="Y713" t="s">
        <v>7</v>
      </c>
      <c r="Z713" t="s">
        <v>14</v>
      </c>
    </row>
    <row r="714" spans="1:26">
      <c r="B714" t="s">
        <v>3173</v>
      </c>
      <c r="C714" t="s">
        <v>1523</v>
      </c>
      <c r="D714" t="s">
        <v>2356</v>
      </c>
      <c r="E714" t="s">
        <v>2866</v>
      </c>
      <c r="F714" t="s">
        <v>2867</v>
      </c>
      <c r="G714">
        <v>60</v>
      </c>
      <c r="H714" t="s">
        <v>2976</v>
      </c>
      <c r="I714">
        <v>2.5</v>
      </c>
      <c r="K714" t="s">
        <v>1108</v>
      </c>
      <c r="M714">
        <f t="shared" si="32"/>
        <v>4.5601788194733244</v>
      </c>
      <c r="N714" t="s">
        <v>2976</v>
      </c>
      <c r="Q714">
        <v>0.152</v>
      </c>
      <c r="R714" t="s">
        <v>3267</v>
      </c>
      <c r="W714">
        <v>0.91620000000000001</v>
      </c>
      <c r="X714" t="s">
        <v>3268</v>
      </c>
      <c r="Y714" t="s">
        <v>7</v>
      </c>
      <c r="Z714" t="s">
        <v>14</v>
      </c>
    </row>
    <row r="715" spans="1:26">
      <c r="A715" t="s">
        <v>518</v>
      </c>
      <c r="B715" t="s">
        <v>3176</v>
      </c>
      <c r="C715" t="s">
        <v>1527</v>
      </c>
      <c r="D715" t="s">
        <v>2358</v>
      </c>
      <c r="E715" t="s">
        <v>2721</v>
      </c>
      <c r="F715" t="s">
        <v>2713</v>
      </c>
      <c r="G715">
        <v>144</v>
      </c>
      <c r="H715" t="s">
        <v>2976</v>
      </c>
      <c r="I715">
        <v>3</v>
      </c>
      <c r="K715" t="s">
        <v>1402</v>
      </c>
      <c r="M715">
        <v>259</v>
      </c>
      <c r="N715" t="s">
        <v>2976</v>
      </c>
      <c r="Q715">
        <f t="shared" ref="Q715:Q726" si="33">LN(2)/M715</f>
        <v>2.676243940385889E-3</v>
      </c>
      <c r="R715" t="s">
        <v>3267</v>
      </c>
      <c r="W715">
        <v>0.99</v>
      </c>
      <c r="X715" t="s">
        <v>3268</v>
      </c>
      <c r="Y715" t="s">
        <v>7</v>
      </c>
      <c r="Z715" t="s">
        <v>4</v>
      </c>
    </row>
    <row r="716" spans="1:26">
      <c r="B716" t="s">
        <v>3176</v>
      </c>
      <c r="C716" t="s">
        <v>1527</v>
      </c>
      <c r="D716" t="s">
        <v>2359</v>
      </c>
      <c r="E716" t="s">
        <v>2721</v>
      </c>
      <c r="F716" t="s">
        <v>2713</v>
      </c>
      <c r="G716">
        <v>144</v>
      </c>
      <c r="H716" t="s">
        <v>2976</v>
      </c>
      <c r="I716">
        <v>3</v>
      </c>
      <c r="K716" t="s">
        <v>1402</v>
      </c>
      <c r="M716">
        <v>25</v>
      </c>
      <c r="N716" t="s">
        <v>2976</v>
      </c>
      <c r="Q716">
        <f t="shared" si="33"/>
        <v>2.7725887222397813E-2</v>
      </c>
      <c r="R716" t="s">
        <v>3267</v>
      </c>
      <c r="W716">
        <v>0.94</v>
      </c>
      <c r="X716" t="s">
        <v>3268</v>
      </c>
      <c r="Y716" t="s">
        <v>7</v>
      </c>
      <c r="Z716" t="s">
        <v>4</v>
      </c>
    </row>
    <row r="717" spans="1:26">
      <c r="B717" t="s">
        <v>3176</v>
      </c>
      <c r="C717" t="s">
        <v>1527</v>
      </c>
      <c r="D717" t="s">
        <v>2362</v>
      </c>
      <c r="E717" t="s">
        <v>2721</v>
      </c>
      <c r="F717" t="s">
        <v>2713</v>
      </c>
      <c r="G717">
        <v>144</v>
      </c>
      <c r="H717" t="s">
        <v>2976</v>
      </c>
      <c r="I717">
        <v>3</v>
      </c>
      <c r="K717" t="s">
        <v>1402</v>
      </c>
      <c r="M717">
        <v>41</v>
      </c>
      <c r="N717" t="s">
        <v>2976</v>
      </c>
      <c r="Q717">
        <f t="shared" si="33"/>
        <v>1.6906028794145007E-2</v>
      </c>
      <c r="R717" t="s">
        <v>3267</v>
      </c>
      <c r="W717">
        <v>0.94</v>
      </c>
      <c r="X717" t="s">
        <v>3268</v>
      </c>
      <c r="Y717" t="s">
        <v>7</v>
      </c>
      <c r="Z717" t="s">
        <v>4</v>
      </c>
    </row>
    <row r="718" spans="1:26">
      <c r="B718" t="s">
        <v>3176</v>
      </c>
      <c r="C718" t="s">
        <v>1527</v>
      </c>
      <c r="D718" t="s">
        <v>2358</v>
      </c>
      <c r="E718" t="s">
        <v>2777</v>
      </c>
      <c r="F718" t="s">
        <v>2771</v>
      </c>
      <c r="G718">
        <v>144</v>
      </c>
      <c r="H718" t="s">
        <v>2976</v>
      </c>
      <c r="I718">
        <v>3</v>
      </c>
      <c r="K718" t="s">
        <v>1402</v>
      </c>
      <c r="M718">
        <v>455</v>
      </c>
      <c r="N718" t="s">
        <v>2976</v>
      </c>
      <c r="Q718">
        <f t="shared" si="33"/>
        <v>1.5234003968350445E-3</v>
      </c>
      <c r="R718" t="s">
        <v>3267</v>
      </c>
      <c r="W718">
        <v>0.87</v>
      </c>
      <c r="X718" t="s">
        <v>3268</v>
      </c>
      <c r="Y718" t="s">
        <v>7</v>
      </c>
      <c r="Z718" t="s">
        <v>4</v>
      </c>
    </row>
    <row r="719" spans="1:26">
      <c r="B719" t="s">
        <v>3176</v>
      </c>
      <c r="C719" t="s">
        <v>1527</v>
      </c>
      <c r="D719" t="s">
        <v>2359</v>
      </c>
      <c r="E719" t="s">
        <v>2777</v>
      </c>
      <c r="F719" t="s">
        <v>2771</v>
      </c>
      <c r="G719">
        <v>144</v>
      </c>
      <c r="H719" t="s">
        <v>2976</v>
      </c>
      <c r="I719">
        <v>3</v>
      </c>
      <c r="K719" t="s">
        <v>1402</v>
      </c>
      <c r="M719">
        <v>1363</v>
      </c>
      <c r="N719" t="s">
        <v>2976</v>
      </c>
      <c r="Q719">
        <f t="shared" si="33"/>
        <v>5.0854525352894003E-4</v>
      </c>
      <c r="R719" t="s">
        <v>3267</v>
      </c>
      <c r="W719">
        <v>0.4</v>
      </c>
      <c r="X719" t="s">
        <v>3268</v>
      </c>
      <c r="Y719" t="s">
        <v>7</v>
      </c>
      <c r="Z719" t="s">
        <v>4</v>
      </c>
    </row>
    <row r="720" spans="1:26">
      <c r="B720" t="s">
        <v>3176</v>
      </c>
      <c r="C720" t="s">
        <v>1527</v>
      </c>
      <c r="D720" t="s">
        <v>2362</v>
      </c>
      <c r="E720" t="s">
        <v>2777</v>
      </c>
      <c r="F720" t="s">
        <v>2771</v>
      </c>
      <c r="G720">
        <v>144</v>
      </c>
      <c r="H720" t="s">
        <v>2976</v>
      </c>
      <c r="I720">
        <v>3</v>
      </c>
      <c r="K720" t="s">
        <v>1402</v>
      </c>
      <c r="M720">
        <v>680</v>
      </c>
      <c r="N720" t="s">
        <v>2976</v>
      </c>
      <c r="Q720">
        <f t="shared" si="33"/>
        <v>1.019334089058743E-3</v>
      </c>
      <c r="R720" t="s">
        <v>3267</v>
      </c>
      <c r="W720">
        <v>0.45</v>
      </c>
      <c r="X720" t="s">
        <v>3268</v>
      </c>
      <c r="Y720" t="s">
        <v>7</v>
      </c>
      <c r="Z720" t="s">
        <v>4</v>
      </c>
    </row>
    <row r="721" spans="1:26">
      <c r="B721" t="s">
        <v>3176</v>
      </c>
      <c r="C721" t="s">
        <v>1529</v>
      </c>
      <c r="D721" t="s">
        <v>2358</v>
      </c>
      <c r="E721" t="s">
        <v>2721</v>
      </c>
      <c r="F721" t="s">
        <v>2713</v>
      </c>
      <c r="G721">
        <v>144</v>
      </c>
      <c r="H721" t="s">
        <v>2976</v>
      </c>
      <c r="I721">
        <v>3</v>
      </c>
      <c r="K721" t="s">
        <v>1402</v>
      </c>
      <c r="M721">
        <v>16</v>
      </c>
      <c r="N721" t="s">
        <v>2976</v>
      </c>
      <c r="Q721">
        <f t="shared" si="33"/>
        <v>4.332169878499658E-2</v>
      </c>
      <c r="R721" t="s">
        <v>3267</v>
      </c>
      <c r="W721">
        <v>0.98</v>
      </c>
      <c r="X721" t="s">
        <v>3268</v>
      </c>
      <c r="Y721" t="s">
        <v>7</v>
      </c>
      <c r="Z721" t="s">
        <v>4</v>
      </c>
    </row>
    <row r="722" spans="1:26">
      <c r="B722" t="s">
        <v>3176</v>
      </c>
      <c r="C722" t="s">
        <v>1529</v>
      </c>
      <c r="D722" t="s">
        <v>2359</v>
      </c>
      <c r="E722" t="s">
        <v>2721</v>
      </c>
      <c r="F722" t="s">
        <v>2713</v>
      </c>
      <c r="G722">
        <v>144</v>
      </c>
      <c r="H722" t="s">
        <v>2976</v>
      </c>
      <c r="I722">
        <v>3</v>
      </c>
      <c r="K722" t="s">
        <v>1402</v>
      </c>
      <c r="M722">
        <v>22</v>
      </c>
      <c r="N722" t="s">
        <v>2976</v>
      </c>
      <c r="Q722">
        <f t="shared" si="33"/>
        <v>3.1506690025452061E-2</v>
      </c>
      <c r="R722" t="s">
        <v>3267</v>
      </c>
      <c r="W722">
        <v>0.98</v>
      </c>
      <c r="X722" t="s">
        <v>3268</v>
      </c>
      <c r="Y722" t="s">
        <v>7</v>
      </c>
      <c r="Z722" t="s">
        <v>4</v>
      </c>
    </row>
    <row r="723" spans="1:26">
      <c r="B723" t="s">
        <v>3176</v>
      </c>
      <c r="C723" t="s">
        <v>1529</v>
      </c>
      <c r="D723" t="s">
        <v>2362</v>
      </c>
      <c r="E723" t="s">
        <v>2721</v>
      </c>
      <c r="F723" t="s">
        <v>2713</v>
      </c>
      <c r="G723">
        <v>144</v>
      </c>
      <c r="H723" t="s">
        <v>2976</v>
      </c>
      <c r="I723">
        <v>3</v>
      </c>
      <c r="K723" t="s">
        <v>1402</v>
      </c>
      <c r="M723">
        <v>21</v>
      </c>
      <c r="N723" t="s">
        <v>2976</v>
      </c>
      <c r="Q723">
        <f t="shared" si="33"/>
        <v>3.3007008598092635E-2</v>
      </c>
      <c r="R723" t="s">
        <v>3267</v>
      </c>
      <c r="W723">
        <v>0.98</v>
      </c>
      <c r="X723" t="s">
        <v>3268</v>
      </c>
      <c r="Y723" t="s">
        <v>7</v>
      </c>
      <c r="Z723" t="s">
        <v>4</v>
      </c>
    </row>
    <row r="724" spans="1:26">
      <c r="B724" t="s">
        <v>3176</v>
      </c>
      <c r="C724" t="s">
        <v>1529</v>
      </c>
      <c r="D724" t="s">
        <v>2358</v>
      </c>
      <c r="E724" t="s">
        <v>2777</v>
      </c>
      <c r="F724" t="s">
        <v>2771</v>
      </c>
      <c r="G724">
        <v>144</v>
      </c>
      <c r="H724" t="s">
        <v>2976</v>
      </c>
      <c r="I724">
        <v>3</v>
      </c>
      <c r="K724" t="s">
        <v>1402</v>
      </c>
      <c r="M724">
        <v>366</v>
      </c>
      <c r="N724" t="s">
        <v>2976</v>
      </c>
      <c r="Q724">
        <f t="shared" si="33"/>
        <v>1.8938447556282659E-3</v>
      </c>
      <c r="R724" t="s">
        <v>3267</v>
      </c>
      <c r="W724">
        <v>0.63</v>
      </c>
      <c r="X724" t="s">
        <v>3268</v>
      </c>
      <c r="Y724" t="s">
        <v>7</v>
      </c>
      <c r="Z724" t="s">
        <v>4</v>
      </c>
    </row>
    <row r="725" spans="1:26">
      <c r="B725" t="s">
        <v>3176</v>
      </c>
      <c r="C725" t="s">
        <v>1529</v>
      </c>
      <c r="D725" t="s">
        <v>2359</v>
      </c>
      <c r="E725" t="s">
        <v>2777</v>
      </c>
      <c r="F725" t="s">
        <v>2771</v>
      </c>
      <c r="G725">
        <v>144</v>
      </c>
      <c r="H725" t="s">
        <v>2976</v>
      </c>
      <c r="I725">
        <v>3</v>
      </c>
      <c r="K725" t="s">
        <v>1402</v>
      </c>
      <c r="M725">
        <v>195</v>
      </c>
      <c r="N725" t="s">
        <v>2976</v>
      </c>
      <c r="Q725">
        <f t="shared" si="33"/>
        <v>3.5546009259484375E-3</v>
      </c>
      <c r="R725" t="s">
        <v>3267</v>
      </c>
      <c r="W725">
        <v>0.52</v>
      </c>
      <c r="X725" t="s">
        <v>3268</v>
      </c>
      <c r="Y725" t="s">
        <v>7</v>
      </c>
      <c r="Z725" t="s">
        <v>4</v>
      </c>
    </row>
    <row r="726" spans="1:26">
      <c r="B726" t="s">
        <v>3176</v>
      </c>
      <c r="C726" t="s">
        <v>1529</v>
      </c>
      <c r="D726" t="s">
        <v>2362</v>
      </c>
      <c r="E726" t="s">
        <v>2777</v>
      </c>
      <c r="F726" t="s">
        <v>2771</v>
      </c>
      <c r="G726">
        <v>144</v>
      </c>
      <c r="H726" t="s">
        <v>2976</v>
      </c>
      <c r="I726">
        <v>3</v>
      </c>
      <c r="K726" t="s">
        <v>1402</v>
      </c>
      <c r="M726">
        <v>180</v>
      </c>
      <c r="N726" t="s">
        <v>2976</v>
      </c>
      <c r="Q726">
        <f t="shared" si="33"/>
        <v>3.8508176697774738E-3</v>
      </c>
      <c r="R726" t="s">
        <v>3267</v>
      </c>
      <c r="W726">
        <v>0.43</v>
      </c>
      <c r="X726" t="s">
        <v>3268</v>
      </c>
      <c r="Y726" t="s">
        <v>7</v>
      </c>
      <c r="Z726" t="s">
        <v>4</v>
      </c>
    </row>
    <row r="727" spans="1:26">
      <c r="A727" t="s">
        <v>508</v>
      </c>
      <c r="B727" t="s">
        <v>3177</v>
      </c>
      <c r="C727" t="s">
        <v>1531</v>
      </c>
      <c r="D727" t="s">
        <v>2372</v>
      </c>
      <c r="E727" t="s">
        <v>2618</v>
      </c>
      <c r="F727" t="s">
        <v>2607</v>
      </c>
      <c r="G727">
        <v>56</v>
      </c>
      <c r="H727" t="s">
        <v>2976</v>
      </c>
      <c r="I727">
        <v>5</v>
      </c>
      <c r="J727">
        <v>0.32</v>
      </c>
      <c r="K727" t="s">
        <v>1177</v>
      </c>
      <c r="L727">
        <f>(I727-J727)*100/I727</f>
        <v>93.6</v>
      </c>
    </row>
    <row r="728" spans="1:26">
      <c r="B728" t="s">
        <v>3177</v>
      </c>
      <c r="C728" t="s">
        <v>1531</v>
      </c>
      <c r="D728" t="s">
        <v>2373</v>
      </c>
      <c r="E728" t="s">
        <v>2618</v>
      </c>
      <c r="F728" t="s">
        <v>2607</v>
      </c>
      <c r="G728">
        <v>56</v>
      </c>
      <c r="H728" t="s">
        <v>2976</v>
      </c>
      <c r="I728">
        <v>5</v>
      </c>
      <c r="J728">
        <v>2.5</v>
      </c>
      <c r="K728" t="s">
        <v>1177</v>
      </c>
      <c r="L728">
        <f>(I728-J728)*100/I728</f>
        <v>50</v>
      </c>
    </row>
    <row r="729" spans="1:26">
      <c r="B729" t="s">
        <v>3177</v>
      </c>
      <c r="C729" t="s">
        <v>1531</v>
      </c>
      <c r="D729" t="s">
        <v>2376</v>
      </c>
      <c r="E729" t="s">
        <v>2618</v>
      </c>
      <c r="F729" t="s">
        <v>2607</v>
      </c>
      <c r="G729">
        <v>56</v>
      </c>
      <c r="H729" t="s">
        <v>2976</v>
      </c>
      <c r="I729">
        <v>5</v>
      </c>
      <c r="J729">
        <v>1.04</v>
      </c>
      <c r="K729" t="s">
        <v>1177</v>
      </c>
      <c r="L729">
        <f>(I729-J729)*100/I729</f>
        <v>79.2</v>
      </c>
    </row>
    <row r="730" spans="1:26">
      <c r="A730" t="s">
        <v>504</v>
      </c>
      <c r="B730" t="s">
        <v>3180</v>
      </c>
      <c r="C730" t="s">
        <v>1535</v>
      </c>
      <c r="D730" t="s">
        <v>2378</v>
      </c>
      <c r="E730" t="s">
        <v>2538</v>
      </c>
      <c r="F730" t="s">
        <v>2539</v>
      </c>
      <c r="G730">
        <v>42</v>
      </c>
      <c r="H730" t="s">
        <v>2976</v>
      </c>
      <c r="I730">
        <v>50</v>
      </c>
      <c r="K730" t="s">
        <v>1108</v>
      </c>
      <c r="M730">
        <v>6.3</v>
      </c>
      <c r="N730" t="s">
        <v>2976</v>
      </c>
      <c r="Q730">
        <f t="shared" ref="Q730:Q740" si="34">LN(2)/M730</f>
        <v>0.11002336199364211</v>
      </c>
      <c r="R730" t="s">
        <v>3267</v>
      </c>
      <c r="W730">
        <v>0.96</v>
      </c>
      <c r="X730" t="s">
        <v>3268</v>
      </c>
      <c r="Y730" t="s">
        <v>7</v>
      </c>
      <c r="Z730" t="s">
        <v>4</v>
      </c>
    </row>
    <row r="731" spans="1:26">
      <c r="B731" t="s">
        <v>3180</v>
      </c>
      <c r="C731" t="s">
        <v>1535</v>
      </c>
      <c r="D731" t="s">
        <v>2379</v>
      </c>
      <c r="E731" t="s">
        <v>2538</v>
      </c>
      <c r="F731" t="s">
        <v>2539</v>
      </c>
      <c r="G731">
        <v>42</v>
      </c>
      <c r="H731" t="s">
        <v>2976</v>
      </c>
      <c r="I731">
        <v>50</v>
      </c>
      <c r="K731" t="s">
        <v>1108</v>
      </c>
      <c r="M731">
        <v>6.3</v>
      </c>
      <c r="N731" t="s">
        <v>2976</v>
      </c>
      <c r="Q731">
        <f t="shared" si="34"/>
        <v>0.11002336199364211</v>
      </c>
      <c r="R731" t="s">
        <v>3267</v>
      </c>
      <c r="W731">
        <v>0.99</v>
      </c>
      <c r="X731" t="s">
        <v>3268</v>
      </c>
      <c r="Y731" t="s">
        <v>7</v>
      </c>
      <c r="Z731" t="s">
        <v>4</v>
      </c>
    </row>
    <row r="732" spans="1:26">
      <c r="B732" t="s">
        <v>3180</v>
      </c>
      <c r="C732" t="s">
        <v>1535</v>
      </c>
      <c r="D732" t="s">
        <v>2381</v>
      </c>
      <c r="E732" t="s">
        <v>2538</v>
      </c>
      <c r="F732" t="s">
        <v>2539</v>
      </c>
      <c r="G732">
        <v>42</v>
      </c>
      <c r="H732" t="s">
        <v>2976</v>
      </c>
      <c r="I732">
        <v>50</v>
      </c>
      <c r="K732" t="s">
        <v>1108</v>
      </c>
      <c r="M732">
        <v>5</v>
      </c>
      <c r="N732" t="s">
        <v>2976</v>
      </c>
      <c r="Q732">
        <f t="shared" si="34"/>
        <v>0.13862943611198905</v>
      </c>
      <c r="R732" t="s">
        <v>3267</v>
      </c>
      <c r="W732">
        <v>0.99</v>
      </c>
      <c r="X732" t="s">
        <v>3268</v>
      </c>
      <c r="Y732" t="s">
        <v>7</v>
      </c>
      <c r="Z732" t="s">
        <v>4</v>
      </c>
    </row>
    <row r="733" spans="1:26">
      <c r="B733" t="s">
        <v>3180</v>
      </c>
      <c r="C733" t="s">
        <v>1535</v>
      </c>
      <c r="D733" t="s">
        <v>2384</v>
      </c>
      <c r="E733" t="s">
        <v>2538</v>
      </c>
      <c r="F733" t="s">
        <v>2539</v>
      </c>
      <c r="G733">
        <v>42</v>
      </c>
      <c r="H733" t="s">
        <v>2976</v>
      </c>
      <c r="I733">
        <v>50</v>
      </c>
      <c r="K733" t="s">
        <v>1108</v>
      </c>
      <c r="M733">
        <v>3</v>
      </c>
      <c r="N733" t="s">
        <v>2976</v>
      </c>
      <c r="Q733">
        <f t="shared" si="34"/>
        <v>0.23104906018664842</v>
      </c>
      <c r="R733" t="s">
        <v>3267</v>
      </c>
      <c r="W733">
        <v>1</v>
      </c>
      <c r="X733" t="s">
        <v>3268</v>
      </c>
      <c r="Y733" t="s">
        <v>7</v>
      </c>
      <c r="Z733" t="s">
        <v>4</v>
      </c>
    </row>
    <row r="734" spans="1:26">
      <c r="B734" t="s">
        <v>3180</v>
      </c>
      <c r="C734" t="s">
        <v>1535</v>
      </c>
      <c r="D734" t="s">
        <v>2386</v>
      </c>
      <c r="E734" t="s">
        <v>2538</v>
      </c>
      <c r="F734" t="s">
        <v>2539</v>
      </c>
      <c r="G734">
        <v>42</v>
      </c>
      <c r="H734" t="s">
        <v>2976</v>
      </c>
      <c r="I734">
        <v>50</v>
      </c>
      <c r="K734" t="s">
        <v>1108</v>
      </c>
      <c r="M734">
        <v>1.8</v>
      </c>
      <c r="N734" t="s">
        <v>2976</v>
      </c>
      <c r="Q734">
        <f t="shared" si="34"/>
        <v>0.38508176697774738</v>
      </c>
      <c r="R734" t="s">
        <v>3267</v>
      </c>
      <c r="W734">
        <v>0.99</v>
      </c>
      <c r="X734" t="s">
        <v>3268</v>
      </c>
      <c r="Y734" t="s">
        <v>7</v>
      </c>
      <c r="Z734" t="s">
        <v>4</v>
      </c>
    </row>
    <row r="735" spans="1:26">
      <c r="B735" t="s">
        <v>3180</v>
      </c>
      <c r="C735" t="s">
        <v>1535</v>
      </c>
      <c r="D735" t="s">
        <v>2378</v>
      </c>
      <c r="E735" t="s">
        <v>2534</v>
      </c>
      <c r="F735" t="s">
        <v>2535</v>
      </c>
      <c r="G735">
        <v>42</v>
      </c>
      <c r="H735" t="s">
        <v>2976</v>
      </c>
      <c r="I735">
        <v>50</v>
      </c>
      <c r="K735" t="s">
        <v>1108</v>
      </c>
      <c r="M735">
        <v>6.3</v>
      </c>
      <c r="N735" t="s">
        <v>2976</v>
      </c>
      <c r="Q735">
        <f t="shared" si="34"/>
        <v>0.11002336199364211</v>
      </c>
      <c r="R735" t="s">
        <v>3267</v>
      </c>
      <c r="W735">
        <v>0.97</v>
      </c>
      <c r="X735" t="s">
        <v>3268</v>
      </c>
      <c r="Y735" t="s">
        <v>7</v>
      </c>
      <c r="Z735" t="s">
        <v>4</v>
      </c>
    </row>
    <row r="736" spans="1:26">
      <c r="B736" t="s">
        <v>3180</v>
      </c>
      <c r="C736" t="s">
        <v>1535</v>
      </c>
      <c r="D736" t="s">
        <v>2379</v>
      </c>
      <c r="E736" t="s">
        <v>2534</v>
      </c>
      <c r="F736" t="s">
        <v>2535</v>
      </c>
      <c r="G736">
        <v>42</v>
      </c>
      <c r="H736" t="s">
        <v>2976</v>
      </c>
      <c r="I736">
        <v>50</v>
      </c>
      <c r="K736" t="s">
        <v>1108</v>
      </c>
      <c r="M736">
        <v>7.7</v>
      </c>
      <c r="N736" t="s">
        <v>2976</v>
      </c>
      <c r="Q736">
        <f t="shared" si="34"/>
        <v>9.0019114358434446E-2</v>
      </c>
      <c r="R736" t="s">
        <v>3267</v>
      </c>
      <c r="W736">
        <v>0.99</v>
      </c>
      <c r="X736" t="s">
        <v>3268</v>
      </c>
      <c r="Y736" t="s">
        <v>7</v>
      </c>
      <c r="Z736" t="s">
        <v>4</v>
      </c>
    </row>
    <row r="737" spans="1:26">
      <c r="B737" t="s">
        <v>3180</v>
      </c>
      <c r="C737" t="s">
        <v>1535</v>
      </c>
      <c r="D737" t="s">
        <v>2381</v>
      </c>
      <c r="E737" t="s">
        <v>2534</v>
      </c>
      <c r="F737" t="s">
        <v>2535</v>
      </c>
      <c r="G737">
        <v>42</v>
      </c>
      <c r="H737" t="s">
        <v>2976</v>
      </c>
      <c r="I737">
        <v>50</v>
      </c>
      <c r="K737" t="s">
        <v>1108</v>
      </c>
      <c r="M737">
        <v>5.8</v>
      </c>
      <c r="N737" t="s">
        <v>2976</v>
      </c>
      <c r="Q737">
        <f t="shared" si="34"/>
        <v>0.11950813457930091</v>
      </c>
      <c r="R737" t="s">
        <v>3267</v>
      </c>
      <c r="W737">
        <v>0.99</v>
      </c>
      <c r="X737" t="s">
        <v>3268</v>
      </c>
      <c r="Y737" t="s">
        <v>7</v>
      </c>
      <c r="Z737" t="s">
        <v>4</v>
      </c>
    </row>
    <row r="738" spans="1:26">
      <c r="B738" t="s">
        <v>3180</v>
      </c>
      <c r="C738" t="s">
        <v>1535</v>
      </c>
      <c r="D738" t="s">
        <v>2384</v>
      </c>
      <c r="E738" t="s">
        <v>2534</v>
      </c>
      <c r="F738" t="s">
        <v>2535</v>
      </c>
      <c r="G738">
        <v>42</v>
      </c>
      <c r="H738" t="s">
        <v>2976</v>
      </c>
      <c r="I738">
        <v>50</v>
      </c>
      <c r="K738" t="s">
        <v>1108</v>
      </c>
      <c r="M738">
        <v>2.6</v>
      </c>
      <c r="N738" t="s">
        <v>2976</v>
      </c>
      <c r="Q738">
        <f t="shared" si="34"/>
        <v>0.26659506944613282</v>
      </c>
      <c r="R738" t="s">
        <v>3267</v>
      </c>
      <c r="W738">
        <v>0.98</v>
      </c>
      <c r="X738" t="s">
        <v>3268</v>
      </c>
      <c r="Y738" t="s">
        <v>7</v>
      </c>
      <c r="Z738" t="s">
        <v>4</v>
      </c>
    </row>
    <row r="739" spans="1:26">
      <c r="B739" t="s">
        <v>3180</v>
      </c>
      <c r="C739" t="s">
        <v>1535</v>
      </c>
      <c r="D739" t="s">
        <v>2386</v>
      </c>
      <c r="E739" t="s">
        <v>2534</v>
      </c>
      <c r="F739" t="s">
        <v>2535</v>
      </c>
      <c r="G739">
        <v>42</v>
      </c>
      <c r="H739" t="s">
        <v>2976</v>
      </c>
      <c r="I739">
        <v>50</v>
      </c>
      <c r="K739" t="s">
        <v>1108</v>
      </c>
      <c r="M739">
        <v>1.9</v>
      </c>
      <c r="N739" t="s">
        <v>2976</v>
      </c>
      <c r="Q739">
        <f t="shared" si="34"/>
        <v>0.36481430555786598</v>
      </c>
      <c r="R739" t="s">
        <v>3267</v>
      </c>
      <c r="W739">
        <v>0.99</v>
      </c>
      <c r="X739" t="s">
        <v>3268</v>
      </c>
      <c r="Y739" t="s">
        <v>7</v>
      </c>
      <c r="Z739" t="s">
        <v>4</v>
      </c>
    </row>
    <row r="740" spans="1:26">
      <c r="A740" t="s">
        <v>370</v>
      </c>
      <c r="B740" t="s">
        <v>3183</v>
      </c>
      <c r="C740" t="s">
        <v>1525</v>
      </c>
      <c r="D740" t="s">
        <v>2365</v>
      </c>
      <c r="E740" t="s">
        <v>2660</v>
      </c>
      <c r="F740" t="s">
        <v>2661</v>
      </c>
      <c r="G740">
        <v>42</v>
      </c>
      <c r="H740" t="s">
        <v>2976</v>
      </c>
      <c r="I740">
        <v>5</v>
      </c>
      <c r="K740" t="s">
        <v>1108</v>
      </c>
      <c r="M740">
        <v>7</v>
      </c>
      <c r="N740" t="s">
        <v>2976</v>
      </c>
      <c r="Q740">
        <f t="shared" si="34"/>
        <v>9.9021025794277892E-2</v>
      </c>
      <c r="R740" t="s">
        <v>3267</v>
      </c>
      <c r="W740" t="s">
        <v>3305</v>
      </c>
      <c r="Y740" t="s">
        <v>7</v>
      </c>
      <c r="Z740" t="s">
        <v>4</v>
      </c>
    </row>
    <row r="741" spans="1:26">
      <c r="B741" t="s">
        <v>3183</v>
      </c>
      <c r="C741" t="s">
        <v>1525</v>
      </c>
      <c r="D741" t="s">
        <v>2367</v>
      </c>
      <c r="E741" t="s">
        <v>2660</v>
      </c>
      <c r="F741" t="s">
        <v>2661</v>
      </c>
      <c r="G741">
        <v>42</v>
      </c>
      <c r="H741" t="s">
        <v>2976</v>
      </c>
      <c r="I741">
        <v>5</v>
      </c>
      <c r="K741" t="s">
        <v>1108</v>
      </c>
      <c r="M741">
        <v>4.5999999999999996</v>
      </c>
      <c r="N741" t="s">
        <v>2976</v>
      </c>
      <c r="Q741">
        <f t="shared" ref="Q741:Q775" si="35">LN(2)/M741</f>
        <v>0.15068416968694465</v>
      </c>
      <c r="R741" t="s">
        <v>3267</v>
      </c>
      <c r="W741" t="s">
        <v>3306</v>
      </c>
      <c r="Y741" t="s">
        <v>7</v>
      </c>
      <c r="Z741" t="s">
        <v>4</v>
      </c>
    </row>
    <row r="742" spans="1:26">
      <c r="B742" t="s">
        <v>3183</v>
      </c>
      <c r="C742" t="s">
        <v>1525</v>
      </c>
      <c r="D742" t="s">
        <v>2370</v>
      </c>
      <c r="E742" t="s">
        <v>2660</v>
      </c>
      <c r="F742" t="s">
        <v>2661</v>
      </c>
      <c r="G742">
        <v>42</v>
      </c>
      <c r="H742" t="s">
        <v>2976</v>
      </c>
      <c r="I742">
        <v>5</v>
      </c>
      <c r="K742" t="s">
        <v>1108</v>
      </c>
      <c r="M742">
        <v>4</v>
      </c>
      <c r="N742" t="s">
        <v>2976</v>
      </c>
      <c r="Q742">
        <f t="shared" si="35"/>
        <v>0.17328679513998632</v>
      </c>
      <c r="R742" t="s">
        <v>3267</v>
      </c>
      <c r="W742" t="s">
        <v>3306</v>
      </c>
      <c r="Y742" t="s">
        <v>7</v>
      </c>
      <c r="Z742" t="s">
        <v>4</v>
      </c>
    </row>
    <row r="743" spans="1:26">
      <c r="B743" t="s">
        <v>3183</v>
      </c>
      <c r="C743" t="s">
        <v>1525</v>
      </c>
      <c r="D743" t="s">
        <v>2371</v>
      </c>
      <c r="E743" t="s">
        <v>2660</v>
      </c>
      <c r="F743" t="s">
        <v>2661</v>
      </c>
      <c r="G743">
        <v>42</v>
      </c>
      <c r="H743" t="s">
        <v>2976</v>
      </c>
      <c r="I743">
        <v>5</v>
      </c>
      <c r="K743" t="s">
        <v>1108</v>
      </c>
      <c r="M743">
        <v>3.1</v>
      </c>
      <c r="N743" t="s">
        <v>2976</v>
      </c>
      <c r="Q743">
        <f t="shared" si="35"/>
        <v>0.22359586469675655</v>
      </c>
      <c r="R743" t="s">
        <v>3267</v>
      </c>
      <c r="W743" t="s">
        <v>3305</v>
      </c>
      <c r="Y743" t="s">
        <v>7</v>
      </c>
      <c r="Z743" t="s">
        <v>4</v>
      </c>
    </row>
    <row r="744" spans="1:26">
      <c r="B744" t="s">
        <v>3183</v>
      </c>
      <c r="C744" t="s">
        <v>1525</v>
      </c>
      <c r="D744" t="s">
        <v>2365</v>
      </c>
      <c r="E744" t="s">
        <v>2873</v>
      </c>
      <c r="F744" t="s">
        <v>2874</v>
      </c>
      <c r="G744">
        <v>42</v>
      </c>
      <c r="H744" t="s">
        <v>2976</v>
      </c>
      <c r="I744">
        <v>5</v>
      </c>
      <c r="K744" t="s">
        <v>1108</v>
      </c>
      <c r="M744">
        <v>4.8</v>
      </c>
      <c r="N744" t="s">
        <v>2976</v>
      </c>
      <c r="Q744">
        <f t="shared" si="35"/>
        <v>0.14440566261665527</v>
      </c>
      <c r="R744" t="s">
        <v>3267</v>
      </c>
      <c r="W744" t="s">
        <v>3307</v>
      </c>
      <c r="Y744" t="s">
        <v>7</v>
      </c>
      <c r="Z744" t="s">
        <v>4</v>
      </c>
    </row>
    <row r="745" spans="1:26">
      <c r="B745" t="s">
        <v>3183</v>
      </c>
      <c r="C745" t="s">
        <v>1525</v>
      </c>
      <c r="D745" t="s">
        <v>2367</v>
      </c>
      <c r="E745" t="s">
        <v>2873</v>
      </c>
      <c r="F745" t="s">
        <v>2874</v>
      </c>
      <c r="G745">
        <v>42</v>
      </c>
      <c r="H745" t="s">
        <v>2976</v>
      </c>
      <c r="I745">
        <v>5</v>
      </c>
      <c r="K745" t="s">
        <v>1108</v>
      </c>
      <c r="M745">
        <v>3.9</v>
      </c>
      <c r="N745" t="s">
        <v>2976</v>
      </c>
      <c r="Q745">
        <f t="shared" si="35"/>
        <v>0.17773004629742187</v>
      </c>
      <c r="R745" t="s">
        <v>3267</v>
      </c>
      <c r="W745" t="s">
        <v>3308</v>
      </c>
      <c r="Y745" t="s">
        <v>7</v>
      </c>
      <c r="Z745" t="s">
        <v>4</v>
      </c>
    </row>
    <row r="746" spans="1:26">
      <c r="B746" t="s">
        <v>3183</v>
      </c>
      <c r="C746" t="s">
        <v>1525</v>
      </c>
      <c r="D746" t="s">
        <v>2370</v>
      </c>
      <c r="E746" t="s">
        <v>2873</v>
      </c>
      <c r="F746" t="s">
        <v>2874</v>
      </c>
      <c r="G746">
        <v>42</v>
      </c>
      <c r="H746" t="s">
        <v>2976</v>
      </c>
      <c r="I746">
        <v>5</v>
      </c>
      <c r="K746" t="s">
        <v>1108</v>
      </c>
      <c r="M746">
        <v>3</v>
      </c>
      <c r="N746" t="s">
        <v>2976</v>
      </c>
      <c r="Q746">
        <f t="shared" si="35"/>
        <v>0.23104906018664842</v>
      </c>
      <c r="R746" t="s">
        <v>3267</v>
      </c>
      <c r="W746" t="s">
        <v>3306</v>
      </c>
      <c r="Y746" t="s">
        <v>7</v>
      </c>
      <c r="Z746" t="s">
        <v>4</v>
      </c>
    </row>
    <row r="747" spans="1:26">
      <c r="B747" t="s">
        <v>3183</v>
      </c>
      <c r="C747" t="s">
        <v>1525</v>
      </c>
      <c r="D747" t="s">
        <v>2371</v>
      </c>
      <c r="E747" t="s">
        <v>2873</v>
      </c>
      <c r="F747" t="s">
        <v>2874</v>
      </c>
      <c r="G747">
        <v>42</v>
      </c>
      <c r="H747" t="s">
        <v>2976</v>
      </c>
      <c r="I747">
        <v>5</v>
      </c>
      <c r="K747" t="s">
        <v>1108</v>
      </c>
      <c r="M747">
        <v>3.1</v>
      </c>
      <c r="N747" t="s">
        <v>2976</v>
      </c>
      <c r="Q747">
        <f t="shared" si="35"/>
        <v>0.22359586469675655</v>
      </c>
      <c r="R747" t="s">
        <v>3267</v>
      </c>
      <c r="W747" t="s">
        <v>3307</v>
      </c>
      <c r="Y747" t="s">
        <v>7</v>
      </c>
      <c r="Z747" t="s">
        <v>4</v>
      </c>
    </row>
    <row r="748" spans="1:26">
      <c r="B748" t="s">
        <v>3183</v>
      </c>
      <c r="C748" t="s">
        <v>1525</v>
      </c>
      <c r="D748" t="s">
        <v>2365</v>
      </c>
      <c r="E748" t="s">
        <v>2594</v>
      </c>
      <c r="F748" t="s">
        <v>2595</v>
      </c>
      <c r="G748">
        <v>42</v>
      </c>
      <c r="H748" t="s">
        <v>2976</v>
      </c>
      <c r="I748">
        <v>5</v>
      </c>
      <c r="K748" t="s">
        <v>1108</v>
      </c>
      <c r="M748">
        <v>4.7</v>
      </c>
      <c r="N748" t="s">
        <v>2976</v>
      </c>
      <c r="Q748">
        <f t="shared" si="35"/>
        <v>0.1474781235233926</v>
      </c>
      <c r="R748" t="s">
        <v>3267</v>
      </c>
      <c r="W748" t="s">
        <v>3308</v>
      </c>
      <c r="Y748" t="s">
        <v>7</v>
      </c>
      <c r="Z748" t="s">
        <v>4</v>
      </c>
    </row>
    <row r="749" spans="1:26">
      <c r="B749" t="s">
        <v>3183</v>
      </c>
      <c r="C749" t="s">
        <v>1525</v>
      </c>
      <c r="D749" t="s">
        <v>2367</v>
      </c>
      <c r="E749" t="s">
        <v>2594</v>
      </c>
      <c r="F749" t="s">
        <v>2595</v>
      </c>
      <c r="G749">
        <v>42</v>
      </c>
      <c r="H749" t="s">
        <v>2976</v>
      </c>
      <c r="I749">
        <v>5</v>
      </c>
      <c r="K749" t="s">
        <v>1108</v>
      </c>
      <c r="M749">
        <v>4.0999999999999996</v>
      </c>
      <c r="N749" t="s">
        <v>2976</v>
      </c>
      <c r="Q749">
        <f t="shared" si="35"/>
        <v>0.16906028794145009</v>
      </c>
      <c r="R749" t="s">
        <v>3267</v>
      </c>
      <c r="W749" t="s">
        <v>3309</v>
      </c>
      <c r="Y749" t="s">
        <v>7</v>
      </c>
      <c r="Z749" t="s">
        <v>4</v>
      </c>
    </row>
    <row r="750" spans="1:26">
      <c r="B750" t="s">
        <v>3183</v>
      </c>
      <c r="C750" t="s">
        <v>1525</v>
      </c>
      <c r="D750" t="s">
        <v>2370</v>
      </c>
      <c r="E750" t="s">
        <v>2594</v>
      </c>
      <c r="F750" t="s">
        <v>2595</v>
      </c>
      <c r="G750">
        <v>42</v>
      </c>
      <c r="H750" t="s">
        <v>2976</v>
      </c>
      <c r="I750">
        <v>5</v>
      </c>
      <c r="K750" t="s">
        <v>1108</v>
      </c>
      <c r="M750">
        <v>3.8</v>
      </c>
      <c r="N750" t="s">
        <v>2976</v>
      </c>
      <c r="Q750">
        <f t="shared" si="35"/>
        <v>0.18240715277893299</v>
      </c>
      <c r="R750" t="s">
        <v>3267</v>
      </c>
      <c r="W750" t="s">
        <v>3307</v>
      </c>
      <c r="Y750" t="s">
        <v>7</v>
      </c>
      <c r="Z750" t="s">
        <v>4</v>
      </c>
    </row>
    <row r="751" spans="1:26">
      <c r="B751" t="s">
        <v>3183</v>
      </c>
      <c r="C751" t="s">
        <v>1525</v>
      </c>
      <c r="D751" t="s">
        <v>2371</v>
      </c>
      <c r="E751" t="s">
        <v>2594</v>
      </c>
      <c r="F751" t="s">
        <v>2595</v>
      </c>
      <c r="G751">
        <v>42</v>
      </c>
      <c r="H751" t="s">
        <v>2976</v>
      </c>
      <c r="I751">
        <v>5</v>
      </c>
      <c r="K751" t="s">
        <v>1108</v>
      </c>
      <c r="M751">
        <v>2.8</v>
      </c>
      <c r="N751" t="s">
        <v>2976</v>
      </c>
      <c r="Q751">
        <f t="shared" si="35"/>
        <v>0.24755256448569476</v>
      </c>
      <c r="R751" t="s">
        <v>3267</v>
      </c>
      <c r="W751" t="s">
        <v>3308</v>
      </c>
      <c r="Y751" t="s">
        <v>7</v>
      </c>
      <c r="Z751" t="s">
        <v>4</v>
      </c>
    </row>
    <row r="752" spans="1:26">
      <c r="B752" t="s">
        <v>3183</v>
      </c>
      <c r="C752" t="s">
        <v>1525</v>
      </c>
      <c r="D752" t="s">
        <v>2365</v>
      </c>
      <c r="E752" t="s">
        <v>2603</v>
      </c>
      <c r="F752" t="s">
        <v>2604</v>
      </c>
      <c r="G752">
        <v>42</v>
      </c>
      <c r="H752" t="s">
        <v>2976</v>
      </c>
      <c r="I752">
        <v>5</v>
      </c>
      <c r="K752" t="s">
        <v>1108</v>
      </c>
      <c r="M752">
        <v>12.4</v>
      </c>
      <c r="N752" t="s">
        <v>2976</v>
      </c>
      <c r="Q752">
        <f t="shared" si="35"/>
        <v>5.5898966174189137E-2</v>
      </c>
      <c r="R752" t="s">
        <v>3267</v>
      </c>
      <c r="W752" t="s">
        <v>3308</v>
      </c>
      <c r="Y752" t="s">
        <v>7</v>
      </c>
      <c r="Z752" t="s">
        <v>4</v>
      </c>
    </row>
    <row r="753" spans="2:26">
      <c r="B753" t="s">
        <v>3183</v>
      </c>
      <c r="C753" t="s">
        <v>1525</v>
      </c>
      <c r="D753" t="s">
        <v>2367</v>
      </c>
      <c r="E753" t="s">
        <v>2603</v>
      </c>
      <c r="F753" t="s">
        <v>2604</v>
      </c>
      <c r="G753">
        <v>42</v>
      </c>
      <c r="H753" t="s">
        <v>2976</v>
      </c>
      <c r="I753">
        <v>5</v>
      </c>
      <c r="K753" t="s">
        <v>1108</v>
      </c>
      <c r="M753">
        <v>13.3</v>
      </c>
      <c r="N753" t="s">
        <v>2976</v>
      </c>
      <c r="Q753">
        <f t="shared" si="35"/>
        <v>5.2116329365409414E-2</v>
      </c>
      <c r="R753" t="s">
        <v>3267</v>
      </c>
      <c r="W753" t="s">
        <v>3306</v>
      </c>
      <c r="Y753" t="s">
        <v>7</v>
      </c>
      <c r="Z753" t="s">
        <v>4</v>
      </c>
    </row>
    <row r="754" spans="2:26">
      <c r="B754" t="s">
        <v>3183</v>
      </c>
      <c r="C754" t="s">
        <v>1525</v>
      </c>
      <c r="D754" t="s">
        <v>2370</v>
      </c>
      <c r="E754" t="s">
        <v>2603</v>
      </c>
      <c r="F754" t="s">
        <v>2604</v>
      </c>
      <c r="G754">
        <v>42</v>
      </c>
      <c r="H754" t="s">
        <v>2976</v>
      </c>
      <c r="I754">
        <v>5</v>
      </c>
      <c r="K754" t="s">
        <v>1108</v>
      </c>
      <c r="M754">
        <v>11.9</v>
      </c>
      <c r="N754" t="s">
        <v>2976</v>
      </c>
      <c r="Q754">
        <f t="shared" si="35"/>
        <v>5.8247662231928177E-2</v>
      </c>
      <c r="R754" t="s">
        <v>3267</v>
      </c>
      <c r="W754" t="s">
        <v>3310</v>
      </c>
      <c r="Y754" t="s">
        <v>7</v>
      </c>
      <c r="Z754" t="s">
        <v>4</v>
      </c>
    </row>
    <row r="755" spans="2:26">
      <c r="B755" t="s">
        <v>3183</v>
      </c>
      <c r="C755" t="s">
        <v>1525</v>
      </c>
      <c r="D755" t="s">
        <v>2371</v>
      </c>
      <c r="E755" t="s">
        <v>2603</v>
      </c>
      <c r="F755" t="s">
        <v>2604</v>
      </c>
      <c r="G755">
        <v>42</v>
      </c>
      <c r="H755" t="s">
        <v>2976</v>
      </c>
      <c r="I755">
        <v>5</v>
      </c>
      <c r="K755" t="s">
        <v>1108</v>
      </c>
      <c r="M755">
        <v>8.5</v>
      </c>
      <c r="N755" t="s">
        <v>2976</v>
      </c>
      <c r="Q755">
        <f t="shared" si="35"/>
        <v>8.1546727124699445E-2</v>
      </c>
      <c r="R755" t="s">
        <v>3267</v>
      </c>
      <c r="W755" t="s">
        <v>3307</v>
      </c>
      <c r="Y755" t="s">
        <v>7</v>
      </c>
      <c r="Z755" t="s">
        <v>4</v>
      </c>
    </row>
    <row r="756" spans="2:26">
      <c r="B756" t="s">
        <v>3183</v>
      </c>
      <c r="C756" t="s">
        <v>1525</v>
      </c>
      <c r="D756" t="s">
        <v>2365</v>
      </c>
      <c r="E756" t="s">
        <v>2876</v>
      </c>
      <c r="F756" t="s">
        <v>2877</v>
      </c>
      <c r="G756">
        <v>42</v>
      </c>
      <c r="H756" t="s">
        <v>2976</v>
      </c>
      <c r="I756">
        <v>5</v>
      </c>
      <c r="K756" t="s">
        <v>1108</v>
      </c>
      <c r="M756">
        <v>34.6</v>
      </c>
      <c r="N756" t="s">
        <v>2976</v>
      </c>
      <c r="Q756">
        <f t="shared" si="35"/>
        <v>2.0033155507512869E-2</v>
      </c>
      <c r="R756" t="s">
        <v>3267</v>
      </c>
      <c r="W756" t="s">
        <v>3311</v>
      </c>
      <c r="Y756" t="s">
        <v>7</v>
      </c>
      <c r="Z756" t="s">
        <v>4</v>
      </c>
    </row>
    <row r="757" spans="2:26">
      <c r="B757" t="s">
        <v>3183</v>
      </c>
      <c r="C757" t="s">
        <v>1525</v>
      </c>
      <c r="D757" t="s">
        <v>2367</v>
      </c>
      <c r="E757" t="s">
        <v>2876</v>
      </c>
      <c r="F757" t="s">
        <v>2877</v>
      </c>
      <c r="G757">
        <v>42</v>
      </c>
      <c r="H757" t="s">
        <v>2976</v>
      </c>
      <c r="I757">
        <v>5</v>
      </c>
      <c r="K757" t="s">
        <v>1108</v>
      </c>
      <c r="M757">
        <v>12.9</v>
      </c>
      <c r="N757" t="s">
        <v>2976</v>
      </c>
      <c r="Q757">
        <f t="shared" si="35"/>
        <v>5.3732339578290329E-2</v>
      </c>
      <c r="R757" t="s">
        <v>3267</v>
      </c>
      <c r="W757" t="s">
        <v>3307</v>
      </c>
      <c r="Y757" t="s">
        <v>7</v>
      </c>
      <c r="Z757" t="s">
        <v>4</v>
      </c>
    </row>
    <row r="758" spans="2:26">
      <c r="B758" t="s">
        <v>3183</v>
      </c>
      <c r="C758" t="s">
        <v>1525</v>
      </c>
      <c r="D758" t="s">
        <v>2370</v>
      </c>
      <c r="E758" t="s">
        <v>2876</v>
      </c>
      <c r="F758" t="s">
        <v>2877</v>
      </c>
      <c r="G758">
        <v>42</v>
      </c>
      <c r="H758" t="s">
        <v>2976</v>
      </c>
      <c r="I758">
        <v>5</v>
      </c>
      <c r="K758" t="s">
        <v>1108</v>
      </c>
      <c r="M758">
        <v>7.4</v>
      </c>
      <c r="N758" t="s">
        <v>2976</v>
      </c>
      <c r="Q758">
        <f t="shared" si="35"/>
        <v>9.3668537913506114E-2</v>
      </c>
      <c r="R758" t="s">
        <v>3267</v>
      </c>
      <c r="W758" t="s">
        <v>3305</v>
      </c>
      <c r="Y758" t="s">
        <v>7</v>
      </c>
      <c r="Z758" t="s">
        <v>4</v>
      </c>
    </row>
    <row r="759" spans="2:26">
      <c r="B759" t="s">
        <v>3183</v>
      </c>
      <c r="C759" t="s">
        <v>1525</v>
      </c>
      <c r="D759" t="s">
        <v>2371</v>
      </c>
      <c r="E759" t="s">
        <v>2876</v>
      </c>
      <c r="F759" t="s">
        <v>2877</v>
      </c>
      <c r="G759">
        <v>42</v>
      </c>
      <c r="H759" t="s">
        <v>2976</v>
      </c>
      <c r="I759">
        <v>5</v>
      </c>
      <c r="K759" t="s">
        <v>1108</v>
      </c>
      <c r="M759">
        <v>6.4</v>
      </c>
      <c r="N759" t="s">
        <v>2976</v>
      </c>
      <c r="Q759">
        <f t="shared" si="35"/>
        <v>0.10830424696249144</v>
      </c>
      <c r="R759" t="s">
        <v>3267</v>
      </c>
      <c r="W759" t="s">
        <v>3309</v>
      </c>
      <c r="Y759" t="s">
        <v>7</v>
      </c>
      <c r="Z759" t="s">
        <v>4</v>
      </c>
    </row>
    <row r="760" spans="2:26">
      <c r="B760" t="s">
        <v>3183</v>
      </c>
      <c r="C760" t="s">
        <v>1525</v>
      </c>
      <c r="D760" t="s">
        <v>2365</v>
      </c>
      <c r="E760" t="s">
        <v>2588</v>
      </c>
      <c r="F760" t="s">
        <v>2589</v>
      </c>
      <c r="G760">
        <v>42</v>
      </c>
      <c r="H760" t="s">
        <v>2976</v>
      </c>
      <c r="I760">
        <v>5</v>
      </c>
      <c r="K760" t="s">
        <v>1108</v>
      </c>
      <c r="M760">
        <v>11.7</v>
      </c>
      <c r="N760" t="s">
        <v>2976</v>
      </c>
      <c r="Q760">
        <f t="shared" si="35"/>
        <v>5.9243348765807294E-2</v>
      </c>
      <c r="R760" t="s">
        <v>3267</v>
      </c>
      <c r="W760" t="s">
        <v>3312</v>
      </c>
      <c r="Y760" t="s">
        <v>7</v>
      </c>
      <c r="Z760" t="s">
        <v>4</v>
      </c>
    </row>
    <row r="761" spans="2:26">
      <c r="B761" t="s">
        <v>3183</v>
      </c>
      <c r="C761" t="s">
        <v>1525</v>
      </c>
      <c r="D761" t="s">
        <v>2367</v>
      </c>
      <c r="E761" t="s">
        <v>2588</v>
      </c>
      <c r="F761" t="s">
        <v>2589</v>
      </c>
      <c r="G761">
        <v>42</v>
      </c>
      <c r="H761" t="s">
        <v>2976</v>
      </c>
      <c r="I761">
        <v>5</v>
      </c>
      <c r="K761" t="s">
        <v>1108</v>
      </c>
      <c r="M761">
        <v>17.8</v>
      </c>
      <c r="N761" t="s">
        <v>2976</v>
      </c>
      <c r="Q761">
        <f t="shared" si="35"/>
        <v>3.8940852840446363E-2</v>
      </c>
      <c r="R761" t="s">
        <v>3267</v>
      </c>
      <c r="W761" t="s">
        <v>3307</v>
      </c>
      <c r="Y761" t="s">
        <v>7</v>
      </c>
      <c r="Z761" t="s">
        <v>4</v>
      </c>
    </row>
    <row r="762" spans="2:26">
      <c r="B762" t="s">
        <v>3183</v>
      </c>
      <c r="C762" t="s">
        <v>1525</v>
      </c>
      <c r="D762" t="s">
        <v>2370</v>
      </c>
      <c r="E762" t="s">
        <v>2588</v>
      </c>
      <c r="F762" t="s">
        <v>2589</v>
      </c>
      <c r="G762">
        <v>42</v>
      </c>
      <c r="H762" t="s">
        <v>2976</v>
      </c>
      <c r="I762">
        <v>5</v>
      </c>
      <c r="K762" t="s">
        <v>1108</v>
      </c>
      <c r="M762">
        <v>13.8</v>
      </c>
      <c r="N762" t="s">
        <v>2976</v>
      </c>
      <c r="Q762">
        <f t="shared" si="35"/>
        <v>5.0228056562314875E-2</v>
      </c>
      <c r="R762" t="s">
        <v>3267</v>
      </c>
      <c r="W762" t="s">
        <v>3309</v>
      </c>
      <c r="Y762" t="s">
        <v>7</v>
      </c>
      <c r="Z762" t="s">
        <v>4</v>
      </c>
    </row>
    <row r="763" spans="2:26">
      <c r="B763" t="s">
        <v>3183</v>
      </c>
      <c r="C763" t="s">
        <v>1525</v>
      </c>
      <c r="D763" t="s">
        <v>2371</v>
      </c>
      <c r="E763" t="s">
        <v>2588</v>
      </c>
      <c r="F763" t="s">
        <v>2589</v>
      </c>
      <c r="G763">
        <v>42</v>
      </c>
      <c r="H763" t="s">
        <v>2976</v>
      </c>
      <c r="I763">
        <v>5</v>
      </c>
      <c r="K763" t="s">
        <v>1108</v>
      </c>
      <c r="M763">
        <v>13.2</v>
      </c>
      <c r="N763" t="s">
        <v>2976</v>
      </c>
      <c r="Q763">
        <f t="shared" si="35"/>
        <v>5.2511150042420102E-2</v>
      </c>
      <c r="R763" t="s">
        <v>3267</v>
      </c>
      <c r="W763" t="s">
        <v>3306</v>
      </c>
      <c r="Y763" t="s">
        <v>7</v>
      </c>
      <c r="Z763" t="s">
        <v>4</v>
      </c>
    </row>
    <row r="764" spans="2:26">
      <c r="B764" t="s">
        <v>3183</v>
      </c>
      <c r="C764" t="s">
        <v>1525</v>
      </c>
      <c r="D764" t="s">
        <v>2365</v>
      </c>
      <c r="E764" t="s">
        <v>2591</v>
      </c>
      <c r="F764" t="s">
        <v>2592</v>
      </c>
      <c r="G764">
        <v>42</v>
      </c>
      <c r="H764" t="s">
        <v>2976</v>
      </c>
      <c r="I764">
        <v>5</v>
      </c>
      <c r="K764" t="s">
        <v>1108</v>
      </c>
      <c r="M764">
        <v>12.1</v>
      </c>
      <c r="N764" t="s">
        <v>2976</v>
      </c>
      <c r="Q764">
        <f t="shared" si="35"/>
        <v>5.728489095536738E-2</v>
      </c>
      <c r="R764" t="s">
        <v>3267</v>
      </c>
      <c r="W764" t="s">
        <v>3307</v>
      </c>
      <c r="Y764" t="s">
        <v>7</v>
      </c>
      <c r="Z764" t="s">
        <v>4</v>
      </c>
    </row>
    <row r="765" spans="2:26">
      <c r="B765" t="s">
        <v>3183</v>
      </c>
      <c r="C765" t="s">
        <v>1525</v>
      </c>
      <c r="D765" t="s">
        <v>2367</v>
      </c>
      <c r="E765" t="s">
        <v>2591</v>
      </c>
      <c r="F765" t="s">
        <v>2592</v>
      </c>
      <c r="G765">
        <v>42</v>
      </c>
      <c r="H765" t="s">
        <v>2976</v>
      </c>
      <c r="I765">
        <v>5</v>
      </c>
      <c r="K765" t="s">
        <v>1108</v>
      </c>
      <c r="M765">
        <v>12</v>
      </c>
      <c r="N765" t="s">
        <v>2976</v>
      </c>
      <c r="Q765">
        <f t="shared" si="35"/>
        <v>5.7762265046662105E-2</v>
      </c>
      <c r="R765" t="s">
        <v>3267</v>
      </c>
      <c r="W765" t="s">
        <v>3307</v>
      </c>
      <c r="Y765" t="s">
        <v>7</v>
      </c>
      <c r="Z765" t="s">
        <v>4</v>
      </c>
    </row>
    <row r="766" spans="2:26">
      <c r="B766" t="s">
        <v>3183</v>
      </c>
      <c r="C766" t="s">
        <v>1525</v>
      </c>
      <c r="D766" t="s">
        <v>2370</v>
      </c>
      <c r="E766" t="s">
        <v>2591</v>
      </c>
      <c r="F766" t="s">
        <v>2592</v>
      </c>
      <c r="G766">
        <v>42</v>
      </c>
      <c r="H766" t="s">
        <v>2976</v>
      </c>
      <c r="I766">
        <v>5</v>
      </c>
      <c r="K766" t="s">
        <v>1108</v>
      </c>
      <c r="M766">
        <v>6.7</v>
      </c>
      <c r="N766" t="s">
        <v>2976</v>
      </c>
      <c r="Q766">
        <f t="shared" si="35"/>
        <v>0.10345480306864854</v>
      </c>
      <c r="R766" t="s">
        <v>3267</v>
      </c>
      <c r="W766" t="s">
        <v>3313</v>
      </c>
      <c r="Y766" t="s">
        <v>7</v>
      </c>
      <c r="Z766" t="s">
        <v>4</v>
      </c>
    </row>
    <row r="767" spans="2:26">
      <c r="B767" t="s">
        <v>3183</v>
      </c>
      <c r="C767" t="s">
        <v>1525</v>
      </c>
      <c r="D767" t="s">
        <v>2371</v>
      </c>
      <c r="E767" t="s">
        <v>2591</v>
      </c>
      <c r="F767" t="s">
        <v>2592</v>
      </c>
      <c r="G767">
        <v>42</v>
      </c>
      <c r="H767" t="s">
        <v>2976</v>
      </c>
      <c r="I767">
        <v>5</v>
      </c>
      <c r="K767" t="s">
        <v>1108</v>
      </c>
      <c r="M767">
        <v>6.2</v>
      </c>
      <c r="N767" t="s">
        <v>2976</v>
      </c>
      <c r="Q767">
        <f t="shared" si="35"/>
        <v>0.11179793234837827</v>
      </c>
      <c r="R767" t="s">
        <v>3267</v>
      </c>
      <c r="W767" t="s">
        <v>3310</v>
      </c>
      <c r="Y767" t="s">
        <v>7</v>
      </c>
      <c r="Z767" t="s">
        <v>4</v>
      </c>
    </row>
    <row r="768" spans="2:26">
      <c r="B768" t="s">
        <v>3183</v>
      </c>
      <c r="C768" t="s">
        <v>1525</v>
      </c>
      <c r="D768" t="s">
        <v>2365</v>
      </c>
      <c r="E768" t="s">
        <v>2597</v>
      </c>
      <c r="F768" t="s">
        <v>2598</v>
      </c>
      <c r="G768">
        <v>42</v>
      </c>
      <c r="H768" t="s">
        <v>2976</v>
      </c>
      <c r="I768">
        <v>5</v>
      </c>
      <c r="K768" t="s">
        <v>1108</v>
      </c>
      <c r="M768">
        <v>24.1</v>
      </c>
      <c r="N768" t="s">
        <v>2976</v>
      </c>
      <c r="Q768">
        <f t="shared" si="35"/>
        <v>2.8761293799167854E-2</v>
      </c>
      <c r="R768" t="s">
        <v>3267</v>
      </c>
      <c r="W768" t="s">
        <v>3309</v>
      </c>
      <c r="Y768" t="s">
        <v>7</v>
      </c>
      <c r="Z768" t="s">
        <v>4</v>
      </c>
    </row>
    <row r="769" spans="1:26">
      <c r="B769" t="s">
        <v>3183</v>
      </c>
      <c r="C769" t="s">
        <v>1525</v>
      </c>
      <c r="D769" t="s">
        <v>2367</v>
      </c>
      <c r="E769" t="s">
        <v>2597</v>
      </c>
      <c r="F769" t="s">
        <v>2598</v>
      </c>
      <c r="G769">
        <v>42</v>
      </c>
      <c r="H769" t="s">
        <v>2976</v>
      </c>
      <c r="I769">
        <v>5</v>
      </c>
      <c r="K769" t="s">
        <v>1108</v>
      </c>
      <c r="M769">
        <v>18.5</v>
      </c>
      <c r="N769" t="s">
        <v>2976</v>
      </c>
      <c r="Q769">
        <f t="shared" si="35"/>
        <v>3.7467415165402446E-2</v>
      </c>
      <c r="R769" t="s">
        <v>3267</v>
      </c>
      <c r="W769" t="s">
        <v>3307</v>
      </c>
      <c r="Y769" t="s">
        <v>7</v>
      </c>
      <c r="Z769" t="s">
        <v>4</v>
      </c>
    </row>
    <row r="770" spans="1:26">
      <c r="B770" t="s">
        <v>3183</v>
      </c>
      <c r="C770" t="s">
        <v>1525</v>
      </c>
      <c r="D770" t="s">
        <v>2370</v>
      </c>
      <c r="E770" t="s">
        <v>2597</v>
      </c>
      <c r="F770" t="s">
        <v>2598</v>
      </c>
      <c r="G770">
        <v>42</v>
      </c>
      <c r="H770" t="s">
        <v>2976</v>
      </c>
      <c r="I770">
        <v>5</v>
      </c>
      <c r="K770" t="s">
        <v>1108</v>
      </c>
      <c r="M770">
        <v>15.7</v>
      </c>
      <c r="N770" t="s">
        <v>2976</v>
      </c>
      <c r="Q770">
        <f t="shared" si="35"/>
        <v>4.4149501946493329E-2</v>
      </c>
      <c r="R770" t="s">
        <v>3267</v>
      </c>
      <c r="W770" t="s">
        <v>3307</v>
      </c>
      <c r="Y770" t="s">
        <v>7</v>
      </c>
      <c r="Z770" t="s">
        <v>4</v>
      </c>
    </row>
    <row r="771" spans="1:26">
      <c r="B771" t="s">
        <v>3183</v>
      </c>
      <c r="C771" t="s">
        <v>1525</v>
      </c>
      <c r="D771" t="s">
        <v>2371</v>
      </c>
      <c r="E771" t="s">
        <v>2597</v>
      </c>
      <c r="F771" t="s">
        <v>2598</v>
      </c>
      <c r="G771">
        <v>42</v>
      </c>
      <c r="H771" t="s">
        <v>2976</v>
      </c>
      <c r="I771">
        <v>5</v>
      </c>
      <c r="K771" t="s">
        <v>1108</v>
      </c>
      <c r="M771">
        <v>6.6</v>
      </c>
      <c r="N771" t="s">
        <v>2976</v>
      </c>
      <c r="Q771">
        <f t="shared" si="35"/>
        <v>0.1050223000848402</v>
      </c>
      <c r="R771" t="s">
        <v>3267</v>
      </c>
      <c r="W771" t="s">
        <v>3307</v>
      </c>
      <c r="Y771" t="s">
        <v>7</v>
      </c>
      <c r="Z771" t="s">
        <v>4</v>
      </c>
    </row>
    <row r="772" spans="1:26">
      <c r="B772" t="s">
        <v>3183</v>
      </c>
      <c r="C772" t="s">
        <v>1525</v>
      </c>
      <c r="D772" t="s">
        <v>2365</v>
      </c>
      <c r="E772" t="s">
        <v>2600</v>
      </c>
      <c r="F772" t="s">
        <v>2601</v>
      </c>
      <c r="G772">
        <v>42</v>
      </c>
      <c r="H772" t="s">
        <v>2976</v>
      </c>
      <c r="I772">
        <v>5</v>
      </c>
      <c r="K772" t="s">
        <v>1108</v>
      </c>
      <c r="M772">
        <v>8.3000000000000007</v>
      </c>
      <c r="N772" t="s">
        <v>2976</v>
      </c>
      <c r="Q772">
        <f t="shared" si="35"/>
        <v>8.3511708501198226E-2</v>
      </c>
      <c r="R772" t="s">
        <v>3267</v>
      </c>
      <c r="W772" t="s">
        <v>3307</v>
      </c>
      <c r="Y772" t="s">
        <v>7</v>
      </c>
      <c r="Z772" t="s">
        <v>4</v>
      </c>
    </row>
    <row r="773" spans="1:26">
      <c r="B773" t="s">
        <v>3183</v>
      </c>
      <c r="C773" t="s">
        <v>1525</v>
      </c>
      <c r="D773" t="s">
        <v>2367</v>
      </c>
      <c r="E773" t="s">
        <v>2600</v>
      </c>
      <c r="F773" t="s">
        <v>2601</v>
      </c>
      <c r="G773">
        <v>42</v>
      </c>
      <c r="H773" t="s">
        <v>2976</v>
      </c>
      <c r="I773">
        <v>5</v>
      </c>
      <c r="K773" t="s">
        <v>1108</v>
      </c>
      <c r="M773">
        <v>5.5</v>
      </c>
      <c r="N773" t="s">
        <v>2976</v>
      </c>
      <c r="Q773">
        <f t="shared" si="35"/>
        <v>0.12602676010180824</v>
      </c>
      <c r="R773" t="s">
        <v>3267</v>
      </c>
      <c r="W773" t="s">
        <v>3307</v>
      </c>
      <c r="Y773" t="s">
        <v>7</v>
      </c>
      <c r="Z773" t="s">
        <v>4</v>
      </c>
    </row>
    <row r="774" spans="1:26">
      <c r="B774" t="s">
        <v>3183</v>
      </c>
      <c r="C774" t="s">
        <v>1525</v>
      </c>
      <c r="D774" t="s">
        <v>2370</v>
      </c>
      <c r="E774" t="s">
        <v>2600</v>
      </c>
      <c r="F774" t="s">
        <v>2601</v>
      </c>
      <c r="G774">
        <v>42</v>
      </c>
      <c r="H774" t="s">
        <v>2976</v>
      </c>
      <c r="I774">
        <v>5</v>
      </c>
      <c r="K774" t="s">
        <v>1108</v>
      </c>
      <c r="M774">
        <v>4</v>
      </c>
      <c r="N774" t="s">
        <v>2976</v>
      </c>
      <c r="Q774">
        <f t="shared" si="35"/>
        <v>0.17328679513998632</v>
      </c>
      <c r="R774" t="s">
        <v>3267</v>
      </c>
      <c r="W774" t="s">
        <v>3307</v>
      </c>
      <c r="Y774" t="s">
        <v>7</v>
      </c>
      <c r="Z774" t="s">
        <v>4</v>
      </c>
    </row>
    <row r="775" spans="1:26">
      <c r="B775" t="s">
        <v>3183</v>
      </c>
      <c r="C775" t="s">
        <v>1525</v>
      </c>
      <c r="D775" t="s">
        <v>2371</v>
      </c>
      <c r="E775" t="s">
        <v>2600</v>
      </c>
      <c r="F775" t="s">
        <v>2601</v>
      </c>
      <c r="G775">
        <v>42</v>
      </c>
      <c r="H775" t="s">
        <v>2976</v>
      </c>
      <c r="I775">
        <v>5</v>
      </c>
      <c r="K775" t="s">
        <v>1108</v>
      </c>
      <c r="M775">
        <v>4.0999999999999996</v>
      </c>
      <c r="N775" t="s">
        <v>2976</v>
      </c>
      <c r="Q775">
        <f t="shared" si="35"/>
        <v>0.16906028794145009</v>
      </c>
      <c r="R775" t="s">
        <v>3267</v>
      </c>
      <c r="W775" t="s">
        <v>3307</v>
      </c>
      <c r="Y775" t="s">
        <v>7</v>
      </c>
      <c r="Z775" t="s">
        <v>4</v>
      </c>
    </row>
    <row r="776" spans="1:26">
      <c r="A776" t="s">
        <v>378</v>
      </c>
      <c r="B776" t="s">
        <v>3185</v>
      </c>
      <c r="C776" t="s">
        <v>1538</v>
      </c>
      <c r="D776" t="s">
        <v>2387</v>
      </c>
      <c r="E776" t="s">
        <v>2640</v>
      </c>
      <c r="F776" t="s">
        <v>2637</v>
      </c>
      <c r="G776">
        <v>120</v>
      </c>
      <c r="H776" t="s">
        <v>2976</v>
      </c>
      <c r="I776">
        <v>12.8</v>
      </c>
      <c r="K776" t="s">
        <v>1108</v>
      </c>
      <c r="M776">
        <v>305.7</v>
      </c>
      <c r="N776" t="s">
        <v>2976</v>
      </c>
      <c r="Q776">
        <f>LN(2)/M776</f>
        <v>2.2674098153743715E-3</v>
      </c>
      <c r="R776" t="s">
        <v>3267</v>
      </c>
      <c r="W776">
        <v>0.75</v>
      </c>
      <c r="X776" t="s">
        <v>3268</v>
      </c>
      <c r="Y776" t="s">
        <v>7</v>
      </c>
      <c r="Z776" t="s">
        <v>4</v>
      </c>
    </row>
    <row r="777" spans="1:26">
      <c r="B777" t="s">
        <v>3185</v>
      </c>
      <c r="C777" t="s">
        <v>1538</v>
      </c>
      <c r="D777" t="s">
        <v>2388</v>
      </c>
      <c r="E777" t="s">
        <v>2640</v>
      </c>
      <c r="F777" t="s">
        <v>2637</v>
      </c>
      <c r="G777">
        <v>120</v>
      </c>
      <c r="H777" t="s">
        <v>2976</v>
      </c>
      <c r="I777">
        <v>12.8</v>
      </c>
      <c r="K777" t="s">
        <v>1108</v>
      </c>
      <c r="M777">
        <v>7</v>
      </c>
      <c r="N777" t="s">
        <v>2976</v>
      </c>
      <c r="Q777">
        <f t="shared" ref="Q777:Q799" si="36">LN(2)/M777</f>
        <v>9.9021025794277892E-2</v>
      </c>
      <c r="R777" t="s">
        <v>3267</v>
      </c>
      <c r="W777">
        <v>0.98</v>
      </c>
      <c r="X777" t="s">
        <v>3268</v>
      </c>
      <c r="Y777" t="s">
        <v>7</v>
      </c>
      <c r="Z777" t="s">
        <v>4</v>
      </c>
    </row>
    <row r="778" spans="1:26">
      <c r="B778" t="s">
        <v>3185</v>
      </c>
      <c r="C778" t="s">
        <v>1538</v>
      </c>
      <c r="D778" t="s">
        <v>2393</v>
      </c>
      <c r="E778" t="s">
        <v>2640</v>
      </c>
      <c r="F778" t="s">
        <v>2637</v>
      </c>
      <c r="G778">
        <v>120</v>
      </c>
      <c r="H778" t="s">
        <v>2976</v>
      </c>
      <c r="I778">
        <v>12.8</v>
      </c>
      <c r="K778" t="s">
        <v>1108</v>
      </c>
      <c r="M778">
        <v>4.3</v>
      </c>
      <c r="N778" t="s">
        <v>2976</v>
      </c>
      <c r="Q778">
        <f t="shared" si="36"/>
        <v>0.16119701873487099</v>
      </c>
      <c r="R778" t="s">
        <v>3267</v>
      </c>
      <c r="W778">
        <v>0.97</v>
      </c>
      <c r="X778" t="s">
        <v>3268</v>
      </c>
      <c r="Y778" t="s">
        <v>7</v>
      </c>
      <c r="Z778" t="s">
        <v>4</v>
      </c>
    </row>
    <row r="779" spans="1:26">
      <c r="B779" t="s">
        <v>3185</v>
      </c>
      <c r="C779" t="s">
        <v>1538</v>
      </c>
      <c r="D779" t="s">
        <v>2394</v>
      </c>
      <c r="E779" t="s">
        <v>2640</v>
      </c>
      <c r="F779" t="s">
        <v>2637</v>
      </c>
      <c r="G779">
        <v>120</v>
      </c>
      <c r="H779" t="s">
        <v>2976</v>
      </c>
      <c r="I779">
        <v>12.8</v>
      </c>
      <c r="K779" t="s">
        <v>1108</v>
      </c>
      <c r="M779">
        <v>72.5</v>
      </c>
      <c r="N779" t="s">
        <v>2976</v>
      </c>
      <c r="Q779">
        <f t="shared" si="36"/>
        <v>9.5606507663440737E-3</v>
      </c>
      <c r="R779" t="s">
        <v>3267</v>
      </c>
      <c r="W779">
        <v>0.84</v>
      </c>
      <c r="X779" t="s">
        <v>3268</v>
      </c>
      <c r="Y779" t="s">
        <v>7</v>
      </c>
      <c r="Z779" t="s">
        <v>4</v>
      </c>
    </row>
    <row r="780" spans="1:26">
      <c r="B780" t="s">
        <v>3185</v>
      </c>
      <c r="C780" t="s">
        <v>1538</v>
      </c>
      <c r="D780" t="s">
        <v>2398</v>
      </c>
      <c r="E780" t="s">
        <v>2640</v>
      </c>
      <c r="F780" t="s">
        <v>2637</v>
      </c>
      <c r="G780">
        <v>120</v>
      </c>
      <c r="H780" t="s">
        <v>2976</v>
      </c>
      <c r="I780">
        <v>12.8</v>
      </c>
      <c r="K780" t="s">
        <v>1108</v>
      </c>
      <c r="M780">
        <v>101.8</v>
      </c>
      <c r="N780" t="s">
        <v>2976</v>
      </c>
      <c r="Q780">
        <f t="shared" si="36"/>
        <v>6.8089114003923902E-3</v>
      </c>
      <c r="R780" t="s">
        <v>3267</v>
      </c>
      <c r="W780">
        <v>0.38</v>
      </c>
      <c r="X780" t="s">
        <v>3268</v>
      </c>
      <c r="Y780" t="s">
        <v>7</v>
      </c>
      <c r="Z780" t="s">
        <v>4</v>
      </c>
    </row>
    <row r="781" spans="1:26">
      <c r="B781" t="s">
        <v>3185</v>
      </c>
      <c r="C781" t="s">
        <v>1538</v>
      </c>
      <c r="D781" t="s">
        <v>2399</v>
      </c>
      <c r="E781" t="s">
        <v>2640</v>
      </c>
      <c r="F781" t="s">
        <v>2637</v>
      </c>
      <c r="G781">
        <v>120</v>
      </c>
      <c r="H781" t="s">
        <v>2976</v>
      </c>
      <c r="I781">
        <v>12.8</v>
      </c>
      <c r="K781" t="s">
        <v>1108</v>
      </c>
      <c r="M781">
        <v>16.100000000000001</v>
      </c>
      <c r="N781" t="s">
        <v>2976</v>
      </c>
      <c r="Q781">
        <f t="shared" si="36"/>
        <v>4.3052619910555603E-2</v>
      </c>
      <c r="R781" t="s">
        <v>3267</v>
      </c>
      <c r="W781">
        <v>0.99</v>
      </c>
      <c r="X781" t="s">
        <v>3268</v>
      </c>
      <c r="Y781" t="s">
        <v>7</v>
      </c>
      <c r="Z781" t="s">
        <v>4</v>
      </c>
    </row>
    <row r="782" spans="1:26">
      <c r="B782" t="s">
        <v>3185</v>
      </c>
      <c r="C782" t="s">
        <v>1538</v>
      </c>
      <c r="D782" t="s">
        <v>2401</v>
      </c>
      <c r="E782" t="s">
        <v>2640</v>
      </c>
      <c r="F782" t="s">
        <v>2637</v>
      </c>
      <c r="G782">
        <v>120</v>
      </c>
      <c r="H782" t="s">
        <v>2976</v>
      </c>
      <c r="I782">
        <v>12.8</v>
      </c>
      <c r="K782" t="s">
        <v>1108</v>
      </c>
      <c r="M782">
        <v>4</v>
      </c>
      <c r="N782" t="s">
        <v>2976</v>
      </c>
      <c r="Q782">
        <f t="shared" si="36"/>
        <v>0.17328679513998632</v>
      </c>
      <c r="R782" t="s">
        <v>3267</v>
      </c>
      <c r="W782">
        <v>0.97</v>
      </c>
      <c r="X782" t="s">
        <v>3268</v>
      </c>
      <c r="Y782" t="s">
        <v>7</v>
      </c>
      <c r="Z782" t="s">
        <v>4</v>
      </c>
    </row>
    <row r="783" spans="1:26">
      <c r="B783" t="s">
        <v>3185</v>
      </c>
      <c r="C783" t="s">
        <v>1538</v>
      </c>
      <c r="D783" t="s">
        <v>2403</v>
      </c>
      <c r="E783" t="s">
        <v>2640</v>
      </c>
      <c r="F783" t="s">
        <v>2637</v>
      </c>
      <c r="G783">
        <v>120</v>
      </c>
      <c r="H783" t="s">
        <v>2976</v>
      </c>
      <c r="I783">
        <v>12.8</v>
      </c>
      <c r="K783" t="s">
        <v>1108</v>
      </c>
      <c r="M783">
        <v>114.3</v>
      </c>
      <c r="N783" t="s">
        <v>2976</v>
      </c>
      <c r="Q783">
        <f t="shared" si="36"/>
        <v>6.0642797949251558E-3</v>
      </c>
      <c r="R783" t="s">
        <v>3267</v>
      </c>
      <c r="W783">
        <v>0.95</v>
      </c>
      <c r="X783" t="s">
        <v>3268</v>
      </c>
      <c r="Y783" t="s">
        <v>7</v>
      </c>
      <c r="Z783" t="s">
        <v>4</v>
      </c>
    </row>
    <row r="784" spans="1:26">
      <c r="B784" t="s">
        <v>3185</v>
      </c>
      <c r="C784" t="s">
        <v>1538</v>
      </c>
      <c r="D784" t="s">
        <v>2387</v>
      </c>
      <c r="E784" t="s">
        <v>2651</v>
      </c>
      <c r="F784" t="s">
        <v>2648</v>
      </c>
      <c r="G784">
        <v>120</v>
      </c>
      <c r="H784" t="s">
        <v>2976</v>
      </c>
      <c r="I784">
        <v>1.33</v>
      </c>
      <c r="K784" t="s">
        <v>1108</v>
      </c>
      <c r="M784">
        <v>337</v>
      </c>
      <c r="N784" t="s">
        <v>2976</v>
      </c>
      <c r="Q784">
        <f t="shared" si="36"/>
        <v>2.0568165595250603E-3</v>
      </c>
      <c r="R784" t="s">
        <v>3267</v>
      </c>
      <c r="W784">
        <v>0.65</v>
      </c>
      <c r="X784" t="s">
        <v>3268</v>
      </c>
      <c r="Y784" t="s">
        <v>7</v>
      </c>
      <c r="Z784" t="s">
        <v>4</v>
      </c>
    </row>
    <row r="785" spans="1:26">
      <c r="B785" t="s">
        <v>3185</v>
      </c>
      <c r="C785" t="s">
        <v>1538</v>
      </c>
      <c r="D785" t="s">
        <v>2388</v>
      </c>
      <c r="E785" t="s">
        <v>2651</v>
      </c>
      <c r="F785" t="s">
        <v>2648</v>
      </c>
      <c r="G785">
        <v>120</v>
      </c>
      <c r="H785" t="s">
        <v>2976</v>
      </c>
      <c r="I785">
        <v>1.33</v>
      </c>
      <c r="K785" t="s">
        <v>1108</v>
      </c>
      <c r="M785">
        <v>69.3</v>
      </c>
      <c r="N785" t="s">
        <v>2976</v>
      </c>
      <c r="Q785">
        <f t="shared" si="36"/>
        <v>1.0002123817603828E-2</v>
      </c>
      <c r="R785" t="s">
        <v>3267</v>
      </c>
      <c r="W785">
        <v>0.99</v>
      </c>
      <c r="X785" t="s">
        <v>3268</v>
      </c>
      <c r="Y785" t="s">
        <v>7</v>
      </c>
      <c r="Z785" t="s">
        <v>4</v>
      </c>
    </row>
    <row r="786" spans="1:26">
      <c r="B786" t="s">
        <v>3185</v>
      </c>
      <c r="C786" t="s">
        <v>1538</v>
      </c>
      <c r="D786" t="s">
        <v>2393</v>
      </c>
      <c r="E786" t="s">
        <v>2651</v>
      </c>
      <c r="F786" t="s">
        <v>2648</v>
      </c>
      <c r="G786">
        <v>120</v>
      </c>
      <c r="H786" t="s">
        <v>2976</v>
      </c>
      <c r="I786">
        <v>1.33</v>
      </c>
      <c r="K786" t="s">
        <v>1108</v>
      </c>
      <c r="M786">
        <v>48.4</v>
      </c>
      <c r="N786" t="s">
        <v>2976</v>
      </c>
      <c r="Q786">
        <f t="shared" si="36"/>
        <v>1.4321222738841845E-2</v>
      </c>
      <c r="R786" t="s">
        <v>3267</v>
      </c>
      <c r="W786">
        <v>0.85</v>
      </c>
      <c r="X786" t="s">
        <v>3268</v>
      </c>
      <c r="Y786" t="s">
        <v>7</v>
      </c>
      <c r="Z786" t="s">
        <v>4</v>
      </c>
    </row>
    <row r="787" spans="1:26">
      <c r="B787" t="s">
        <v>3185</v>
      </c>
      <c r="C787" t="s">
        <v>1538</v>
      </c>
      <c r="D787" t="s">
        <v>2394</v>
      </c>
      <c r="E787" t="s">
        <v>2651</v>
      </c>
      <c r="F787" t="s">
        <v>2648</v>
      </c>
      <c r="G787">
        <v>120</v>
      </c>
      <c r="H787" t="s">
        <v>2976</v>
      </c>
      <c r="I787">
        <v>1.33</v>
      </c>
      <c r="K787" t="s">
        <v>1108</v>
      </c>
      <c r="M787">
        <v>147</v>
      </c>
      <c r="N787" t="s">
        <v>2976</v>
      </c>
      <c r="Q787">
        <f t="shared" si="36"/>
        <v>4.7152869425846622E-3</v>
      </c>
      <c r="R787" t="s">
        <v>3267</v>
      </c>
      <c r="W787">
        <v>0.95</v>
      </c>
      <c r="X787" t="s">
        <v>3268</v>
      </c>
      <c r="Y787" t="s">
        <v>7</v>
      </c>
      <c r="Z787" t="s">
        <v>4</v>
      </c>
    </row>
    <row r="788" spans="1:26">
      <c r="B788" t="s">
        <v>3185</v>
      </c>
      <c r="C788" t="s">
        <v>1538</v>
      </c>
      <c r="D788" t="s">
        <v>2398</v>
      </c>
      <c r="E788" t="s">
        <v>2651</v>
      </c>
      <c r="F788" t="s">
        <v>2648</v>
      </c>
      <c r="G788">
        <v>120</v>
      </c>
      <c r="H788" t="s">
        <v>2976</v>
      </c>
      <c r="I788">
        <v>1.33</v>
      </c>
      <c r="K788" t="s">
        <v>1108</v>
      </c>
      <c r="M788">
        <v>195</v>
      </c>
      <c r="N788" t="s">
        <v>2976</v>
      </c>
      <c r="Q788">
        <f t="shared" si="36"/>
        <v>3.5546009259484375E-3</v>
      </c>
      <c r="R788" t="s">
        <v>3267</v>
      </c>
      <c r="W788">
        <v>0.74</v>
      </c>
      <c r="X788" t="s">
        <v>3268</v>
      </c>
      <c r="Y788" t="s">
        <v>7</v>
      </c>
      <c r="Z788" t="s">
        <v>4</v>
      </c>
    </row>
    <row r="789" spans="1:26">
      <c r="B789" t="s">
        <v>3185</v>
      </c>
      <c r="C789" t="s">
        <v>1538</v>
      </c>
      <c r="D789" t="s">
        <v>2399</v>
      </c>
      <c r="E789" t="s">
        <v>2651</v>
      </c>
      <c r="F789" t="s">
        <v>2648</v>
      </c>
      <c r="G789">
        <v>120</v>
      </c>
      <c r="H789" t="s">
        <v>2976</v>
      </c>
      <c r="I789">
        <v>1.33</v>
      </c>
      <c r="K789" t="s">
        <v>1108</v>
      </c>
      <c r="M789">
        <v>44</v>
      </c>
      <c r="N789" t="s">
        <v>2976</v>
      </c>
      <c r="Q789">
        <f t="shared" si="36"/>
        <v>1.575334501272603E-2</v>
      </c>
      <c r="R789" t="s">
        <v>3267</v>
      </c>
      <c r="W789">
        <v>0.77</v>
      </c>
      <c r="X789" t="s">
        <v>3268</v>
      </c>
      <c r="Y789" t="s">
        <v>7</v>
      </c>
      <c r="Z789" t="s">
        <v>4</v>
      </c>
    </row>
    <row r="790" spans="1:26">
      <c r="B790" t="s">
        <v>3185</v>
      </c>
      <c r="C790" t="s">
        <v>1538</v>
      </c>
      <c r="D790" t="s">
        <v>2401</v>
      </c>
      <c r="E790" t="s">
        <v>2651</v>
      </c>
      <c r="F790" t="s">
        <v>2648</v>
      </c>
      <c r="G790">
        <v>120</v>
      </c>
      <c r="H790" t="s">
        <v>2976</v>
      </c>
      <c r="I790">
        <v>1.33</v>
      </c>
      <c r="K790" t="s">
        <v>1108</v>
      </c>
      <c r="M790">
        <v>25.5</v>
      </c>
      <c r="N790" t="s">
        <v>2976</v>
      </c>
      <c r="Q790">
        <f t="shared" si="36"/>
        <v>2.7182242374899815E-2</v>
      </c>
      <c r="R790" t="s">
        <v>3267</v>
      </c>
      <c r="W790">
        <v>0.95</v>
      </c>
      <c r="X790" t="s">
        <v>3268</v>
      </c>
      <c r="Y790" t="s">
        <v>7</v>
      </c>
      <c r="Z790" t="s">
        <v>4</v>
      </c>
    </row>
    <row r="791" spans="1:26">
      <c r="B791" t="s">
        <v>3185</v>
      </c>
      <c r="C791" t="s">
        <v>1538</v>
      </c>
      <c r="D791" t="s">
        <v>2403</v>
      </c>
      <c r="E791" t="s">
        <v>2651</v>
      </c>
      <c r="F791" t="s">
        <v>2648</v>
      </c>
      <c r="G791">
        <v>120</v>
      </c>
      <c r="H791" t="s">
        <v>2976</v>
      </c>
      <c r="I791">
        <v>1.33</v>
      </c>
      <c r="K791" t="s">
        <v>1108</v>
      </c>
      <c r="M791">
        <v>59.6</v>
      </c>
      <c r="N791" t="s">
        <v>2976</v>
      </c>
      <c r="Q791">
        <f t="shared" si="36"/>
        <v>1.1629986251005793E-2</v>
      </c>
      <c r="R791" t="s">
        <v>3267</v>
      </c>
      <c r="W791">
        <v>0.88</v>
      </c>
      <c r="X791" t="s">
        <v>3268</v>
      </c>
      <c r="Y791" t="s">
        <v>7</v>
      </c>
      <c r="Z791" t="s">
        <v>4</v>
      </c>
    </row>
    <row r="792" spans="1:26">
      <c r="B792" t="s">
        <v>3185</v>
      </c>
      <c r="C792" t="s">
        <v>1538</v>
      </c>
      <c r="D792" t="s">
        <v>2387</v>
      </c>
      <c r="E792" t="s">
        <v>2869</v>
      </c>
      <c r="F792" t="s">
        <v>2870</v>
      </c>
      <c r="G792">
        <v>120</v>
      </c>
      <c r="H792" t="s">
        <v>2976</v>
      </c>
      <c r="I792">
        <v>10.67</v>
      </c>
      <c r="K792" t="s">
        <v>1108</v>
      </c>
      <c r="M792">
        <v>206.2</v>
      </c>
      <c r="N792" t="s">
        <v>2976</v>
      </c>
      <c r="Q792">
        <f t="shared" si="36"/>
        <v>3.3615285187194245E-3</v>
      </c>
      <c r="R792" t="s">
        <v>3267</v>
      </c>
      <c r="W792">
        <v>0.71</v>
      </c>
      <c r="X792" t="s">
        <v>3268</v>
      </c>
      <c r="Y792" t="s">
        <v>7</v>
      </c>
      <c r="Z792" t="s">
        <v>4</v>
      </c>
    </row>
    <row r="793" spans="1:26">
      <c r="B793" t="s">
        <v>3185</v>
      </c>
      <c r="C793" t="s">
        <v>1538</v>
      </c>
      <c r="D793" t="s">
        <v>2388</v>
      </c>
      <c r="E793" t="s">
        <v>2869</v>
      </c>
      <c r="F793" t="s">
        <v>2870</v>
      </c>
      <c r="G793">
        <v>120</v>
      </c>
      <c r="H793" t="s">
        <v>2976</v>
      </c>
      <c r="I793">
        <v>10.67</v>
      </c>
      <c r="K793" t="s">
        <v>1108</v>
      </c>
      <c r="M793">
        <v>65</v>
      </c>
      <c r="N793" t="s">
        <v>2976</v>
      </c>
      <c r="Q793">
        <f t="shared" si="36"/>
        <v>1.0663802777845312E-2</v>
      </c>
      <c r="R793" t="s">
        <v>3267</v>
      </c>
      <c r="W793">
        <v>0.96</v>
      </c>
      <c r="X793" t="s">
        <v>3268</v>
      </c>
      <c r="Y793" t="s">
        <v>7</v>
      </c>
      <c r="Z793" t="s">
        <v>4</v>
      </c>
    </row>
    <row r="794" spans="1:26">
      <c r="B794" t="s">
        <v>3185</v>
      </c>
      <c r="C794" t="s">
        <v>1538</v>
      </c>
      <c r="D794" t="s">
        <v>2393</v>
      </c>
      <c r="E794" t="s">
        <v>2869</v>
      </c>
      <c r="F794" t="s">
        <v>2870</v>
      </c>
      <c r="G794">
        <v>120</v>
      </c>
      <c r="H794" t="s">
        <v>2976</v>
      </c>
      <c r="I794">
        <v>10.67</v>
      </c>
      <c r="K794" t="s">
        <v>1108</v>
      </c>
      <c r="M794">
        <v>99.9</v>
      </c>
      <c r="N794" t="s">
        <v>2976</v>
      </c>
      <c r="Q794">
        <f t="shared" si="36"/>
        <v>6.9384102158152675E-3</v>
      </c>
      <c r="R794" t="s">
        <v>3267</v>
      </c>
      <c r="W794">
        <v>0.41</v>
      </c>
      <c r="X794" t="s">
        <v>3268</v>
      </c>
      <c r="Y794" t="s">
        <v>7</v>
      </c>
      <c r="Z794" t="s">
        <v>4</v>
      </c>
    </row>
    <row r="795" spans="1:26">
      <c r="B795" t="s">
        <v>3185</v>
      </c>
      <c r="C795" t="s">
        <v>1538</v>
      </c>
      <c r="D795" t="s">
        <v>2394</v>
      </c>
      <c r="E795" t="s">
        <v>2869</v>
      </c>
      <c r="F795" t="s">
        <v>2870</v>
      </c>
      <c r="G795">
        <v>120</v>
      </c>
      <c r="H795" t="s">
        <v>2976</v>
      </c>
      <c r="I795">
        <v>10.67</v>
      </c>
      <c r="K795" t="s">
        <v>1108</v>
      </c>
      <c r="M795">
        <v>178</v>
      </c>
      <c r="N795" t="s">
        <v>2976</v>
      </c>
      <c r="Q795">
        <f t="shared" si="36"/>
        <v>3.8940852840446366E-3</v>
      </c>
      <c r="R795" t="s">
        <v>3267</v>
      </c>
      <c r="W795">
        <v>0.77</v>
      </c>
      <c r="X795" t="s">
        <v>3268</v>
      </c>
      <c r="Y795" t="s">
        <v>7</v>
      </c>
      <c r="Z795" t="s">
        <v>4</v>
      </c>
    </row>
    <row r="796" spans="1:26">
      <c r="B796" t="s">
        <v>3185</v>
      </c>
      <c r="C796" t="s">
        <v>1538</v>
      </c>
      <c r="D796" t="s">
        <v>2398</v>
      </c>
      <c r="E796" t="s">
        <v>2869</v>
      </c>
      <c r="F796" t="s">
        <v>2870</v>
      </c>
      <c r="G796">
        <v>120</v>
      </c>
      <c r="H796" t="s">
        <v>2976</v>
      </c>
      <c r="I796">
        <v>10.67</v>
      </c>
      <c r="K796" t="s">
        <v>1108</v>
      </c>
      <c r="M796">
        <v>965.5</v>
      </c>
      <c r="N796" t="s">
        <v>2976</v>
      </c>
      <c r="Q796">
        <f t="shared" si="36"/>
        <v>7.1791525692381692E-4</v>
      </c>
      <c r="R796" t="s">
        <v>3267</v>
      </c>
      <c r="W796">
        <v>0.22</v>
      </c>
      <c r="X796" t="s">
        <v>3268</v>
      </c>
      <c r="Y796" t="s">
        <v>7</v>
      </c>
      <c r="Z796" t="s">
        <v>4</v>
      </c>
    </row>
    <row r="797" spans="1:26">
      <c r="B797" t="s">
        <v>3185</v>
      </c>
      <c r="C797" t="s">
        <v>1538</v>
      </c>
      <c r="D797" t="s">
        <v>2399</v>
      </c>
      <c r="E797" t="s">
        <v>2869</v>
      </c>
      <c r="F797" t="s">
        <v>2870</v>
      </c>
      <c r="G797">
        <v>120</v>
      </c>
      <c r="H797" t="s">
        <v>2976</v>
      </c>
      <c r="I797">
        <v>10.67</v>
      </c>
      <c r="K797" t="s">
        <v>1108</v>
      </c>
      <c r="M797">
        <v>40.5</v>
      </c>
      <c r="N797" t="s">
        <v>2976</v>
      </c>
      <c r="Q797">
        <f t="shared" si="36"/>
        <v>1.7114745199010996E-2</v>
      </c>
      <c r="R797" t="s">
        <v>3267</v>
      </c>
      <c r="W797">
        <v>0.67</v>
      </c>
      <c r="X797" t="s">
        <v>3268</v>
      </c>
      <c r="Y797" t="s">
        <v>7</v>
      </c>
      <c r="Z797" t="s">
        <v>4</v>
      </c>
    </row>
    <row r="798" spans="1:26">
      <c r="B798" t="s">
        <v>3185</v>
      </c>
      <c r="C798" t="s">
        <v>1538</v>
      </c>
      <c r="D798" t="s">
        <v>2401</v>
      </c>
      <c r="E798" t="s">
        <v>2869</v>
      </c>
      <c r="F798" t="s">
        <v>2870</v>
      </c>
      <c r="G798">
        <v>120</v>
      </c>
      <c r="H798" t="s">
        <v>2976</v>
      </c>
      <c r="I798">
        <v>10.67</v>
      </c>
      <c r="K798" t="s">
        <v>1108</v>
      </c>
      <c r="M798">
        <v>12.5</v>
      </c>
      <c r="N798" t="s">
        <v>2976</v>
      </c>
      <c r="Q798">
        <f t="shared" si="36"/>
        <v>5.5451774444795626E-2</v>
      </c>
      <c r="R798" t="s">
        <v>3267</v>
      </c>
      <c r="W798">
        <v>0.98</v>
      </c>
      <c r="X798" t="s">
        <v>3268</v>
      </c>
      <c r="Y798" t="s">
        <v>7</v>
      </c>
      <c r="Z798" t="s">
        <v>4</v>
      </c>
    </row>
    <row r="799" spans="1:26">
      <c r="B799" t="s">
        <v>3185</v>
      </c>
      <c r="C799" t="s">
        <v>1538</v>
      </c>
      <c r="D799" t="s">
        <v>2403</v>
      </c>
      <c r="E799" t="s">
        <v>2869</v>
      </c>
      <c r="F799" t="s">
        <v>2870</v>
      </c>
      <c r="G799">
        <v>120</v>
      </c>
      <c r="H799" t="s">
        <v>2976</v>
      </c>
      <c r="I799">
        <v>10.67</v>
      </c>
      <c r="K799" t="s">
        <v>1108</v>
      </c>
      <c r="M799">
        <v>147.5</v>
      </c>
      <c r="N799" t="s">
        <v>2976</v>
      </c>
      <c r="Q799">
        <f t="shared" si="36"/>
        <v>4.6993029190504762E-3</v>
      </c>
      <c r="R799" t="s">
        <v>3267</v>
      </c>
      <c r="W799">
        <v>0.82</v>
      </c>
      <c r="X799" t="s">
        <v>3268</v>
      </c>
      <c r="Y799" t="s">
        <v>7</v>
      </c>
      <c r="Z799" t="s">
        <v>4</v>
      </c>
    </row>
    <row r="800" spans="1:26">
      <c r="A800" t="s">
        <v>382</v>
      </c>
      <c r="B800" t="s">
        <v>3188</v>
      </c>
      <c r="C800" t="s">
        <v>1542</v>
      </c>
      <c r="D800" t="s">
        <v>2405</v>
      </c>
      <c r="E800" t="s">
        <v>2782</v>
      </c>
      <c r="F800" t="s">
        <v>2783</v>
      </c>
      <c r="G800">
        <v>258</v>
      </c>
      <c r="H800" t="s">
        <v>2976</v>
      </c>
      <c r="I800">
        <v>2</v>
      </c>
      <c r="K800" t="s">
        <v>1108</v>
      </c>
      <c r="M800">
        <v>12.6</v>
      </c>
      <c r="N800" t="s">
        <v>2976</v>
      </c>
      <c r="Q800">
        <f>LN(2)/M800</f>
        <v>5.5011680996821057E-2</v>
      </c>
      <c r="R800" t="s">
        <v>3267</v>
      </c>
      <c r="W800">
        <v>0.98399999999999999</v>
      </c>
      <c r="X800" t="s">
        <v>3268</v>
      </c>
      <c r="Y800" t="s">
        <v>7</v>
      </c>
      <c r="Z800" t="s">
        <v>4</v>
      </c>
    </row>
    <row r="801" spans="1:26">
      <c r="B801" t="s">
        <v>3188</v>
      </c>
      <c r="C801" t="s">
        <v>1542</v>
      </c>
      <c r="D801" t="s">
        <v>2406</v>
      </c>
      <c r="E801" t="s">
        <v>2782</v>
      </c>
      <c r="F801" t="s">
        <v>2783</v>
      </c>
      <c r="G801">
        <v>258</v>
      </c>
      <c r="H801" t="s">
        <v>2976</v>
      </c>
      <c r="I801">
        <v>2</v>
      </c>
      <c r="K801" t="s">
        <v>1108</v>
      </c>
      <c r="M801">
        <v>55.9</v>
      </c>
      <c r="N801" t="s">
        <v>2976</v>
      </c>
      <c r="Q801">
        <f t="shared" ref="Q801:Q811" si="37">LN(2)/M801</f>
        <v>1.2399770671913155E-2</v>
      </c>
      <c r="R801" t="s">
        <v>3267</v>
      </c>
      <c r="W801">
        <v>0.94299999999999995</v>
      </c>
      <c r="X801" t="s">
        <v>3268</v>
      </c>
      <c r="Y801" t="s">
        <v>7</v>
      </c>
      <c r="Z801" t="s">
        <v>4</v>
      </c>
    </row>
    <row r="802" spans="1:26">
      <c r="B802" t="s">
        <v>3188</v>
      </c>
      <c r="C802" t="s">
        <v>1542</v>
      </c>
      <c r="D802" t="s">
        <v>2409</v>
      </c>
      <c r="E802" t="s">
        <v>2782</v>
      </c>
      <c r="F802" t="s">
        <v>2783</v>
      </c>
      <c r="G802">
        <v>258</v>
      </c>
      <c r="H802" t="s">
        <v>2976</v>
      </c>
      <c r="I802">
        <v>2</v>
      </c>
      <c r="K802" t="s">
        <v>1108</v>
      </c>
      <c r="M802">
        <v>20.100000000000001</v>
      </c>
      <c r="N802" t="s">
        <v>2976</v>
      </c>
      <c r="Q802">
        <f t="shared" si="37"/>
        <v>3.4484934356216183E-2</v>
      </c>
      <c r="R802" t="s">
        <v>3267</v>
      </c>
      <c r="W802">
        <v>0.96799999999999997</v>
      </c>
      <c r="X802" t="s">
        <v>3268</v>
      </c>
      <c r="Y802" t="s">
        <v>7</v>
      </c>
      <c r="Z802" t="s">
        <v>4</v>
      </c>
    </row>
    <row r="803" spans="1:26">
      <c r="B803" t="s">
        <v>3188</v>
      </c>
      <c r="C803" t="s">
        <v>1542</v>
      </c>
      <c r="D803" t="s">
        <v>2405</v>
      </c>
      <c r="E803" t="s">
        <v>2806</v>
      </c>
      <c r="F803" t="s">
        <v>2804</v>
      </c>
      <c r="G803">
        <v>258</v>
      </c>
      <c r="H803" t="s">
        <v>2976</v>
      </c>
      <c r="I803">
        <v>2</v>
      </c>
      <c r="K803" t="s">
        <v>1108</v>
      </c>
      <c r="M803">
        <v>31.1</v>
      </c>
      <c r="N803" t="s">
        <v>2976</v>
      </c>
      <c r="Q803">
        <f t="shared" si="37"/>
        <v>2.2287690693245828E-2</v>
      </c>
      <c r="R803" t="s">
        <v>3267</v>
      </c>
      <c r="W803">
        <v>0.97</v>
      </c>
      <c r="X803" t="s">
        <v>3268</v>
      </c>
      <c r="Y803" t="s">
        <v>7</v>
      </c>
      <c r="Z803" t="s">
        <v>4</v>
      </c>
    </row>
    <row r="804" spans="1:26">
      <c r="B804" t="s">
        <v>3188</v>
      </c>
      <c r="C804" t="s">
        <v>1542</v>
      </c>
      <c r="D804" t="s">
        <v>2406</v>
      </c>
      <c r="E804" t="s">
        <v>2806</v>
      </c>
      <c r="F804" t="s">
        <v>2804</v>
      </c>
      <c r="G804">
        <v>258</v>
      </c>
      <c r="H804" t="s">
        <v>2976</v>
      </c>
      <c r="I804">
        <v>2</v>
      </c>
      <c r="K804" t="s">
        <v>1108</v>
      </c>
      <c r="M804">
        <v>56.7</v>
      </c>
      <c r="N804" t="s">
        <v>2976</v>
      </c>
      <c r="Q804">
        <f t="shared" si="37"/>
        <v>1.2224817999293567E-2</v>
      </c>
      <c r="R804" t="s">
        <v>3267</v>
      </c>
      <c r="W804">
        <v>0.97799999999999998</v>
      </c>
      <c r="X804" t="s">
        <v>3268</v>
      </c>
      <c r="Y804" t="s">
        <v>7</v>
      </c>
      <c r="Z804" t="s">
        <v>4</v>
      </c>
    </row>
    <row r="805" spans="1:26">
      <c r="B805" t="s">
        <v>3188</v>
      </c>
      <c r="C805" t="s">
        <v>1542</v>
      </c>
      <c r="D805" t="s">
        <v>2409</v>
      </c>
      <c r="E805" t="s">
        <v>2806</v>
      </c>
      <c r="F805" t="s">
        <v>2804</v>
      </c>
      <c r="G805">
        <v>258</v>
      </c>
      <c r="H805" t="s">
        <v>2976</v>
      </c>
      <c r="I805">
        <v>2</v>
      </c>
      <c r="K805" t="s">
        <v>1108</v>
      </c>
      <c r="M805">
        <v>31.4</v>
      </c>
      <c r="N805" t="s">
        <v>2976</v>
      </c>
      <c r="Q805">
        <f t="shared" si="37"/>
        <v>2.2074750973246664E-2</v>
      </c>
      <c r="R805" t="s">
        <v>3267</v>
      </c>
      <c r="W805">
        <v>0.97399999999999998</v>
      </c>
      <c r="X805" t="s">
        <v>3268</v>
      </c>
      <c r="Y805" t="s">
        <v>7</v>
      </c>
      <c r="Z805" t="s">
        <v>4</v>
      </c>
    </row>
    <row r="806" spans="1:26">
      <c r="B806" t="s">
        <v>3188</v>
      </c>
      <c r="C806" t="s">
        <v>1542</v>
      </c>
      <c r="D806" t="s">
        <v>2405</v>
      </c>
      <c r="E806" t="s">
        <v>2836</v>
      </c>
      <c r="F806" t="s">
        <v>2837</v>
      </c>
      <c r="G806">
        <v>258</v>
      </c>
      <c r="H806" t="s">
        <v>2976</v>
      </c>
      <c r="I806">
        <v>2</v>
      </c>
      <c r="K806" t="s">
        <v>1108</v>
      </c>
      <c r="M806">
        <v>192</v>
      </c>
      <c r="N806" t="s">
        <v>2976</v>
      </c>
      <c r="Q806">
        <f t="shared" si="37"/>
        <v>3.6101415654163816E-3</v>
      </c>
      <c r="R806" t="s">
        <v>3267</v>
      </c>
      <c r="W806">
        <v>0.95099999999999996</v>
      </c>
      <c r="X806" t="s">
        <v>3268</v>
      </c>
      <c r="Y806" t="s">
        <v>7</v>
      </c>
      <c r="Z806" t="s">
        <v>4</v>
      </c>
    </row>
    <row r="807" spans="1:26">
      <c r="B807" t="s">
        <v>3188</v>
      </c>
      <c r="C807" t="s">
        <v>1542</v>
      </c>
      <c r="D807" t="s">
        <v>2406</v>
      </c>
      <c r="E807" t="s">
        <v>2836</v>
      </c>
      <c r="F807" t="s">
        <v>2837</v>
      </c>
      <c r="G807">
        <v>258</v>
      </c>
      <c r="H807" t="s">
        <v>2976</v>
      </c>
      <c r="I807">
        <v>2</v>
      </c>
      <c r="K807" t="s">
        <v>1108</v>
      </c>
      <c r="M807" t="s">
        <v>3314</v>
      </c>
      <c r="N807" t="s">
        <v>2976</v>
      </c>
      <c r="W807">
        <v>0.59899999999999998</v>
      </c>
      <c r="X807" t="s">
        <v>3268</v>
      </c>
      <c r="Y807" t="s">
        <v>7</v>
      </c>
      <c r="Z807" t="s">
        <v>4</v>
      </c>
    </row>
    <row r="808" spans="1:26">
      <c r="B808" t="s">
        <v>3188</v>
      </c>
      <c r="C808" t="s">
        <v>1542</v>
      </c>
      <c r="D808" t="s">
        <v>2409</v>
      </c>
      <c r="E808" t="s">
        <v>2836</v>
      </c>
      <c r="F808" t="s">
        <v>2837</v>
      </c>
      <c r="G808">
        <v>258</v>
      </c>
      <c r="H808" t="s">
        <v>2976</v>
      </c>
      <c r="I808">
        <v>2</v>
      </c>
      <c r="K808" t="s">
        <v>1108</v>
      </c>
      <c r="M808">
        <v>235</v>
      </c>
      <c r="N808" t="s">
        <v>2976</v>
      </c>
      <c r="Q808">
        <f t="shared" si="37"/>
        <v>2.9495624704678524E-3</v>
      </c>
      <c r="R808" t="s">
        <v>3267</v>
      </c>
      <c r="W808">
        <v>0.93899999999999995</v>
      </c>
      <c r="X808" t="s">
        <v>3268</v>
      </c>
      <c r="Y808" t="s">
        <v>7</v>
      </c>
      <c r="Z808" t="s">
        <v>4</v>
      </c>
    </row>
    <row r="809" spans="1:26">
      <c r="B809" t="s">
        <v>3188</v>
      </c>
      <c r="C809" t="s">
        <v>1542</v>
      </c>
      <c r="D809" t="s">
        <v>2405</v>
      </c>
      <c r="E809" t="s">
        <v>2872</v>
      </c>
      <c r="F809" t="s">
        <v>2870</v>
      </c>
      <c r="G809">
        <v>258</v>
      </c>
      <c r="H809" t="s">
        <v>2976</v>
      </c>
      <c r="I809">
        <v>2</v>
      </c>
      <c r="K809" t="s">
        <v>1108</v>
      </c>
      <c r="M809">
        <v>15.3</v>
      </c>
      <c r="N809" t="s">
        <v>2976</v>
      </c>
      <c r="Q809">
        <f t="shared" si="37"/>
        <v>4.5303737291499689E-2</v>
      </c>
      <c r="R809" t="s">
        <v>3267</v>
      </c>
      <c r="W809">
        <v>0.97199999999999998</v>
      </c>
      <c r="X809" t="s">
        <v>3268</v>
      </c>
      <c r="Y809" t="s">
        <v>7</v>
      </c>
      <c r="Z809" t="s">
        <v>4</v>
      </c>
    </row>
    <row r="810" spans="1:26">
      <c r="B810" t="s">
        <v>3188</v>
      </c>
      <c r="C810" t="s">
        <v>1542</v>
      </c>
      <c r="D810" t="s">
        <v>2406</v>
      </c>
      <c r="E810" t="s">
        <v>2872</v>
      </c>
      <c r="F810" t="s">
        <v>2870</v>
      </c>
      <c r="G810">
        <v>258</v>
      </c>
      <c r="H810" t="s">
        <v>2976</v>
      </c>
      <c r="I810">
        <v>2</v>
      </c>
      <c r="K810" t="s">
        <v>1108</v>
      </c>
      <c r="M810">
        <v>22.9</v>
      </c>
      <c r="N810" t="s">
        <v>2976</v>
      </c>
      <c r="Q810">
        <v>8.7999999999999995E-2</v>
      </c>
      <c r="R810" t="s">
        <v>3267</v>
      </c>
      <c r="W810">
        <v>0.99399999999999999</v>
      </c>
      <c r="X810" t="s">
        <v>3268</v>
      </c>
      <c r="Y810" t="s">
        <v>7</v>
      </c>
      <c r="Z810" t="s">
        <v>4</v>
      </c>
    </row>
    <row r="811" spans="1:26">
      <c r="B811" t="s">
        <v>3188</v>
      </c>
      <c r="C811" t="s">
        <v>1542</v>
      </c>
      <c r="D811" t="s">
        <v>2409</v>
      </c>
      <c r="E811" t="s">
        <v>2872</v>
      </c>
      <c r="F811" t="s">
        <v>2870</v>
      </c>
      <c r="G811">
        <v>258</v>
      </c>
      <c r="H811" t="s">
        <v>2976</v>
      </c>
      <c r="I811">
        <v>2</v>
      </c>
      <c r="K811" t="s">
        <v>1108</v>
      </c>
      <c r="M811">
        <v>8.1999999999999993</v>
      </c>
      <c r="N811" t="s">
        <v>2976</v>
      </c>
      <c r="Q811">
        <f t="shared" si="37"/>
        <v>8.4530143970725044E-2</v>
      </c>
      <c r="R811" t="s">
        <v>3267</v>
      </c>
      <c r="W811">
        <v>0.97399999999999998</v>
      </c>
      <c r="X811" t="s">
        <v>3268</v>
      </c>
      <c r="Y811" t="s">
        <v>7</v>
      </c>
      <c r="Z811" t="s">
        <v>4</v>
      </c>
    </row>
    <row r="812" spans="1:26">
      <c r="A812" t="s">
        <v>405</v>
      </c>
      <c r="B812" t="s">
        <v>3190</v>
      </c>
      <c r="C812" t="s">
        <v>1544</v>
      </c>
      <c r="D812" t="s">
        <v>2412</v>
      </c>
      <c r="E812" t="s">
        <v>2722</v>
      </c>
      <c r="F812" t="s">
        <v>2713</v>
      </c>
      <c r="G812">
        <v>31</v>
      </c>
      <c r="H812" t="s">
        <v>2976</v>
      </c>
      <c r="I812">
        <v>10</v>
      </c>
      <c r="K812" t="s">
        <v>1108</v>
      </c>
      <c r="M812">
        <v>36</v>
      </c>
      <c r="N812" t="s">
        <v>2976</v>
      </c>
      <c r="Q812">
        <f>LN(2)/M812</f>
        <v>1.9254088348887369E-2</v>
      </c>
      <c r="R812" t="s">
        <v>3267</v>
      </c>
      <c r="W812">
        <v>0.96499999999999997</v>
      </c>
      <c r="X812" t="s">
        <v>3268</v>
      </c>
      <c r="Y812" t="s">
        <v>7</v>
      </c>
      <c r="Z812" t="s">
        <v>4</v>
      </c>
    </row>
    <row r="813" spans="1:26">
      <c r="B813" t="s">
        <v>3190</v>
      </c>
      <c r="C813" t="s">
        <v>1549</v>
      </c>
      <c r="D813" t="s">
        <v>2412</v>
      </c>
      <c r="E813" t="s">
        <v>2722</v>
      </c>
      <c r="F813" t="s">
        <v>2713</v>
      </c>
      <c r="G813">
        <v>31</v>
      </c>
      <c r="H813" t="s">
        <v>2976</v>
      </c>
      <c r="I813">
        <v>10</v>
      </c>
      <c r="K813" t="s">
        <v>1108</v>
      </c>
      <c r="M813">
        <v>40</v>
      </c>
      <c r="N813" t="s">
        <v>2976</v>
      </c>
      <c r="Q813">
        <f t="shared" ref="Q813:Q833" si="38">LN(2)/M813</f>
        <v>1.7328679513998631E-2</v>
      </c>
      <c r="R813" t="s">
        <v>3267</v>
      </c>
      <c r="W813">
        <v>0.96299999999999997</v>
      </c>
      <c r="X813" t="s">
        <v>3268</v>
      </c>
      <c r="Y813" t="s">
        <v>7</v>
      </c>
      <c r="Z813" t="s">
        <v>4</v>
      </c>
    </row>
    <row r="814" spans="1:26">
      <c r="B814" t="s">
        <v>3190</v>
      </c>
      <c r="C814" t="s">
        <v>1549</v>
      </c>
      <c r="D814" t="s">
        <v>2413</v>
      </c>
      <c r="E814" t="s">
        <v>2722</v>
      </c>
      <c r="F814" t="s">
        <v>2713</v>
      </c>
      <c r="G814">
        <v>31</v>
      </c>
      <c r="H814" t="s">
        <v>2976</v>
      </c>
      <c r="I814">
        <v>10</v>
      </c>
      <c r="K814" t="s">
        <v>1108</v>
      </c>
      <c r="M814">
        <v>47</v>
      </c>
      <c r="N814" t="s">
        <v>2976</v>
      </c>
      <c r="Q814">
        <f t="shared" si="38"/>
        <v>1.4747812352339261E-2</v>
      </c>
      <c r="R814" t="s">
        <v>3267</v>
      </c>
      <c r="W814">
        <v>0.70799999999999996</v>
      </c>
      <c r="X814" t="s">
        <v>3268</v>
      </c>
      <c r="Y814" t="s">
        <v>7</v>
      </c>
      <c r="Z814" t="s">
        <v>4</v>
      </c>
    </row>
    <row r="815" spans="1:26">
      <c r="B815" t="s">
        <v>3190</v>
      </c>
      <c r="C815" t="s">
        <v>1549</v>
      </c>
      <c r="D815" t="s">
        <v>2417</v>
      </c>
      <c r="E815" t="s">
        <v>2722</v>
      </c>
      <c r="F815" t="s">
        <v>2713</v>
      </c>
      <c r="G815">
        <v>31</v>
      </c>
      <c r="H815" t="s">
        <v>2976</v>
      </c>
      <c r="I815">
        <v>10</v>
      </c>
      <c r="K815" t="s">
        <v>1108</v>
      </c>
      <c r="M815">
        <v>42</v>
      </c>
      <c r="N815" t="s">
        <v>2976</v>
      </c>
      <c r="Q815">
        <f t="shared" si="38"/>
        <v>1.6503504299046318E-2</v>
      </c>
      <c r="R815" t="s">
        <v>3267</v>
      </c>
      <c r="W815">
        <v>0.85299999999999998</v>
      </c>
      <c r="X815" t="s">
        <v>3268</v>
      </c>
      <c r="Y815" t="s">
        <v>7</v>
      </c>
      <c r="Z815" t="s">
        <v>4</v>
      </c>
    </row>
    <row r="816" spans="1:26">
      <c r="B816" t="s">
        <v>3190</v>
      </c>
      <c r="C816" t="s">
        <v>1549</v>
      </c>
      <c r="D816" t="s">
        <v>2418</v>
      </c>
      <c r="E816" t="s">
        <v>2722</v>
      </c>
      <c r="F816" t="s">
        <v>2713</v>
      </c>
      <c r="G816">
        <v>31</v>
      </c>
      <c r="H816" t="s">
        <v>2976</v>
      </c>
      <c r="I816">
        <v>10</v>
      </c>
      <c r="K816" t="s">
        <v>1108</v>
      </c>
      <c r="M816">
        <v>56</v>
      </c>
      <c r="N816" t="s">
        <v>2976</v>
      </c>
      <c r="Q816">
        <f t="shared" si="38"/>
        <v>1.2377628224284737E-2</v>
      </c>
      <c r="R816" t="s">
        <v>3267</v>
      </c>
      <c r="W816">
        <v>0.91800000000000004</v>
      </c>
      <c r="X816" t="s">
        <v>3268</v>
      </c>
      <c r="Y816" t="s">
        <v>7</v>
      </c>
      <c r="Z816" t="s">
        <v>4</v>
      </c>
    </row>
    <row r="817" spans="2:26">
      <c r="B817" t="s">
        <v>3190</v>
      </c>
      <c r="C817" t="s">
        <v>1549</v>
      </c>
      <c r="D817" t="s">
        <v>2419</v>
      </c>
      <c r="E817" t="s">
        <v>2722</v>
      </c>
      <c r="F817" t="s">
        <v>2713</v>
      </c>
      <c r="G817">
        <v>31</v>
      </c>
      <c r="H817" t="s">
        <v>2976</v>
      </c>
      <c r="I817">
        <v>10</v>
      </c>
      <c r="K817" t="s">
        <v>1108</v>
      </c>
      <c r="M817">
        <v>45</v>
      </c>
      <c r="N817" t="s">
        <v>2976</v>
      </c>
      <c r="Q817">
        <f t="shared" si="38"/>
        <v>1.5403270679109895E-2</v>
      </c>
      <c r="R817" t="s">
        <v>3267</v>
      </c>
      <c r="W817">
        <v>0.86</v>
      </c>
      <c r="X817" t="s">
        <v>3268</v>
      </c>
      <c r="Y817" t="s">
        <v>7</v>
      </c>
      <c r="Z817" t="s">
        <v>4</v>
      </c>
    </row>
    <row r="818" spans="2:26">
      <c r="B818" t="s">
        <v>3190</v>
      </c>
      <c r="C818" t="s">
        <v>1550</v>
      </c>
      <c r="D818" t="s">
        <v>2412</v>
      </c>
      <c r="E818" t="s">
        <v>2722</v>
      </c>
      <c r="F818" t="s">
        <v>2713</v>
      </c>
      <c r="G818">
        <v>31</v>
      </c>
      <c r="H818" t="s">
        <v>2976</v>
      </c>
      <c r="I818">
        <v>10</v>
      </c>
      <c r="K818" t="s">
        <v>1108</v>
      </c>
      <c r="M818">
        <v>112</v>
      </c>
      <c r="N818" t="s">
        <v>2976</v>
      </c>
      <c r="Q818">
        <f t="shared" si="38"/>
        <v>6.1888141121423683E-3</v>
      </c>
      <c r="R818" t="s">
        <v>3267</v>
      </c>
      <c r="W818">
        <v>0.66300000000000003</v>
      </c>
      <c r="X818" t="s">
        <v>3268</v>
      </c>
      <c r="Y818" t="s">
        <v>7</v>
      </c>
      <c r="Z818" t="s">
        <v>4</v>
      </c>
    </row>
    <row r="819" spans="2:26">
      <c r="B819" t="s">
        <v>3190</v>
      </c>
      <c r="C819" t="s">
        <v>1550</v>
      </c>
      <c r="D819" t="s">
        <v>2413</v>
      </c>
      <c r="E819" t="s">
        <v>2722</v>
      </c>
      <c r="F819" t="s">
        <v>2713</v>
      </c>
      <c r="G819">
        <v>31</v>
      </c>
      <c r="H819" t="s">
        <v>2976</v>
      </c>
      <c r="I819">
        <v>10</v>
      </c>
      <c r="K819" t="s">
        <v>1108</v>
      </c>
      <c r="M819">
        <v>58</v>
      </c>
      <c r="N819" t="s">
        <v>2976</v>
      </c>
      <c r="Q819">
        <f t="shared" si="38"/>
        <v>1.1950813457930091E-2</v>
      </c>
      <c r="R819" t="s">
        <v>3267</v>
      </c>
      <c r="W819">
        <v>0.71799999999999997</v>
      </c>
      <c r="X819" t="s">
        <v>3268</v>
      </c>
      <c r="Y819" t="s">
        <v>7</v>
      </c>
      <c r="Z819" t="s">
        <v>4</v>
      </c>
    </row>
    <row r="820" spans="2:26">
      <c r="B820" t="s">
        <v>3190</v>
      </c>
      <c r="C820" t="s">
        <v>1550</v>
      </c>
      <c r="D820" t="s">
        <v>2417</v>
      </c>
      <c r="E820" t="s">
        <v>2722</v>
      </c>
      <c r="F820" t="s">
        <v>2713</v>
      </c>
      <c r="G820">
        <v>31</v>
      </c>
      <c r="H820" t="s">
        <v>2976</v>
      </c>
      <c r="I820">
        <v>10</v>
      </c>
      <c r="K820" t="s">
        <v>1108</v>
      </c>
      <c r="M820">
        <v>33</v>
      </c>
      <c r="N820" t="s">
        <v>2976</v>
      </c>
      <c r="Q820">
        <f t="shared" si="38"/>
        <v>2.1004460016968041E-2</v>
      </c>
      <c r="R820" t="s">
        <v>3267</v>
      </c>
      <c r="W820">
        <v>0.86599999999999999</v>
      </c>
      <c r="X820" t="s">
        <v>3268</v>
      </c>
      <c r="Y820" t="s">
        <v>7</v>
      </c>
      <c r="Z820" t="s">
        <v>4</v>
      </c>
    </row>
    <row r="821" spans="2:26">
      <c r="B821" t="s">
        <v>3190</v>
      </c>
      <c r="C821" t="s">
        <v>1550</v>
      </c>
      <c r="D821" t="s">
        <v>2418</v>
      </c>
      <c r="E821" t="s">
        <v>2722</v>
      </c>
      <c r="F821" t="s">
        <v>2713</v>
      </c>
      <c r="G821">
        <v>31</v>
      </c>
      <c r="H821" t="s">
        <v>2976</v>
      </c>
      <c r="I821">
        <v>10</v>
      </c>
      <c r="K821" t="s">
        <v>1108</v>
      </c>
      <c r="M821">
        <v>35</v>
      </c>
      <c r="N821" t="s">
        <v>2976</v>
      </c>
      <c r="Q821">
        <f t="shared" si="38"/>
        <v>1.980420515885558E-2</v>
      </c>
      <c r="R821" t="s">
        <v>3267</v>
      </c>
      <c r="W821">
        <v>0.86799999999999999</v>
      </c>
      <c r="X821" t="s">
        <v>3268</v>
      </c>
      <c r="Y821" t="s">
        <v>7</v>
      </c>
      <c r="Z821" t="s">
        <v>4</v>
      </c>
    </row>
    <row r="822" spans="2:26">
      <c r="B822" t="s">
        <v>3190</v>
      </c>
      <c r="C822" t="s">
        <v>1550</v>
      </c>
      <c r="D822" t="s">
        <v>2419</v>
      </c>
      <c r="E822" t="s">
        <v>2722</v>
      </c>
      <c r="F822" t="s">
        <v>2713</v>
      </c>
      <c r="G822">
        <v>31</v>
      </c>
      <c r="H822" t="s">
        <v>2976</v>
      </c>
      <c r="I822">
        <v>10</v>
      </c>
      <c r="K822" t="s">
        <v>1108</v>
      </c>
      <c r="M822">
        <v>40</v>
      </c>
      <c r="N822" t="s">
        <v>2976</v>
      </c>
      <c r="Q822">
        <f t="shared" si="38"/>
        <v>1.7328679513998631E-2</v>
      </c>
      <c r="R822" t="s">
        <v>3267</v>
      </c>
      <c r="W822">
        <v>0.88800000000000001</v>
      </c>
      <c r="X822" t="s">
        <v>3268</v>
      </c>
      <c r="Y822" t="s">
        <v>7</v>
      </c>
      <c r="Z822" t="s">
        <v>4</v>
      </c>
    </row>
    <row r="823" spans="2:26">
      <c r="B823" t="s">
        <v>3190</v>
      </c>
      <c r="C823" t="s">
        <v>1544</v>
      </c>
      <c r="D823" t="s">
        <v>2412</v>
      </c>
      <c r="E823" t="s">
        <v>2747</v>
      </c>
      <c r="F823" t="s">
        <v>2742</v>
      </c>
      <c r="G823">
        <v>31</v>
      </c>
      <c r="H823" t="s">
        <v>2976</v>
      </c>
      <c r="I823">
        <v>10</v>
      </c>
      <c r="K823" t="s">
        <v>1108</v>
      </c>
      <c r="M823">
        <v>17</v>
      </c>
      <c r="N823" t="s">
        <v>2976</v>
      </c>
      <c r="Q823">
        <f t="shared" si="38"/>
        <v>4.0773363562349722E-2</v>
      </c>
      <c r="R823" t="s">
        <v>3267</v>
      </c>
      <c r="W823">
        <v>0.97</v>
      </c>
      <c r="X823" t="s">
        <v>3268</v>
      </c>
      <c r="Y823" t="s">
        <v>7</v>
      </c>
      <c r="Z823" t="s">
        <v>4</v>
      </c>
    </row>
    <row r="824" spans="2:26">
      <c r="B824" t="s">
        <v>3190</v>
      </c>
      <c r="C824" t="s">
        <v>1549</v>
      </c>
      <c r="D824" t="s">
        <v>2412</v>
      </c>
      <c r="E824" t="s">
        <v>2747</v>
      </c>
      <c r="F824" t="s">
        <v>2742</v>
      </c>
      <c r="G824">
        <v>31</v>
      </c>
      <c r="H824" t="s">
        <v>2976</v>
      </c>
      <c r="I824">
        <v>10</v>
      </c>
      <c r="K824" t="s">
        <v>1108</v>
      </c>
      <c r="M824">
        <v>87</v>
      </c>
      <c r="N824" t="s">
        <v>2976</v>
      </c>
      <c r="Q824">
        <f t="shared" si="38"/>
        <v>7.9672089719533944E-3</v>
      </c>
      <c r="R824" t="s">
        <v>3267</v>
      </c>
      <c r="W824">
        <v>0.60599999999999998</v>
      </c>
      <c r="X824" t="s">
        <v>3268</v>
      </c>
      <c r="Y824" t="s">
        <v>7</v>
      </c>
      <c r="Z824" t="s">
        <v>4</v>
      </c>
    </row>
    <row r="825" spans="2:26">
      <c r="B825" t="s">
        <v>3190</v>
      </c>
      <c r="C825" t="s">
        <v>1549</v>
      </c>
      <c r="D825" t="s">
        <v>2413</v>
      </c>
      <c r="E825" t="s">
        <v>2747</v>
      </c>
      <c r="F825" t="s">
        <v>2742</v>
      </c>
      <c r="G825">
        <v>31</v>
      </c>
      <c r="H825" t="s">
        <v>2976</v>
      </c>
      <c r="I825">
        <v>10</v>
      </c>
      <c r="K825" t="s">
        <v>1108</v>
      </c>
      <c r="M825">
        <v>187</v>
      </c>
      <c r="N825" t="s">
        <v>2976</v>
      </c>
      <c r="Q825">
        <f t="shared" si="38"/>
        <v>3.7066694147590657E-3</v>
      </c>
      <c r="R825" t="s">
        <v>3267</v>
      </c>
      <c r="W825">
        <v>0.33300000000000002</v>
      </c>
      <c r="X825" t="s">
        <v>3268</v>
      </c>
      <c r="Y825" t="s">
        <v>7</v>
      </c>
      <c r="Z825" t="s">
        <v>4</v>
      </c>
    </row>
    <row r="826" spans="2:26">
      <c r="B826" t="s">
        <v>3190</v>
      </c>
      <c r="C826" t="s">
        <v>1549</v>
      </c>
      <c r="D826" t="s">
        <v>2417</v>
      </c>
      <c r="E826" t="s">
        <v>2747</v>
      </c>
      <c r="F826" t="s">
        <v>2742</v>
      </c>
      <c r="G826">
        <v>31</v>
      </c>
      <c r="H826" t="s">
        <v>2976</v>
      </c>
      <c r="I826">
        <v>10</v>
      </c>
      <c r="K826" t="s">
        <v>1108</v>
      </c>
      <c r="M826">
        <v>151</v>
      </c>
      <c r="N826" t="s">
        <v>2976</v>
      </c>
      <c r="Q826">
        <f t="shared" si="38"/>
        <v>4.5903786792049353E-3</v>
      </c>
      <c r="R826" t="s">
        <v>3267</v>
      </c>
      <c r="W826">
        <v>0.38500000000000001</v>
      </c>
      <c r="X826" t="s">
        <v>3268</v>
      </c>
      <c r="Y826" t="s">
        <v>7</v>
      </c>
      <c r="Z826" t="s">
        <v>4</v>
      </c>
    </row>
    <row r="827" spans="2:26">
      <c r="B827" t="s">
        <v>3190</v>
      </c>
      <c r="C827" t="s">
        <v>1549</v>
      </c>
      <c r="D827" t="s">
        <v>2418</v>
      </c>
      <c r="E827" t="s">
        <v>2747</v>
      </c>
      <c r="F827" t="s">
        <v>2742</v>
      </c>
      <c r="G827">
        <v>31</v>
      </c>
      <c r="H827" t="s">
        <v>2976</v>
      </c>
      <c r="I827">
        <v>10</v>
      </c>
      <c r="K827" t="s">
        <v>1108</v>
      </c>
      <c r="M827">
        <v>131</v>
      </c>
      <c r="N827" t="s">
        <v>2976</v>
      </c>
      <c r="Q827">
        <f t="shared" si="38"/>
        <v>5.2911998516026355E-3</v>
      </c>
      <c r="R827" t="s">
        <v>3267</v>
      </c>
      <c r="W827">
        <v>0.40200000000000002</v>
      </c>
      <c r="X827" t="s">
        <v>3268</v>
      </c>
      <c r="Y827" t="s">
        <v>7</v>
      </c>
      <c r="Z827" t="s">
        <v>4</v>
      </c>
    </row>
    <row r="828" spans="2:26">
      <c r="B828" t="s">
        <v>3190</v>
      </c>
      <c r="C828" t="s">
        <v>1549</v>
      </c>
      <c r="D828" t="s">
        <v>2419</v>
      </c>
      <c r="E828" t="s">
        <v>2747</v>
      </c>
      <c r="F828" t="s">
        <v>2742</v>
      </c>
      <c r="G828">
        <v>31</v>
      </c>
      <c r="H828" t="s">
        <v>2976</v>
      </c>
      <c r="I828">
        <v>10</v>
      </c>
      <c r="K828" t="s">
        <v>1108</v>
      </c>
      <c r="M828">
        <v>51</v>
      </c>
      <c r="N828" t="s">
        <v>2976</v>
      </c>
      <c r="Q828">
        <f t="shared" si="38"/>
        <v>1.3591121187449907E-2</v>
      </c>
      <c r="R828" t="s">
        <v>3267</v>
      </c>
      <c r="W828">
        <v>0.94499999999999995</v>
      </c>
      <c r="X828" t="s">
        <v>3268</v>
      </c>
      <c r="Y828" t="s">
        <v>7</v>
      </c>
      <c r="Z828" t="s">
        <v>4</v>
      </c>
    </row>
    <row r="829" spans="2:26">
      <c r="B829" t="s">
        <v>3190</v>
      </c>
      <c r="C829" t="s">
        <v>1550</v>
      </c>
      <c r="D829" t="s">
        <v>2412</v>
      </c>
      <c r="E829" t="s">
        <v>2747</v>
      </c>
      <c r="F829" t="s">
        <v>2742</v>
      </c>
      <c r="G829">
        <v>31</v>
      </c>
      <c r="H829" t="s">
        <v>2976</v>
      </c>
      <c r="I829">
        <v>10</v>
      </c>
      <c r="K829" t="s">
        <v>1108</v>
      </c>
      <c r="M829">
        <v>182</v>
      </c>
      <c r="N829" t="s">
        <v>2976</v>
      </c>
      <c r="Q829">
        <f t="shared" si="38"/>
        <v>3.8085009920876115E-3</v>
      </c>
      <c r="R829" t="s">
        <v>3267</v>
      </c>
      <c r="W829">
        <v>0.48199999999999998</v>
      </c>
      <c r="X829" t="s">
        <v>3268</v>
      </c>
      <c r="Y829" t="s">
        <v>7</v>
      </c>
      <c r="Z829" t="s">
        <v>4</v>
      </c>
    </row>
    <row r="830" spans="2:26">
      <c r="B830" t="s">
        <v>3190</v>
      </c>
      <c r="C830" t="s">
        <v>1550</v>
      </c>
      <c r="D830" t="s">
        <v>2413</v>
      </c>
      <c r="E830" t="s">
        <v>2747</v>
      </c>
      <c r="F830" t="s">
        <v>2742</v>
      </c>
      <c r="G830">
        <v>31</v>
      </c>
      <c r="H830" t="s">
        <v>2976</v>
      </c>
      <c r="I830">
        <v>10</v>
      </c>
      <c r="K830" t="s">
        <v>1108</v>
      </c>
      <c r="M830">
        <v>83</v>
      </c>
      <c r="N830" t="s">
        <v>2976</v>
      </c>
      <c r="Q830">
        <f t="shared" si="38"/>
        <v>8.3511708501198233E-3</v>
      </c>
      <c r="R830" t="s">
        <v>3267</v>
      </c>
      <c r="W830">
        <v>0.76700000000000002</v>
      </c>
      <c r="X830" t="s">
        <v>3268</v>
      </c>
      <c r="Y830" t="s">
        <v>7</v>
      </c>
      <c r="Z830" t="s">
        <v>4</v>
      </c>
    </row>
    <row r="831" spans="2:26">
      <c r="B831" t="s">
        <v>3190</v>
      </c>
      <c r="C831" t="s">
        <v>1550</v>
      </c>
      <c r="D831" t="s">
        <v>2417</v>
      </c>
      <c r="E831" t="s">
        <v>2747</v>
      </c>
      <c r="F831" t="s">
        <v>2742</v>
      </c>
      <c r="G831">
        <v>31</v>
      </c>
      <c r="H831" t="s">
        <v>2976</v>
      </c>
      <c r="I831">
        <v>10</v>
      </c>
      <c r="K831" t="s">
        <v>1108</v>
      </c>
      <c r="M831">
        <v>66</v>
      </c>
      <c r="N831" t="s">
        <v>2976</v>
      </c>
      <c r="Q831">
        <f t="shared" si="38"/>
        <v>1.050223000848402E-2</v>
      </c>
      <c r="R831" t="s">
        <v>3267</v>
      </c>
      <c r="W831">
        <v>0.67400000000000004</v>
      </c>
      <c r="X831" t="s">
        <v>3268</v>
      </c>
      <c r="Y831" t="s">
        <v>7</v>
      </c>
      <c r="Z831" t="s">
        <v>4</v>
      </c>
    </row>
    <row r="832" spans="2:26">
      <c r="B832" t="s">
        <v>3190</v>
      </c>
      <c r="C832" t="s">
        <v>1550</v>
      </c>
      <c r="D832" t="s">
        <v>2418</v>
      </c>
      <c r="E832" t="s">
        <v>2747</v>
      </c>
      <c r="F832" t="s">
        <v>2742</v>
      </c>
      <c r="G832">
        <v>31</v>
      </c>
      <c r="H832" t="s">
        <v>2976</v>
      </c>
      <c r="I832">
        <v>10</v>
      </c>
      <c r="K832" t="s">
        <v>1108</v>
      </c>
      <c r="M832">
        <v>78</v>
      </c>
      <c r="N832" t="s">
        <v>2976</v>
      </c>
      <c r="Q832">
        <f t="shared" si="38"/>
        <v>8.8865023148710937E-3</v>
      </c>
      <c r="R832" t="s">
        <v>3267</v>
      </c>
      <c r="W832">
        <v>0.621</v>
      </c>
      <c r="X832" t="s">
        <v>3268</v>
      </c>
      <c r="Y832" t="s">
        <v>7</v>
      </c>
      <c r="Z832" t="s">
        <v>4</v>
      </c>
    </row>
    <row r="833" spans="1:26">
      <c r="B833" t="s">
        <v>3190</v>
      </c>
      <c r="C833" t="s">
        <v>1550</v>
      </c>
      <c r="D833" t="s">
        <v>2419</v>
      </c>
      <c r="E833" t="s">
        <v>2747</v>
      </c>
      <c r="F833" t="s">
        <v>2742</v>
      </c>
      <c r="G833">
        <v>31</v>
      </c>
      <c r="H833" t="s">
        <v>2976</v>
      </c>
      <c r="I833">
        <v>10</v>
      </c>
      <c r="K833" t="s">
        <v>1108</v>
      </c>
      <c r="M833">
        <v>53</v>
      </c>
      <c r="N833" t="s">
        <v>2976</v>
      </c>
      <c r="Q833">
        <f t="shared" si="38"/>
        <v>1.3078248689810288E-2</v>
      </c>
      <c r="R833" t="s">
        <v>3267</v>
      </c>
      <c r="W833">
        <v>0.86099999999999999</v>
      </c>
      <c r="X833" t="s">
        <v>3268</v>
      </c>
      <c r="Y833" t="s">
        <v>7</v>
      </c>
      <c r="Z833" t="s">
        <v>4</v>
      </c>
    </row>
    <row r="834" spans="1:26">
      <c r="A834" t="s">
        <v>414</v>
      </c>
      <c r="B834" t="s">
        <v>3193</v>
      </c>
      <c r="C834" t="s">
        <v>1554</v>
      </c>
      <c r="D834" t="s">
        <v>2420</v>
      </c>
      <c r="E834" t="s">
        <v>2839</v>
      </c>
      <c r="F834" t="s">
        <v>2837</v>
      </c>
      <c r="G834">
        <v>60</v>
      </c>
      <c r="H834" t="s">
        <v>2976</v>
      </c>
      <c r="I834">
        <v>5</v>
      </c>
      <c r="K834" t="s">
        <v>1572</v>
      </c>
      <c r="M834">
        <v>41.2</v>
      </c>
      <c r="N834" t="s">
        <v>2976</v>
      </c>
      <c r="Q834">
        <f>LN(2)/M834</f>
        <v>1.6823960693202553E-2</v>
      </c>
      <c r="R834" t="s">
        <v>3267</v>
      </c>
      <c r="W834">
        <v>0.91</v>
      </c>
      <c r="Y834" t="s">
        <v>7</v>
      </c>
      <c r="Z834" t="s">
        <v>4</v>
      </c>
    </row>
    <row r="835" spans="1:26">
      <c r="B835" t="s">
        <v>3193</v>
      </c>
      <c r="C835" t="s">
        <v>1554</v>
      </c>
      <c r="D835" t="s">
        <v>2421</v>
      </c>
      <c r="E835" t="s">
        <v>2839</v>
      </c>
      <c r="F835" t="s">
        <v>2837</v>
      </c>
      <c r="G835">
        <v>60</v>
      </c>
      <c r="H835" t="s">
        <v>2976</v>
      </c>
      <c r="I835">
        <v>5</v>
      </c>
      <c r="K835" t="s">
        <v>1572</v>
      </c>
      <c r="M835">
        <v>33.4</v>
      </c>
      <c r="N835" t="s">
        <v>2976</v>
      </c>
      <c r="Q835">
        <f t="shared" ref="Q835:Q839" si="39">LN(2)/M835</f>
        <v>2.0752909597603154E-2</v>
      </c>
      <c r="R835" t="s">
        <v>3267</v>
      </c>
      <c r="W835">
        <v>0.93</v>
      </c>
      <c r="Y835" t="s">
        <v>7</v>
      </c>
      <c r="Z835" t="s">
        <v>4</v>
      </c>
    </row>
    <row r="836" spans="1:26">
      <c r="B836" t="s">
        <v>3193</v>
      </c>
      <c r="C836" t="s">
        <v>1554</v>
      </c>
      <c r="D836" t="s">
        <v>2424</v>
      </c>
      <c r="E836" t="s">
        <v>2839</v>
      </c>
      <c r="F836" t="s">
        <v>2837</v>
      </c>
      <c r="G836">
        <v>60</v>
      </c>
      <c r="H836" t="s">
        <v>2976</v>
      </c>
      <c r="I836">
        <v>5</v>
      </c>
      <c r="K836" t="s">
        <v>1572</v>
      </c>
      <c r="M836">
        <v>30.1</v>
      </c>
      <c r="N836" t="s">
        <v>2976</v>
      </c>
      <c r="Q836">
        <f t="shared" si="39"/>
        <v>2.3028145533552997E-2</v>
      </c>
      <c r="R836" t="s">
        <v>3267</v>
      </c>
      <c r="W836">
        <v>0.89</v>
      </c>
      <c r="Y836" t="s">
        <v>7</v>
      </c>
      <c r="Z836" t="s">
        <v>4</v>
      </c>
    </row>
    <row r="837" spans="1:26">
      <c r="B837" t="s">
        <v>3193</v>
      </c>
      <c r="C837" t="s">
        <v>1554</v>
      </c>
      <c r="D837" t="s">
        <v>2420</v>
      </c>
      <c r="E837" t="s">
        <v>2859</v>
      </c>
      <c r="F837" t="s">
        <v>2860</v>
      </c>
      <c r="G837">
        <v>60</v>
      </c>
      <c r="H837" t="s">
        <v>2976</v>
      </c>
      <c r="I837">
        <v>5</v>
      </c>
      <c r="K837" t="s">
        <v>1572</v>
      </c>
      <c r="M837">
        <v>73.400000000000006</v>
      </c>
      <c r="N837" t="s">
        <v>2976</v>
      </c>
      <c r="Q837">
        <f t="shared" si="39"/>
        <v>9.4434220784733684E-3</v>
      </c>
      <c r="R837" t="s">
        <v>3267</v>
      </c>
      <c r="W837">
        <v>0.98</v>
      </c>
      <c r="Y837" t="s">
        <v>7</v>
      </c>
      <c r="Z837" t="s">
        <v>4</v>
      </c>
    </row>
    <row r="838" spans="1:26">
      <c r="B838" t="s">
        <v>3193</v>
      </c>
      <c r="C838" t="s">
        <v>1554</v>
      </c>
      <c r="D838" t="s">
        <v>2421</v>
      </c>
      <c r="E838" t="s">
        <v>2859</v>
      </c>
      <c r="F838" t="s">
        <v>2860</v>
      </c>
      <c r="G838">
        <v>60</v>
      </c>
      <c r="H838" t="s">
        <v>2976</v>
      </c>
      <c r="I838">
        <v>5</v>
      </c>
      <c r="K838" t="s">
        <v>1572</v>
      </c>
      <c r="M838">
        <v>62.7</v>
      </c>
      <c r="N838" t="s">
        <v>2976</v>
      </c>
      <c r="Q838">
        <f t="shared" si="39"/>
        <v>1.1054978956298967E-2</v>
      </c>
      <c r="R838" t="s">
        <v>3267</v>
      </c>
      <c r="W838">
        <v>0.88</v>
      </c>
      <c r="Y838" t="s">
        <v>7</v>
      </c>
      <c r="Z838" t="s">
        <v>4</v>
      </c>
    </row>
    <row r="839" spans="1:26">
      <c r="B839" t="s">
        <v>3193</v>
      </c>
      <c r="C839" t="s">
        <v>1554</v>
      </c>
      <c r="D839" t="s">
        <v>2424</v>
      </c>
      <c r="E839" t="s">
        <v>2859</v>
      </c>
      <c r="F839" t="s">
        <v>2860</v>
      </c>
      <c r="G839">
        <v>60</v>
      </c>
      <c r="H839" t="s">
        <v>2976</v>
      </c>
      <c r="I839">
        <v>5</v>
      </c>
      <c r="K839" t="s">
        <v>1572</v>
      </c>
      <c r="M839">
        <v>51.9</v>
      </c>
      <c r="N839" t="s">
        <v>2976</v>
      </c>
      <c r="Q839">
        <f t="shared" si="39"/>
        <v>1.335543700500858E-2</v>
      </c>
      <c r="R839" t="s">
        <v>3267</v>
      </c>
      <c r="W839">
        <v>0.89</v>
      </c>
      <c r="Y839" t="s">
        <v>7</v>
      </c>
      <c r="Z839" t="s">
        <v>4</v>
      </c>
    </row>
    <row r="840" spans="1:26">
      <c r="A840" t="s">
        <v>422</v>
      </c>
      <c r="B840" t="s">
        <v>3194</v>
      </c>
      <c r="C840" t="s">
        <v>1556</v>
      </c>
      <c r="D840" t="s">
        <v>2425</v>
      </c>
      <c r="E840" t="s">
        <v>2619</v>
      </c>
      <c r="F840" t="s">
        <v>2607</v>
      </c>
      <c r="G840">
        <v>80</v>
      </c>
      <c r="H840" t="s">
        <v>2976</v>
      </c>
      <c r="I840">
        <v>1</v>
      </c>
      <c r="K840" t="s">
        <v>1108</v>
      </c>
      <c r="M840">
        <v>15</v>
      </c>
      <c r="N840" t="s">
        <v>2976</v>
      </c>
      <c r="Q840">
        <f>LN(2)/M840</f>
        <v>4.6209812037329684E-2</v>
      </c>
      <c r="R840" t="s">
        <v>3267</v>
      </c>
      <c r="W840">
        <v>0.98</v>
      </c>
      <c r="X840" t="s">
        <v>3268</v>
      </c>
      <c r="Y840" t="s">
        <v>7</v>
      </c>
      <c r="Z840" t="s">
        <v>4</v>
      </c>
    </row>
    <row r="841" spans="1:26">
      <c r="B841" t="s">
        <v>3194</v>
      </c>
      <c r="C841" t="s">
        <v>1556</v>
      </c>
      <c r="D841" t="s">
        <v>2426</v>
      </c>
      <c r="E841" t="s">
        <v>2619</v>
      </c>
      <c r="F841" t="s">
        <v>2607</v>
      </c>
      <c r="G841">
        <v>80</v>
      </c>
      <c r="H841" t="s">
        <v>2976</v>
      </c>
      <c r="I841">
        <v>1</v>
      </c>
      <c r="K841" t="s">
        <v>1108</v>
      </c>
      <c r="M841">
        <v>15</v>
      </c>
      <c r="N841" t="s">
        <v>2976</v>
      </c>
      <c r="Q841">
        <f t="shared" ref="Q841:Q847" si="40">LN(2)/M841</f>
        <v>4.6209812037329684E-2</v>
      </c>
      <c r="R841" t="s">
        <v>3267</v>
      </c>
      <c r="W841">
        <v>0.97</v>
      </c>
      <c r="X841" t="s">
        <v>3268</v>
      </c>
      <c r="Y841" t="s">
        <v>7</v>
      </c>
      <c r="Z841" t="s">
        <v>4</v>
      </c>
    </row>
    <row r="842" spans="1:26">
      <c r="B842" t="s">
        <v>3194</v>
      </c>
      <c r="C842" t="s">
        <v>1556</v>
      </c>
      <c r="D842" t="s">
        <v>2429</v>
      </c>
      <c r="E842" t="s">
        <v>2619</v>
      </c>
      <c r="F842" t="s">
        <v>2607</v>
      </c>
      <c r="G842">
        <v>80</v>
      </c>
      <c r="H842" t="s">
        <v>2976</v>
      </c>
      <c r="I842">
        <v>1</v>
      </c>
      <c r="K842" t="s">
        <v>1108</v>
      </c>
      <c r="M842">
        <v>17</v>
      </c>
      <c r="N842" t="s">
        <v>2976</v>
      </c>
      <c r="Q842">
        <f t="shared" si="40"/>
        <v>4.0773363562349722E-2</v>
      </c>
      <c r="R842" t="s">
        <v>3267</v>
      </c>
      <c r="W842">
        <v>0.99</v>
      </c>
      <c r="X842" t="s">
        <v>3268</v>
      </c>
      <c r="Y842" t="s">
        <v>7</v>
      </c>
      <c r="Z842" t="s">
        <v>4</v>
      </c>
    </row>
    <row r="843" spans="1:26">
      <c r="B843" t="s">
        <v>3194</v>
      </c>
      <c r="C843" t="s">
        <v>1556</v>
      </c>
      <c r="D843" t="s">
        <v>2430</v>
      </c>
      <c r="E843" t="s">
        <v>2619</v>
      </c>
      <c r="F843" t="s">
        <v>2607</v>
      </c>
      <c r="G843">
        <v>80</v>
      </c>
      <c r="H843" t="s">
        <v>2976</v>
      </c>
      <c r="I843">
        <v>1</v>
      </c>
      <c r="K843" t="s">
        <v>1108</v>
      </c>
      <c r="M843">
        <v>19</v>
      </c>
      <c r="N843" t="s">
        <v>2976</v>
      </c>
      <c r="Q843">
        <f t="shared" si="40"/>
        <v>3.6481430555786593E-2</v>
      </c>
      <c r="R843" t="s">
        <v>3267</v>
      </c>
      <c r="W843">
        <v>0.98</v>
      </c>
      <c r="X843" t="s">
        <v>3268</v>
      </c>
      <c r="Y843" t="s">
        <v>7</v>
      </c>
      <c r="Z843" t="s">
        <v>4</v>
      </c>
    </row>
    <row r="844" spans="1:26">
      <c r="B844" t="s">
        <v>3194</v>
      </c>
      <c r="C844" t="s">
        <v>1556</v>
      </c>
      <c r="D844" t="s">
        <v>2425</v>
      </c>
      <c r="E844" t="s">
        <v>2619</v>
      </c>
      <c r="F844" t="s">
        <v>2607</v>
      </c>
      <c r="G844">
        <v>80</v>
      </c>
      <c r="H844" t="s">
        <v>2976</v>
      </c>
      <c r="I844">
        <v>2</v>
      </c>
      <c r="K844" t="s">
        <v>1108</v>
      </c>
      <c r="M844">
        <v>17</v>
      </c>
      <c r="N844" t="s">
        <v>2976</v>
      </c>
      <c r="Q844">
        <f t="shared" si="40"/>
        <v>4.0773363562349722E-2</v>
      </c>
      <c r="R844" t="s">
        <v>3267</v>
      </c>
      <c r="W844">
        <v>0.99</v>
      </c>
      <c r="X844" t="s">
        <v>3268</v>
      </c>
      <c r="Y844" t="s">
        <v>7</v>
      </c>
      <c r="Z844" t="s">
        <v>4</v>
      </c>
    </row>
    <row r="845" spans="1:26">
      <c r="B845" t="s">
        <v>3194</v>
      </c>
      <c r="C845" t="s">
        <v>1556</v>
      </c>
      <c r="D845" t="s">
        <v>2426</v>
      </c>
      <c r="E845" t="s">
        <v>2619</v>
      </c>
      <c r="F845" t="s">
        <v>2607</v>
      </c>
      <c r="G845">
        <v>80</v>
      </c>
      <c r="H845" t="s">
        <v>2976</v>
      </c>
      <c r="I845">
        <v>2</v>
      </c>
      <c r="K845" t="s">
        <v>1108</v>
      </c>
      <c r="M845">
        <v>15</v>
      </c>
      <c r="N845" t="s">
        <v>2976</v>
      </c>
      <c r="Q845">
        <f t="shared" si="40"/>
        <v>4.6209812037329684E-2</v>
      </c>
      <c r="R845" t="s">
        <v>3267</v>
      </c>
      <c r="W845">
        <v>0.99</v>
      </c>
      <c r="X845" t="s">
        <v>3268</v>
      </c>
      <c r="Y845" t="s">
        <v>7</v>
      </c>
      <c r="Z845" t="s">
        <v>4</v>
      </c>
    </row>
    <row r="846" spans="1:26">
      <c r="B846" t="s">
        <v>3194</v>
      </c>
      <c r="C846" t="s">
        <v>1556</v>
      </c>
      <c r="D846" t="s">
        <v>2429</v>
      </c>
      <c r="E846" t="s">
        <v>2619</v>
      </c>
      <c r="F846" t="s">
        <v>2607</v>
      </c>
      <c r="G846">
        <v>80</v>
      </c>
      <c r="H846" t="s">
        <v>2976</v>
      </c>
      <c r="I846">
        <v>2</v>
      </c>
      <c r="K846" t="s">
        <v>1108</v>
      </c>
      <c r="M846">
        <v>16</v>
      </c>
      <c r="N846" t="s">
        <v>2976</v>
      </c>
      <c r="Q846">
        <f t="shared" si="40"/>
        <v>4.332169878499658E-2</v>
      </c>
      <c r="R846" t="s">
        <v>3267</v>
      </c>
      <c r="W846">
        <v>0.94</v>
      </c>
      <c r="X846" t="s">
        <v>3268</v>
      </c>
      <c r="Y846" t="s">
        <v>7</v>
      </c>
      <c r="Z846" t="s">
        <v>4</v>
      </c>
    </row>
    <row r="847" spans="1:26">
      <c r="B847" t="s">
        <v>3194</v>
      </c>
      <c r="C847" t="s">
        <v>1556</v>
      </c>
      <c r="D847" t="s">
        <v>2430</v>
      </c>
      <c r="E847" t="s">
        <v>2619</v>
      </c>
      <c r="F847" t="s">
        <v>2607</v>
      </c>
      <c r="G847">
        <v>80</v>
      </c>
      <c r="H847" t="s">
        <v>2976</v>
      </c>
      <c r="I847">
        <v>2</v>
      </c>
      <c r="K847" t="s">
        <v>1108</v>
      </c>
      <c r="M847">
        <v>15</v>
      </c>
      <c r="N847" t="s">
        <v>2976</v>
      </c>
      <c r="Q847">
        <f t="shared" si="40"/>
        <v>4.6209812037329684E-2</v>
      </c>
      <c r="R847" t="s">
        <v>3267</v>
      </c>
      <c r="W847">
        <v>0.96</v>
      </c>
      <c r="X847" t="s">
        <v>3268</v>
      </c>
      <c r="Y847" t="s">
        <v>7</v>
      </c>
      <c r="Z847" t="s">
        <v>4</v>
      </c>
    </row>
    <row r="848" spans="1:26">
      <c r="A848" t="s">
        <v>426</v>
      </c>
      <c r="B848" t="s">
        <v>3195</v>
      </c>
      <c r="C848" t="s">
        <v>1560</v>
      </c>
      <c r="D848" t="s">
        <v>2432</v>
      </c>
      <c r="E848" t="s">
        <v>2620</v>
      </c>
      <c r="F848" t="s">
        <v>2607</v>
      </c>
      <c r="G848">
        <v>30</v>
      </c>
      <c r="H848" t="s">
        <v>2976</v>
      </c>
      <c r="I848">
        <v>1</v>
      </c>
      <c r="K848" t="s">
        <v>1108</v>
      </c>
      <c r="M848">
        <v>6</v>
      </c>
      <c r="N848" t="s">
        <v>2976</v>
      </c>
      <c r="Q848">
        <f>LN(2)/M848</f>
        <v>0.11552453009332421</v>
      </c>
      <c r="R848" t="s">
        <v>3267</v>
      </c>
      <c r="W848">
        <v>0.95</v>
      </c>
      <c r="X848" t="s">
        <v>3268</v>
      </c>
      <c r="Y848" t="s">
        <v>7</v>
      </c>
      <c r="Z848" t="s">
        <v>4</v>
      </c>
    </row>
    <row r="849" spans="1:26">
      <c r="B849" t="s">
        <v>3195</v>
      </c>
      <c r="C849" t="s">
        <v>1560</v>
      </c>
      <c r="D849" t="s">
        <v>2433</v>
      </c>
      <c r="E849" t="s">
        <v>2620</v>
      </c>
      <c r="F849" t="s">
        <v>2607</v>
      </c>
      <c r="G849">
        <v>30</v>
      </c>
      <c r="H849" t="s">
        <v>2976</v>
      </c>
      <c r="I849">
        <v>1</v>
      </c>
      <c r="K849" t="s">
        <v>1108</v>
      </c>
      <c r="M849">
        <v>7</v>
      </c>
      <c r="N849" t="s">
        <v>2976</v>
      </c>
      <c r="Q849">
        <f t="shared" ref="Q849:Q863" si="41">LN(2)/M849</f>
        <v>9.9021025794277892E-2</v>
      </c>
      <c r="R849" t="s">
        <v>3267</v>
      </c>
      <c r="W849">
        <v>0.98</v>
      </c>
      <c r="X849" t="s">
        <v>3268</v>
      </c>
      <c r="Y849" t="s">
        <v>7</v>
      </c>
      <c r="Z849" t="s">
        <v>4</v>
      </c>
    </row>
    <row r="850" spans="1:26">
      <c r="B850" t="s">
        <v>3195</v>
      </c>
      <c r="C850" t="s">
        <v>1560</v>
      </c>
      <c r="D850" t="s">
        <v>2435</v>
      </c>
      <c r="E850" t="s">
        <v>2620</v>
      </c>
      <c r="F850" t="s">
        <v>2607</v>
      </c>
      <c r="G850">
        <v>30</v>
      </c>
      <c r="H850" t="s">
        <v>2976</v>
      </c>
      <c r="I850">
        <v>1</v>
      </c>
      <c r="K850" t="s">
        <v>1108</v>
      </c>
      <c r="M850">
        <v>8</v>
      </c>
      <c r="N850" t="s">
        <v>2976</v>
      </c>
      <c r="Q850">
        <f t="shared" si="41"/>
        <v>8.6643397569993161E-2</v>
      </c>
      <c r="R850" t="s">
        <v>3267</v>
      </c>
      <c r="W850">
        <v>0.96</v>
      </c>
      <c r="X850" t="s">
        <v>3268</v>
      </c>
      <c r="Y850" t="s">
        <v>7</v>
      </c>
      <c r="Z850" t="s">
        <v>4</v>
      </c>
    </row>
    <row r="851" spans="1:26">
      <c r="B851" t="s">
        <v>3195</v>
      </c>
      <c r="C851" t="s">
        <v>1560</v>
      </c>
      <c r="D851" t="s">
        <v>2436</v>
      </c>
      <c r="E851" t="s">
        <v>2620</v>
      </c>
      <c r="F851" t="s">
        <v>2607</v>
      </c>
      <c r="G851">
        <v>30</v>
      </c>
      <c r="H851" t="s">
        <v>2976</v>
      </c>
      <c r="I851">
        <v>1</v>
      </c>
      <c r="K851" t="s">
        <v>1108</v>
      </c>
      <c r="M851">
        <v>6</v>
      </c>
      <c r="N851" t="s">
        <v>2976</v>
      </c>
      <c r="Q851">
        <f t="shared" si="41"/>
        <v>0.11552453009332421</v>
      </c>
      <c r="R851" t="s">
        <v>3267</v>
      </c>
      <c r="W851">
        <v>0.97</v>
      </c>
      <c r="X851" t="s">
        <v>3268</v>
      </c>
      <c r="Y851" t="s">
        <v>7</v>
      </c>
      <c r="Z851" t="s">
        <v>4</v>
      </c>
    </row>
    <row r="852" spans="1:26">
      <c r="B852" t="s">
        <v>3199</v>
      </c>
      <c r="C852" t="s">
        <v>1560</v>
      </c>
      <c r="D852" t="s">
        <v>2432</v>
      </c>
      <c r="E852" t="s">
        <v>2620</v>
      </c>
      <c r="F852" t="s">
        <v>2607</v>
      </c>
      <c r="G852">
        <v>30</v>
      </c>
      <c r="H852" t="s">
        <v>2976</v>
      </c>
      <c r="I852">
        <v>1</v>
      </c>
      <c r="K852" t="s">
        <v>1108</v>
      </c>
      <c r="M852">
        <v>7</v>
      </c>
      <c r="N852" t="s">
        <v>2976</v>
      </c>
      <c r="Q852">
        <f t="shared" si="41"/>
        <v>9.9021025794277892E-2</v>
      </c>
      <c r="R852" t="s">
        <v>3267</v>
      </c>
      <c r="W852">
        <v>0.99</v>
      </c>
      <c r="X852" t="s">
        <v>3268</v>
      </c>
      <c r="Y852" t="s">
        <v>7</v>
      </c>
      <c r="Z852" t="s">
        <v>4</v>
      </c>
    </row>
    <row r="853" spans="1:26">
      <c r="B853" t="s">
        <v>3199</v>
      </c>
      <c r="C853" t="s">
        <v>1560</v>
      </c>
      <c r="D853" t="s">
        <v>2433</v>
      </c>
      <c r="E853" t="s">
        <v>2620</v>
      </c>
      <c r="F853" t="s">
        <v>2607</v>
      </c>
      <c r="G853">
        <v>30</v>
      </c>
      <c r="H853" t="s">
        <v>2976</v>
      </c>
      <c r="I853">
        <v>1</v>
      </c>
      <c r="K853" t="s">
        <v>1108</v>
      </c>
      <c r="M853">
        <v>6</v>
      </c>
      <c r="N853" t="s">
        <v>2976</v>
      </c>
      <c r="Q853">
        <f t="shared" si="41"/>
        <v>0.11552453009332421</v>
      </c>
      <c r="R853" t="s">
        <v>3267</v>
      </c>
      <c r="W853">
        <v>1</v>
      </c>
      <c r="X853" t="s">
        <v>3268</v>
      </c>
      <c r="Y853" t="s">
        <v>7</v>
      </c>
      <c r="Z853" t="s">
        <v>4</v>
      </c>
    </row>
    <row r="854" spans="1:26">
      <c r="B854" t="s">
        <v>3199</v>
      </c>
      <c r="C854" t="s">
        <v>1560</v>
      </c>
      <c r="D854" t="s">
        <v>2435</v>
      </c>
      <c r="E854" t="s">
        <v>2620</v>
      </c>
      <c r="F854" t="s">
        <v>2607</v>
      </c>
      <c r="G854">
        <v>30</v>
      </c>
      <c r="H854" t="s">
        <v>2976</v>
      </c>
      <c r="I854">
        <v>1</v>
      </c>
      <c r="K854" t="s">
        <v>1108</v>
      </c>
      <c r="M854">
        <v>7</v>
      </c>
      <c r="N854" t="s">
        <v>2976</v>
      </c>
      <c r="Q854">
        <f t="shared" si="41"/>
        <v>9.9021025794277892E-2</v>
      </c>
      <c r="R854" t="s">
        <v>3267</v>
      </c>
      <c r="W854">
        <v>0.93</v>
      </c>
      <c r="X854" t="s">
        <v>3268</v>
      </c>
      <c r="Y854" t="s">
        <v>7</v>
      </c>
      <c r="Z854" t="s">
        <v>4</v>
      </c>
    </row>
    <row r="855" spans="1:26">
      <c r="B855" t="s">
        <v>3199</v>
      </c>
      <c r="C855" t="s">
        <v>1560</v>
      </c>
      <c r="D855" t="s">
        <v>2436</v>
      </c>
      <c r="E855" t="s">
        <v>2620</v>
      </c>
      <c r="F855" t="s">
        <v>2607</v>
      </c>
      <c r="G855">
        <v>30</v>
      </c>
      <c r="H855" t="s">
        <v>2976</v>
      </c>
      <c r="I855">
        <v>1</v>
      </c>
      <c r="K855" t="s">
        <v>1108</v>
      </c>
      <c r="M855">
        <v>6</v>
      </c>
      <c r="N855" t="s">
        <v>2976</v>
      </c>
      <c r="Q855">
        <f t="shared" si="41"/>
        <v>0.11552453009332421</v>
      </c>
      <c r="R855" t="s">
        <v>3267</v>
      </c>
      <c r="W855">
        <v>0.92</v>
      </c>
      <c r="X855" t="s">
        <v>3268</v>
      </c>
      <c r="Y855" t="s">
        <v>7</v>
      </c>
      <c r="Z855" t="s">
        <v>4</v>
      </c>
    </row>
    <row r="856" spans="1:26">
      <c r="B856" t="s">
        <v>3201</v>
      </c>
      <c r="C856" t="s">
        <v>1560</v>
      </c>
      <c r="D856" t="s">
        <v>2432</v>
      </c>
      <c r="E856" t="s">
        <v>2620</v>
      </c>
      <c r="F856" t="s">
        <v>2607</v>
      </c>
      <c r="G856">
        <v>30</v>
      </c>
      <c r="H856" t="s">
        <v>2976</v>
      </c>
      <c r="I856">
        <v>1</v>
      </c>
      <c r="K856" t="s">
        <v>1108</v>
      </c>
      <c r="M856">
        <v>7</v>
      </c>
      <c r="N856" t="s">
        <v>2976</v>
      </c>
      <c r="Q856">
        <f t="shared" si="41"/>
        <v>9.9021025794277892E-2</v>
      </c>
      <c r="R856" t="s">
        <v>3267</v>
      </c>
      <c r="W856">
        <v>0.99</v>
      </c>
      <c r="X856" t="s">
        <v>3268</v>
      </c>
      <c r="Y856" t="s">
        <v>7</v>
      </c>
      <c r="Z856" t="s">
        <v>4</v>
      </c>
    </row>
    <row r="857" spans="1:26">
      <c r="B857" t="s">
        <v>3201</v>
      </c>
      <c r="C857" t="s">
        <v>1560</v>
      </c>
      <c r="D857" t="s">
        <v>2433</v>
      </c>
      <c r="E857" t="s">
        <v>2620</v>
      </c>
      <c r="F857" t="s">
        <v>2607</v>
      </c>
      <c r="G857">
        <v>30</v>
      </c>
      <c r="H857" t="s">
        <v>2976</v>
      </c>
      <c r="I857">
        <v>1</v>
      </c>
      <c r="K857" t="s">
        <v>1108</v>
      </c>
      <c r="M857">
        <v>7</v>
      </c>
      <c r="N857" t="s">
        <v>2976</v>
      </c>
      <c r="Q857">
        <f t="shared" si="41"/>
        <v>9.9021025794277892E-2</v>
      </c>
      <c r="R857" t="s">
        <v>3267</v>
      </c>
      <c r="W857">
        <v>0.9</v>
      </c>
      <c r="X857" t="s">
        <v>3268</v>
      </c>
      <c r="Y857" t="s">
        <v>7</v>
      </c>
      <c r="Z857" t="s">
        <v>4</v>
      </c>
    </row>
    <row r="858" spans="1:26">
      <c r="B858" t="s">
        <v>3201</v>
      </c>
      <c r="C858" t="s">
        <v>1560</v>
      </c>
      <c r="D858" t="s">
        <v>2435</v>
      </c>
      <c r="E858" t="s">
        <v>2620</v>
      </c>
      <c r="F858" t="s">
        <v>2607</v>
      </c>
      <c r="G858">
        <v>30</v>
      </c>
      <c r="H858" t="s">
        <v>2976</v>
      </c>
      <c r="I858">
        <v>1</v>
      </c>
      <c r="K858" t="s">
        <v>1108</v>
      </c>
      <c r="M858">
        <v>7</v>
      </c>
      <c r="N858" t="s">
        <v>2976</v>
      </c>
      <c r="Q858">
        <f t="shared" si="41"/>
        <v>9.9021025794277892E-2</v>
      </c>
      <c r="R858" t="s">
        <v>3267</v>
      </c>
      <c r="W858">
        <v>0.91</v>
      </c>
      <c r="X858" t="s">
        <v>3268</v>
      </c>
      <c r="Y858" t="s">
        <v>7</v>
      </c>
      <c r="Z858" t="s">
        <v>4</v>
      </c>
    </row>
    <row r="859" spans="1:26">
      <c r="B859" t="s">
        <v>3201</v>
      </c>
      <c r="C859" t="s">
        <v>1560</v>
      </c>
      <c r="D859" t="s">
        <v>2436</v>
      </c>
      <c r="E859" t="s">
        <v>2620</v>
      </c>
      <c r="F859" t="s">
        <v>2607</v>
      </c>
      <c r="G859">
        <v>30</v>
      </c>
      <c r="H859" t="s">
        <v>2976</v>
      </c>
      <c r="I859">
        <v>1</v>
      </c>
      <c r="K859" t="s">
        <v>1108</v>
      </c>
      <c r="M859">
        <v>7</v>
      </c>
      <c r="N859" t="s">
        <v>2976</v>
      </c>
      <c r="Q859">
        <f t="shared" si="41"/>
        <v>9.9021025794277892E-2</v>
      </c>
      <c r="R859" t="s">
        <v>3267</v>
      </c>
      <c r="W859">
        <v>0.91</v>
      </c>
      <c r="X859" t="s">
        <v>3268</v>
      </c>
      <c r="Y859" t="s">
        <v>7</v>
      </c>
      <c r="Z859" t="s">
        <v>4</v>
      </c>
    </row>
    <row r="860" spans="1:26">
      <c r="B860" t="s">
        <v>3203</v>
      </c>
      <c r="C860" t="s">
        <v>1560</v>
      </c>
      <c r="D860" t="s">
        <v>2432</v>
      </c>
      <c r="E860" t="s">
        <v>2620</v>
      </c>
      <c r="F860" t="s">
        <v>2607</v>
      </c>
      <c r="G860">
        <v>30</v>
      </c>
      <c r="H860" t="s">
        <v>2976</v>
      </c>
      <c r="I860">
        <v>1</v>
      </c>
      <c r="K860" t="s">
        <v>1108</v>
      </c>
      <c r="M860">
        <v>7</v>
      </c>
      <c r="N860" t="s">
        <v>2976</v>
      </c>
      <c r="Q860">
        <f t="shared" si="41"/>
        <v>9.9021025794277892E-2</v>
      </c>
      <c r="R860" t="s">
        <v>3267</v>
      </c>
      <c r="W860">
        <v>0.94</v>
      </c>
      <c r="X860" t="s">
        <v>3268</v>
      </c>
      <c r="Y860" t="s">
        <v>7</v>
      </c>
      <c r="Z860" t="s">
        <v>4</v>
      </c>
    </row>
    <row r="861" spans="1:26">
      <c r="B861" t="s">
        <v>3203</v>
      </c>
      <c r="C861" t="s">
        <v>1560</v>
      </c>
      <c r="D861" t="s">
        <v>2433</v>
      </c>
      <c r="E861" t="s">
        <v>2620</v>
      </c>
      <c r="F861" t="s">
        <v>2607</v>
      </c>
      <c r="G861">
        <v>30</v>
      </c>
      <c r="H861" t="s">
        <v>2976</v>
      </c>
      <c r="I861">
        <v>1</v>
      </c>
      <c r="K861" t="s">
        <v>1108</v>
      </c>
      <c r="M861">
        <v>5</v>
      </c>
      <c r="N861" t="s">
        <v>2976</v>
      </c>
      <c r="Q861">
        <f t="shared" si="41"/>
        <v>0.13862943611198905</v>
      </c>
      <c r="R861" t="s">
        <v>3267</v>
      </c>
      <c r="W861">
        <v>0.96</v>
      </c>
      <c r="X861" t="s">
        <v>3268</v>
      </c>
      <c r="Y861" t="s">
        <v>7</v>
      </c>
      <c r="Z861" t="s">
        <v>4</v>
      </c>
    </row>
    <row r="862" spans="1:26">
      <c r="B862" t="s">
        <v>3203</v>
      </c>
      <c r="C862" t="s">
        <v>1560</v>
      </c>
      <c r="D862" t="s">
        <v>2435</v>
      </c>
      <c r="E862" t="s">
        <v>2620</v>
      </c>
      <c r="F862" t="s">
        <v>2607</v>
      </c>
      <c r="G862">
        <v>30</v>
      </c>
      <c r="H862" t="s">
        <v>2976</v>
      </c>
      <c r="I862">
        <v>1</v>
      </c>
      <c r="K862" t="s">
        <v>1108</v>
      </c>
      <c r="M862">
        <v>5</v>
      </c>
      <c r="N862" t="s">
        <v>2976</v>
      </c>
      <c r="Q862">
        <f t="shared" si="41"/>
        <v>0.13862943611198905</v>
      </c>
      <c r="R862" t="s">
        <v>3267</v>
      </c>
      <c r="W862">
        <v>0.95</v>
      </c>
      <c r="X862" t="s">
        <v>3268</v>
      </c>
      <c r="Y862" t="s">
        <v>7</v>
      </c>
      <c r="Z862" t="s">
        <v>4</v>
      </c>
    </row>
    <row r="863" spans="1:26">
      <c r="B863" t="s">
        <v>3203</v>
      </c>
      <c r="C863" t="s">
        <v>1560</v>
      </c>
      <c r="D863" t="s">
        <v>2436</v>
      </c>
      <c r="E863" t="s">
        <v>2620</v>
      </c>
      <c r="F863" t="s">
        <v>2607</v>
      </c>
      <c r="G863">
        <v>30</v>
      </c>
      <c r="H863" t="s">
        <v>2976</v>
      </c>
      <c r="I863">
        <v>1</v>
      </c>
      <c r="K863" t="s">
        <v>1108</v>
      </c>
      <c r="M863">
        <v>5</v>
      </c>
      <c r="N863" t="s">
        <v>2976</v>
      </c>
      <c r="Q863">
        <f t="shared" si="41"/>
        <v>0.13862943611198905</v>
      </c>
      <c r="R863" t="s">
        <v>3267</v>
      </c>
      <c r="W863">
        <v>0.97</v>
      </c>
      <c r="X863" t="s">
        <v>3268</v>
      </c>
      <c r="Y863" t="s">
        <v>7</v>
      </c>
      <c r="Z863" t="s">
        <v>4</v>
      </c>
    </row>
    <row r="864" spans="1:26">
      <c r="A864" t="s">
        <v>430</v>
      </c>
      <c r="B864" t="s">
        <v>3205</v>
      </c>
      <c r="C864" t="s">
        <v>1562</v>
      </c>
      <c r="D864" t="s">
        <v>2437</v>
      </c>
      <c r="E864" t="s">
        <v>2799</v>
      </c>
      <c r="F864" t="s">
        <v>2797</v>
      </c>
      <c r="G864">
        <v>147</v>
      </c>
      <c r="H864" t="s">
        <v>2976</v>
      </c>
      <c r="I864">
        <v>2</v>
      </c>
      <c r="K864" t="s">
        <v>1108</v>
      </c>
      <c r="M864">
        <v>49.8</v>
      </c>
      <c r="N864" t="s">
        <v>2976</v>
      </c>
      <c r="Q864">
        <f>LN(2)/M864</f>
        <v>1.3918618083533039E-2</v>
      </c>
      <c r="R864" t="s">
        <v>3267</v>
      </c>
      <c r="X864" t="s">
        <v>3268</v>
      </c>
      <c r="Y864" t="s">
        <v>7</v>
      </c>
      <c r="Z864" t="s">
        <v>4</v>
      </c>
    </row>
    <row r="865" spans="2:26">
      <c r="B865" t="s">
        <v>3205</v>
      </c>
      <c r="C865" t="s">
        <v>1562</v>
      </c>
      <c r="D865" t="s">
        <v>2437</v>
      </c>
      <c r="E865" t="s">
        <v>2699</v>
      </c>
      <c r="F865" t="s">
        <v>2696</v>
      </c>
      <c r="G865">
        <v>147</v>
      </c>
      <c r="H865" t="s">
        <v>2976</v>
      </c>
      <c r="I865">
        <v>2</v>
      </c>
      <c r="K865" t="s">
        <v>1108</v>
      </c>
      <c r="M865">
        <v>10.1</v>
      </c>
      <c r="N865" t="s">
        <v>2976</v>
      </c>
      <c r="Q865">
        <f t="shared" ref="Q865:Q887" si="42">LN(2)/M865</f>
        <v>6.8628433718806461E-2</v>
      </c>
      <c r="R865" t="s">
        <v>3267</v>
      </c>
      <c r="X865" t="s">
        <v>3268</v>
      </c>
      <c r="Y865" t="s">
        <v>7</v>
      </c>
      <c r="Z865" t="s">
        <v>4</v>
      </c>
    </row>
    <row r="866" spans="2:26">
      <c r="B866" t="s">
        <v>3205</v>
      </c>
      <c r="C866" t="s">
        <v>1562</v>
      </c>
      <c r="D866" t="s">
        <v>2437</v>
      </c>
      <c r="E866" t="s">
        <v>2824</v>
      </c>
      <c r="F866" t="s">
        <v>2825</v>
      </c>
      <c r="G866">
        <v>147</v>
      </c>
      <c r="H866" t="s">
        <v>2976</v>
      </c>
      <c r="I866">
        <v>2</v>
      </c>
      <c r="K866" t="s">
        <v>1108</v>
      </c>
      <c r="M866">
        <v>62</v>
      </c>
      <c r="N866" t="s">
        <v>2976</v>
      </c>
      <c r="Q866">
        <f t="shared" si="42"/>
        <v>1.1179793234837827E-2</v>
      </c>
      <c r="R866" t="s">
        <v>3267</v>
      </c>
      <c r="X866" t="s">
        <v>3268</v>
      </c>
      <c r="Y866" t="s">
        <v>7</v>
      </c>
      <c r="Z866" t="s">
        <v>4</v>
      </c>
    </row>
    <row r="867" spans="2:26">
      <c r="B867" t="s">
        <v>3207</v>
      </c>
      <c r="C867" t="s">
        <v>1562</v>
      </c>
      <c r="D867" t="s">
        <v>2437</v>
      </c>
      <c r="E867" t="s">
        <v>2799</v>
      </c>
      <c r="F867" t="s">
        <v>2797</v>
      </c>
      <c r="G867">
        <v>147</v>
      </c>
      <c r="H867" t="s">
        <v>2976</v>
      </c>
      <c r="I867">
        <v>2</v>
      </c>
      <c r="K867" t="s">
        <v>1108</v>
      </c>
      <c r="M867">
        <v>21.2</v>
      </c>
      <c r="N867" t="s">
        <v>2976</v>
      </c>
      <c r="Q867">
        <f t="shared" si="42"/>
        <v>3.2695621724525725E-2</v>
      </c>
      <c r="R867" t="s">
        <v>3267</v>
      </c>
      <c r="X867" t="s">
        <v>3268</v>
      </c>
      <c r="Y867" t="s">
        <v>7</v>
      </c>
      <c r="Z867" t="s">
        <v>4</v>
      </c>
    </row>
    <row r="868" spans="2:26">
      <c r="B868" t="s">
        <v>3207</v>
      </c>
      <c r="C868" t="s">
        <v>1562</v>
      </c>
      <c r="D868" t="s">
        <v>2437</v>
      </c>
      <c r="E868" t="s">
        <v>2699</v>
      </c>
      <c r="F868" t="s">
        <v>2696</v>
      </c>
      <c r="G868">
        <v>147</v>
      </c>
      <c r="H868" t="s">
        <v>2976</v>
      </c>
      <c r="I868">
        <v>2</v>
      </c>
      <c r="K868" t="s">
        <v>1108</v>
      </c>
      <c r="M868">
        <v>20.2</v>
      </c>
      <c r="N868" t="s">
        <v>2976</v>
      </c>
      <c r="Q868">
        <f t="shared" si="42"/>
        <v>3.4314216859403231E-2</v>
      </c>
      <c r="R868" t="s">
        <v>3267</v>
      </c>
      <c r="X868" t="s">
        <v>3268</v>
      </c>
      <c r="Y868" t="s">
        <v>7</v>
      </c>
      <c r="Z868" t="s">
        <v>4</v>
      </c>
    </row>
    <row r="869" spans="2:26">
      <c r="B869" t="s">
        <v>3207</v>
      </c>
      <c r="C869" t="s">
        <v>1562</v>
      </c>
      <c r="D869" t="s">
        <v>2437</v>
      </c>
      <c r="E869" t="s">
        <v>2824</v>
      </c>
      <c r="F869" t="s">
        <v>2825</v>
      </c>
      <c r="G869">
        <v>147</v>
      </c>
      <c r="H869" t="s">
        <v>2976</v>
      </c>
      <c r="I869">
        <v>2</v>
      </c>
      <c r="K869" t="s">
        <v>1108</v>
      </c>
      <c r="M869">
        <v>84.3</v>
      </c>
      <c r="N869" t="s">
        <v>2976</v>
      </c>
      <c r="Q869">
        <f t="shared" si="42"/>
        <v>8.2223864835106204E-3</v>
      </c>
      <c r="R869" t="s">
        <v>3267</v>
      </c>
      <c r="X869" t="s">
        <v>3268</v>
      </c>
      <c r="Y869" t="s">
        <v>7</v>
      </c>
      <c r="Z869" t="s">
        <v>4</v>
      </c>
    </row>
    <row r="870" spans="2:26">
      <c r="B870" t="s">
        <v>3205</v>
      </c>
      <c r="C870" t="s">
        <v>1562</v>
      </c>
      <c r="D870" t="s">
        <v>2438</v>
      </c>
      <c r="E870" t="s">
        <v>2799</v>
      </c>
      <c r="F870" t="s">
        <v>2797</v>
      </c>
      <c r="G870">
        <v>147</v>
      </c>
      <c r="H870" t="s">
        <v>2976</v>
      </c>
      <c r="I870">
        <v>2</v>
      </c>
      <c r="K870" t="s">
        <v>1108</v>
      </c>
      <c r="M870">
        <v>26.7</v>
      </c>
      <c r="N870" t="s">
        <v>2976</v>
      </c>
      <c r="Q870">
        <f t="shared" si="42"/>
        <v>2.5960568560297576E-2</v>
      </c>
      <c r="R870" t="s">
        <v>3267</v>
      </c>
      <c r="X870" t="s">
        <v>3268</v>
      </c>
      <c r="Y870" t="s">
        <v>7</v>
      </c>
      <c r="Z870" t="s">
        <v>4</v>
      </c>
    </row>
    <row r="871" spans="2:26">
      <c r="B871" t="s">
        <v>3205</v>
      </c>
      <c r="C871" t="s">
        <v>1562</v>
      </c>
      <c r="D871" t="s">
        <v>2441</v>
      </c>
      <c r="E871" t="s">
        <v>2799</v>
      </c>
      <c r="F871" t="s">
        <v>2797</v>
      </c>
      <c r="G871">
        <v>147</v>
      </c>
      <c r="H871" t="s">
        <v>2976</v>
      </c>
      <c r="I871">
        <v>2</v>
      </c>
      <c r="K871" t="s">
        <v>1108</v>
      </c>
      <c r="M871">
        <v>10.4</v>
      </c>
      <c r="N871" t="s">
        <v>2976</v>
      </c>
      <c r="Q871">
        <f t="shared" si="42"/>
        <v>6.6648767361533204E-2</v>
      </c>
      <c r="R871" t="s">
        <v>3267</v>
      </c>
      <c r="X871" t="s">
        <v>3268</v>
      </c>
      <c r="Y871" t="s">
        <v>7</v>
      </c>
      <c r="Z871" t="s">
        <v>4</v>
      </c>
    </row>
    <row r="872" spans="2:26">
      <c r="B872" t="s">
        <v>3205</v>
      </c>
      <c r="C872" t="s">
        <v>1562</v>
      </c>
      <c r="D872" t="s">
        <v>2444</v>
      </c>
      <c r="E872" t="s">
        <v>2799</v>
      </c>
      <c r="F872" t="s">
        <v>2797</v>
      </c>
      <c r="G872">
        <v>147</v>
      </c>
      <c r="H872" t="s">
        <v>2976</v>
      </c>
      <c r="I872">
        <v>2</v>
      </c>
      <c r="K872" t="s">
        <v>1108</v>
      </c>
      <c r="M872">
        <v>30.9</v>
      </c>
      <c r="N872" t="s">
        <v>2976</v>
      </c>
      <c r="Q872">
        <f t="shared" si="42"/>
        <v>2.2431947590936741E-2</v>
      </c>
      <c r="R872" t="s">
        <v>3267</v>
      </c>
      <c r="X872" t="s">
        <v>3268</v>
      </c>
      <c r="Y872" t="s">
        <v>7</v>
      </c>
      <c r="Z872" t="s">
        <v>4</v>
      </c>
    </row>
    <row r="873" spans="2:26">
      <c r="B873" t="s">
        <v>3205</v>
      </c>
      <c r="C873" t="s">
        <v>1562</v>
      </c>
      <c r="D873" t="s">
        <v>2438</v>
      </c>
      <c r="E873" t="s">
        <v>2699</v>
      </c>
      <c r="F873" t="s">
        <v>2696</v>
      </c>
      <c r="G873">
        <v>147</v>
      </c>
      <c r="H873" t="s">
        <v>2976</v>
      </c>
      <c r="I873">
        <v>2</v>
      </c>
      <c r="K873" t="s">
        <v>1108</v>
      </c>
      <c r="M873">
        <v>23.4</v>
      </c>
      <c r="N873" t="s">
        <v>2976</v>
      </c>
      <c r="Q873">
        <f t="shared" si="42"/>
        <v>2.9621674382903647E-2</v>
      </c>
      <c r="R873" t="s">
        <v>3267</v>
      </c>
      <c r="X873" t="s">
        <v>3268</v>
      </c>
      <c r="Y873" t="s">
        <v>7</v>
      </c>
      <c r="Z873" t="s">
        <v>4</v>
      </c>
    </row>
    <row r="874" spans="2:26">
      <c r="B874" t="s">
        <v>3205</v>
      </c>
      <c r="C874" t="s">
        <v>1562</v>
      </c>
      <c r="D874" t="s">
        <v>2441</v>
      </c>
      <c r="E874" t="s">
        <v>2699</v>
      </c>
      <c r="F874" t="s">
        <v>2696</v>
      </c>
      <c r="G874">
        <v>147</v>
      </c>
      <c r="H874" t="s">
        <v>2976</v>
      </c>
      <c r="I874">
        <v>2</v>
      </c>
      <c r="K874" t="s">
        <v>1108</v>
      </c>
      <c r="M874">
        <v>5.9</v>
      </c>
      <c r="N874" t="s">
        <v>2976</v>
      </c>
      <c r="Q874">
        <f t="shared" si="42"/>
        <v>0.11748257297626191</v>
      </c>
      <c r="R874" t="s">
        <v>3267</v>
      </c>
      <c r="X874" t="s">
        <v>3268</v>
      </c>
      <c r="Y874" t="s">
        <v>7</v>
      </c>
      <c r="Z874" t="s">
        <v>4</v>
      </c>
    </row>
    <row r="875" spans="2:26">
      <c r="B875" t="s">
        <v>3205</v>
      </c>
      <c r="C875" t="s">
        <v>1562</v>
      </c>
      <c r="D875" t="s">
        <v>2444</v>
      </c>
      <c r="E875" t="s">
        <v>2699</v>
      </c>
      <c r="F875" t="s">
        <v>2696</v>
      </c>
      <c r="G875">
        <v>147</v>
      </c>
      <c r="H875" t="s">
        <v>2976</v>
      </c>
      <c r="I875">
        <v>2</v>
      </c>
      <c r="K875" t="s">
        <v>1108</v>
      </c>
      <c r="M875">
        <v>18.899999999999999</v>
      </c>
      <c r="N875" t="s">
        <v>2976</v>
      </c>
      <c r="Q875">
        <f t="shared" si="42"/>
        <v>3.6674453997880704E-2</v>
      </c>
      <c r="R875" t="s">
        <v>3267</v>
      </c>
      <c r="X875" t="s">
        <v>3268</v>
      </c>
      <c r="Y875" t="s">
        <v>7</v>
      </c>
      <c r="Z875" t="s">
        <v>4</v>
      </c>
    </row>
    <row r="876" spans="2:26">
      <c r="B876" t="s">
        <v>3205</v>
      </c>
      <c r="C876" t="s">
        <v>1562</v>
      </c>
      <c r="D876" t="s">
        <v>2438</v>
      </c>
      <c r="E876" t="s">
        <v>2824</v>
      </c>
      <c r="F876" t="s">
        <v>2825</v>
      </c>
      <c r="G876">
        <v>147</v>
      </c>
      <c r="H876" t="s">
        <v>2976</v>
      </c>
      <c r="I876">
        <v>2</v>
      </c>
      <c r="K876" t="s">
        <v>1108</v>
      </c>
      <c r="M876">
        <v>96</v>
      </c>
      <c r="N876" t="s">
        <v>2976</v>
      </c>
      <c r="Q876">
        <f t="shared" si="42"/>
        <v>7.2202831308327631E-3</v>
      </c>
      <c r="R876" t="s">
        <v>3267</v>
      </c>
      <c r="X876" t="s">
        <v>3268</v>
      </c>
      <c r="Y876" t="s">
        <v>7</v>
      </c>
      <c r="Z876" t="s">
        <v>4</v>
      </c>
    </row>
    <row r="877" spans="2:26">
      <c r="B877" t="s">
        <v>3205</v>
      </c>
      <c r="C877" t="s">
        <v>1562</v>
      </c>
      <c r="D877" t="s">
        <v>2441</v>
      </c>
      <c r="E877" t="s">
        <v>2824</v>
      </c>
      <c r="F877" t="s">
        <v>2825</v>
      </c>
      <c r="G877">
        <v>147</v>
      </c>
      <c r="H877" t="s">
        <v>2976</v>
      </c>
      <c r="I877">
        <v>2</v>
      </c>
      <c r="K877" t="s">
        <v>1108</v>
      </c>
      <c r="M877">
        <v>70.7</v>
      </c>
      <c r="N877" t="s">
        <v>2976</v>
      </c>
      <c r="Q877">
        <f t="shared" si="42"/>
        <v>9.8040619598294947E-3</v>
      </c>
      <c r="R877" t="s">
        <v>3267</v>
      </c>
      <c r="X877" t="s">
        <v>3268</v>
      </c>
      <c r="Y877" t="s">
        <v>7</v>
      </c>
      <c r="Z877" t="s">
        <v>4</v>
      </c>
    </row>
    <row r="878" spans="2:26">
      <c r="B878" t="s">
        <v>3205</v>
      </c>
      <c r="C878" t="s">
        <v>1562</v>
      </c>
      <c r="D878" t="s">
        <v>2444</v>
      </c>
      <c r="E878" t="s">
        <v>2824</v>
      </c>
      <c r="F878" t="s">
        <v>2825</v>
      </c>
      <c r="G878">
        <v>147</v>
      </c>
      <c r="H878" t="s">
        <v>2976</v>
      </c>
      <c r="I878">
        <v>2</v>
      </c>
      <c r="K878" t="s">
        <v>1108</v>
      </c>
      <c r="M878">
        <v>125</v>
      </c>
      <c r="N878" t="s">
        <v>2976</v>
      </c>
      <c r="Q878">
        <f t="shared" si="42"/>
        <v>5.5451774444795626E-3</v>
      </c>
      <c r="R878" t="s">
        <v>3267</v>
      </c>
      <c r="X878" t="s">
        <v>3268</v>
      </c>
      <c r="Y878" t="s">
        <v>7</v>
      </c>
      <c r="Z878" t="s">
        <v>4</v>
      </c>
    </row>
    <row r="879" spans="2:26">
      <c r="B879" t="s">
        <v>3207</v>
      </c>
      <c r="C879" t="s">
        <v>1562</v>
      </c>
      <c r="D879" t="s">
        <v>2438</v>
      </c>
      <c r="E879" t="s">
        <v>2799</v>
      </c>
      <c r="F879" t="s">
        <v>2797</v>
      </c>
      <c r="G879">
        <v>147</v>
      </c>
      <c r="H879" t="s">
        <v>2976</v>
      </c>
      <c r="I879">
        <v>2</v>
      </c>
      <c r="K879" t="s">
        <v>1108</v>
      </c>
      <c r="M879">
        <v>19.8</v>
      </c>
      <c r="N879" t="s">
        <v>2976</v>
      </c>
      <c r="Q879">
        <f t="shared" si="42"/>
        <v>3.5007433361613396E-2</v>
      </c>
      <c r="R879" t="s">
        <v>3267</v>
      </c>
      <c r="X879" t="s">
        <v>3268</v>
      </c>
      <c r="Y879" t="s">
        <v>7</v>
      </c>
      <c r="Z879" t="s">
        <v>4</v>
      </c>
    </row>
    <row r="880" spans="2:26">
      <c r="B880" t="s">
        <v>3207</v>
      </c>
      <c r="C880" t="s">
        <v>1562</v>
      </c>
      <c r="D880" t="s">
        <v>2441</v>
      </c>
      <c r="E880" t="s">
        <v>2799</v>
      </c>
      <c r="F880" t="s">
        <v>2797</v>
      </c>
      <c r="G880">
        <v>147</v>
      </c>
      <c r="H880" t="s">
        <v>2976</v>
      </c>
      <c r="I880">
        <v>2</v>
      </c>
      <c r="K880" t="s">
        <v>1108</v>
      </c>
      <c r="M880">
        <v>11.3</v>
      </c>
      <c r="N880" t="s">
        <v>2976</v>
      </c>
      <c r="Q880">
        <f t="shared" si="42"/>
        <v>6.1340458456632323E-2</v>
      </c>
      <c r="R880" t="s">
        <v>3267</v>
      </c>
      <c r="X880" t="s">
        <v>3268</v>
      </c>
      <c r="Y880" t="s">
        <v>7</v>
      </c>
      <c r="Z880" t="s">
        <v>4</v>
      </c>
    </row>
    <row r="881" spans="1:26">
      <c r="B881" t="s">
        <v>3207</v>
      </c>
      <c r="C881" t="s">
        <v>1562</v>
      </c>
      <c r="D881" t="s">
        <v>2444</v>
      </c>
      <c r="E881" t="s">
        <v>2799</v>
      </c>
      <c r="F881" t="s">
        <v>2797</v>
      </c>
      <c r="G881">
        <v>147</v>
      </c>
      <c r="H881" t="s">
        <v>2976</v>
      </c>
      <c r="I881">
        <v>2</v>
      </c>
      <c r="K881" t="s">
        <v>1108</v>
      </c>
      <c r="M881">
        <v>25.3</v>
      </c>
      <c r="N881" t="s">
        <v>2976</v>
      </c>
      <c r="Q881">
        <f t="shared" si="42"/>
        <v>2.7397121761262657E-2</v>
      </c>
      <c r="R881" t="s">
        <v>3267</v>
      </c>
      <c r="X881" t="s">
        <v>3268</v>
      </c>
      <c r="Y881" t="s">
        <v>7</v>
      </c>
      <c r="Z881" t="s">
        <v>4</v>
      </c>
    </row>
    <row r="882" spans="1:26">
      <c r="B882" t="s">
        <v>3207</v>
      </c>
      <c r="C882" t="s">
        <v>1562</v>
      </c>
      <c r="D882" t="s">
        <v>2438</v>
      </c>
      <c r="E882" t="s">
        <v>2699</v>
      </c>
      <c r="F882" t="s">
        <v>2696</v>
      </c>
      <c r="G882">
        <v>147</v>
      </c>
      <c r="H882" t="s">
        <v>2976</v>
      </c>
      <c r="I882">
        <v>2</v>
      </c>
      <c r="K882" t="s">
        <v>1108</v>
      </c>
      <c r="M882">
        <v>14</v>
      </c>
      <c r="N882" t="s">
        <v>2976</v>
      </c>
      <c r="Q882">
        <f t="shared" si="42"/>
        <v>4.9510512897138946E-2</v>
      </c>
      <c r="R882" t="s">
        <v>3267</v>
      </c>
      <c r="X882" t="s">
        <v>3268</v>
      </c>
      <c r="Y882" t="s">
        <v>7</v>
      </c>
      <c r="Z882" t="s">
        <v>4</v>
      </c>
    </row>
    <row r="883" spans="1:26">
      <c r="B883" t="s">
        <v>3207</v>
      </c>
      <c r="C883" t="s">
        <v>1562</v>
      </c>
      <c r="D883" t="s">
        <v>2441</v>
      </c>
      <c r="E883" t="s">
        <v>2699</v>
      </c>
      <c r="F883" t="s">
        <v>2696</v>
      </c>
      <c r="G883">
        <v>147</v>
      </c>
      <c r="H883" t="s">
        <v>2976</v>
      </c>
      <c r="I883">
        <v>2</v>
      </c>
      <c r="K883" t="s">
        <v>1108</v>
      </c>
      <c r="M883">
        <v>9.1</v>
      </c>
      <c r="N883" t="s">
        <v>2976</v>
      </c>
      <c r="Q883">
        <f t="shared" si="42"/>
        <v>7.6170019841752229E-2</v>
      </c>
      <c r="R883" t="s">
        <v>3267</v>
      </c>
      <c r="X883" t="s">
        <v>3268</v>
      </c>
      <c r="Y883" t="s">
        <v>7</v>
      </c>
      <c r="Z883" t="s">
        <v>4</v>
      </c>
    </row>
    <row r="884" spans="1:26">
      <c r="B884" t="s">
        <v>3207</v>
      </c>
      <c r="C884" t="s">
        <v>1562</v>
      </c>
      <c r="D884" t="s">
        <v>2444</v>
      </c>
      <c r="E884" t="s">
        <v>2699</v>
      </c>
      <c r="F884" t="s">
        <v>2696</v>
      </c>
      <c r="G884">
        <v>147</v>
      </c>
      <c r="H884" t="s">
        <v>2976</v>
      </c>
      <c r="I884">
        <v>2</v>
      </c>
      <c r="K884" t="s">
        <v>1108</v>
      </c>
      <c r="M884">
        <v>24.3</v>
      </c>
      <c r="N884" t="s">
        <v>2976</v>
      </c>
      <c r="Q884">
        <f t="shared" si="42"/>
        <v>2.8524575331684992E-2</v>
      </c>
      <c r="R884" t="s">
        <v>3267</v>
      </c>
      <c r="X884" t="s">
        <v>3268</v>
      </c>
      <c r="Y884" t="s">
        <v>7</v>
      </c>
      <c r="Z884" t="s">
        <v>4</v>
      </c>
    </row>
    <row r="885" spans="1:26">
      <c r="B885" t="s">
        <v>3207</v>
      </c>
      <c r="C885" t="s">
        <v>1562</v>
      </c>
      <c r="D885" t="s">
        <v>2438</v>
      </c>
      <c r="E885" t="s">
        <v>2824</v>
      </c>
      <c r="F885" t="s">
        <v>2825</v>
      </c>
      <c r="G885">
        <v>147</v>
      </c>
      <c r="H885" t="s">
        <v>2976</v>
      </c>
      <c r="I885">
        <v>2</v>
      </c>
      <c r="K885" t="s">
        <v>1108</v>
      </c>
      <c r="M885">
        <v>88.1</v>
      </c>
      <c r="N885" t="s">
        <v>2976</v>
      </c>
      <c r="Q885">
        <f t="shared" si="42"/>
        <v>7.8677319019290048E-3</v>
      </c>
      <c r="R885" t="s">
        <v>3267</v>
      </c>
      <c r="X885" t="s">
        <v>3268</v>
      </c>
      <c r="Y885" t="s">
        <v>7</v>
      </c>
      <c r="Z885" t="s">
        <v>4</v>
      </c>
    </row>
    <row r="886" spans="1:26">
      <c r="B886" t="s">
        <v>3207</v>
      </c>
      <c r="C886" t="s">
        <v>1562</v>
      </c>
      <c r="D886" t="s">
        <v>2441</v>
      </c>
      <c r="E886" t="s">
        <v>2824</v>
      </c>
      <c r="F886" t="s">
        <v>2825</v>
      </c>
      <c r="G886">
        <v>147</v>
      </c>
      <c r="H886" t="s">
        <v>2976</v>
      </c>
      <c r="I886">
        <v>2</v>
      </c>
      <c r="K886" t="s">
        <v>1108</v>
      </c>
      <c r="M886">
        <v>51.9</v>
      </c>
      <c r="N886" t="s">
        <v>2976</v>
      </c>
      <c r="Q886">
        <f t="shared" si="42"/>
        <v>1.335543700500858E-2</v>
      </c>
      <c r="R886" t="s">
        <v>3267</v>
      </c>
      <c r="X886" t="s">
        <v>3268</v>
      </c>
      <c r="Y886" t="s">
        <v>7</v>
      </c>
      <c r="Z886" t="s">
        <v>4</v>
      </c>
    </row>
    <row r="887" spans="1:26">
      <c r="B887" t="s">
        <v>3207</v>
      </c>
      <c r="C887" t="s">
        <v>1562</v>
      </c>
      <c r="D887" t="s">
        <v>2444</v>
      </c>
      <c r="E887" t="s">
        <v>2824</v>
      </c>
      <c r="F887" t="s">
        <v>2825</v>
      </c>
      <c r="G887">
        <v>147</v>
      </c>
      <c r="H887" t="s">
        <v>2976</v>
      </c>
      <c r="I887">
        <v>2</v>
      </c>
      <c r="K887" t="s">
        <v>1108</v>
      </c>
      <c r="M887">
        <v>137</v>
      </c>
      <c r="N887" t="s">
        <v>2976</v>
      </c>
      <c r="Q887">
        <f t="shared" si="42"/>
        <v>5.0594684712404765E-3</v>
      </c>
      <c r="R887" t="s">
        <v>3267</v>
      </c>
      <c r="X887" t="s">
        <v>3268</v>
      </c>
      <c r="Y887" t="s">
        <v>7</v>
      </c>
      <c r="Z887" t="s">
        <v>4</v>
      </c>
    </row>
    <row r="888" spans="1:26">
      <c r="A888" t="s">
        <v>456</v>
      </c>
      <c r="B888" t="s">
        <v>3209</v>
      </c>
      <c r="C888" t="s">
        <v>1566</v>
      </c>
      <c r="D888" t="s">
        <v>2447</v>
      </c>
      <c r="E888" t="s">
        <v>2748</v>
      </c>
      <c r="F888" t="s">
        <v>2742</v>
      </c>
      <c r="G888">
        <v>332</v>
      </c>
      <c r="H888" t="s">
        <v>2976</v>
      </c>
      <c r="I888">
        <v>1.82</v>
      </c>
      <c r="K888" t="s">
        <v>1108</v>
      </c>
      <c r="M888">
        <v>31</v>
      </c>
      <c r="N888" t="s">
        <v>2976</v>
      </c>
      <c r="Q888">
        <f t="shared" ref="Q888:Q912" si="43">LN(2)/M888</f>
        <v>2.2359586469675653E-2</v>
      </c>
      <c r="R888" t="s">
        <v>3267</v>
      </c>
      <c r="W888">
        <v>0.99</v>
      </c>
      <c r="X888" t="s">
        <v>3268</v>
      </c>
      <c r="Y888" t="s">
        <v>7</v>
      </c>
    </row>
    <row r="889" spans="1:26">
      <c r="B889" t="s">
        <v>3209</v>
      </c>
      <c r="C889" t="s">
        <v>1582</v>
      </c>
      <c r="D889" t="s">
        <v>2447</v>
      </c>
      <c r="E889" t="s">
        <v>2748</v>
      </c>
      <c r="F889" t="s">
        <v>2742</v>
      </c>
      <c r="G889">
        <v>332</v>
      </c>
      <c r="H889" t="s">
        <v>2976</v>
      </c>
      <c r="I889">
        <v>1.82</v>
      </c>
      <c r="K889" t="s">
        <v>1108</v>
      </c>
      <c r="M889">
        <v>28</v>
      </c>
      <c r="N889" t="s">
        <v>2976</v>
      </c>
      <c r="Q889">
        <f t="shared" si="43"/>
        <v>2.4755256448569473E-2</v>
      </c>
      <c r="R889" t="s">
        <v>3267</v>
      </c>
      <c r="W889">
        <v>0.98</v>
      </c>
      <c r="X889" t="s">
        <v>3268</v>
      </c>
      <c r="Y889" t="s">
        <v>7</v>
      </c>
    </row>
    <row r="890" spans="1:26">
      <c r="B890" t="s">
        <v>3209</v>
      </c>
      <c r="C890" t="s">
        <v>1566</v>
      </c>
      <c r="D890" t="s">
        <v>2446</v>
      </c>
      <c r="E890" t="s">
        <v>2748</v>
      </c>
      <c r="F890" t="s">
        <v>2742</v>
      </c>
      <c r="G890">
        <v>332</v>
      </c>
      <c r="H890" t="s">
        <v>2976</v>
      </c>
      <c r="I890">
        <v>1.82</v>
      </c>
      <c r="K890" t="s">
        <v>1108</v>
      </c>
      <c r="M890">
        <v>30</v>
      </c>
      <c r="N890" t="s">
        <v>2976</v>
      </c>
      <c r="Q890">
        <f t="shared" si="43"/>
        <v>2.3104906018664842E-2</v>
      </c>
      <c r="R890" t="s">
        <v>3267</v>
      </c>
      <c r="W890">
        <v>0.99</v>
      </c>
      <c r="X890" t="s">
        <v>3268</v>
      </c>
      <c r="Y890" t="s">
        <v>7</v>
      </c>
    </row>
    <row r="891" spans="1:26">
      <c r="B891" t="s">
        <v>3209</v>
      </c>
      <c r="C891" t="s">
        <v>1582</v>
      </c>
      <c r="D891" t="s">
        <v>2446</v>
      </c>
      <c r="E891" t="s">
        <v>2748</v>
      </c>
      <c r="F891" t="s">
        <v>2742</v>
      </c>
      <c r="G891">
        <v>332</v>
      </c>
      <c r="H891" t="s">
        <v>2976</v>
      </c>
      <c r="I891">
        <v>1.82</v>
      </c>
      <c r="K891" t="s">
        <v>1108</v>
      </c>
      <c r="M891">
        <v>27</v>
      </c>
      <c r="N891" t="s">
        <v>2976</v>
      </c>
      <c r="Q891">
        <f t="shared" si="43"/>
        <v>2.5672117798516494E-2</v>
      </c>
      <c r="R891" t="s">
        <v>3267</v>
      </c>
      <c r="W891">
        <v>0.99</v>
      </c>
      <c r="X891" t="s">
        <v>3268</v>
      </c>
      <c r="Y891" t="s">
        <v>7</v>
      </c>
    </row>
    <row r="892" spans="1:26">
      <c r="B892" t="s">
        <v>3209</v>
      </c>
      <c r="C892" t="s">
        <v>1574</v>
      </c>
      <c r="D892" t="s">
        <v>2447</v>
      </c>
      <c r="E892" t="s">
        <v>2748</v>
      </c>
      <c r="F892" t="s">
        <v>2742</v>
      </c>
      <c r="G892">
        <v>332</v>
      </c>
      <c r="H892" t="s">
        <v>2976</v>
      </c>
      <c r="I892">
        <v>1.82</v>
      </c>
      <c r="K892" t="s">
        <v>1108</v>
      </c>
      <c r="M892">
        <v>30</v>
      </c>
      <c r="N892" t="s">
        <v>2976</v>
      </c>
      <c r="Q892">
        <f t="shared" si="43"/>
        <v>2.3104906018664842E-2</v>
      </c>
      <c r="R892" t="s">
        <v>3267</v>
      </c>
      <c r="W892">
        <v>0.98</v>
      </c>
      <c r="X892" t="s">
        <v>3268</v>
      </c>
      <c r="Y892" t="s">
        <v>7</v>
      </c>
    </row>
    <row r="893" spans="1:26">
      <c r="B893" t="s">
        <v>3209</v>
      </c>
      <c r="C893" t="s">
        <v>1584</v>
      </c>
      <c r="D893" t="s">
        <v>2447</v>
      </c>
      <c r="E893" t="s">
        <v>2748</v>
      </c>
      <c r="F893" t="s">
        <v>2742</v>
      </c>
      <c r="G893">
        <v>332</v>
      </c>
      <c r="H893" t="s">
        <v>2976</v>
      </c>
      <c r="I893">
        <v>1.82</v>
      </c>
      <c r="K893" t="s">
        <v>1108</v>
      </c>
      <c r="M893">
        <v>34</v>
      </c>
      <c r="N893" t="s">
        <v>2976</v>
      </c>
      <c r="Q893">
        <f t="shared" si="43"/>
        <v>2.0386681781174861E-2</v>
      </c>
      <c r="R893" t="s">
        <v>3267</v>
      </c>
      <c r="W893">
        <v>0.99</v>
      </c>
      <c r="X893" t="s">
        <v>3268</v>
      </c>
      <c r="Y893" t="s">
        <v>7</v>
      </c>
    </row>
    <row r="894" spans="1:26">
      <c r="B894" t="s">
        <v>3209</v>
      </c>
      <c r="C894" t="s">
        <v>1574</v>
      </c>
      <c r="D894" t="s">
        <v>2446</v>
      </c>
      <c r="E894" t="s">
        <v>2748</v>
      </c>
      <c r="F894" t="s">
        <v>2742</v>
      </c>
      <c r="G894">
        <v>332</v>
      </c>
      <c r="H894" t="s">
        <v>2976</v>
      </c>
      <c r="I894">
        <v>1.82</v>
      </c>
      <c r="K894" t="s">
        <v>1108</v>
      </c>
      <c r="M894">
        <v>30</v>
      </c>
      <c r="N894" t="s">
        <v>2976</v>
      </c>
      <c r="Q894">
        <f t="shared" si="43"/>
        <v>2.3104906018664842E-2</v>
      </c>
      <c r="R894" t="s">
        <v>3267</v>
      </c>
      <c r="W894">
        <v>0.98</v>
      </c>
      <c r="X894" t="s">
        <v>3268</v>
      </c>
      <c r="Y894" t="s">
        <v>7</v>
      </c>
    </row>
    <row r="895" spans="1:26">
      <c r="B895" t="s">
        <v>3209</v>
      </c>
      <c r="C895" t="s">
        <v>1584</v>
      </c>
      <c r="D895" t="s">
        <v>2446</v>
      </c>
      <c r="E895" t="s">
        <v>2748</v>
      </c>
      <c r="F895" t="s">
        <v>2742</v>
      </c>
      <c r="G895">
        <v>332</v>
      </c>
      <c r="H895" t="s">
        <v>2976</v>
      </c>
      <c r="I895">
        <v>1.82</v>
      </c>
      <c r="K895" t="s">
        <v>1108</v>
      </c>
      <c r="M895">
        <v>25</v>
      </c>
      <c r="N895" t="s">
        <v>2976</v>
      </c>
      <c r="Q895">
        <f t="shared" si="43"/>
        <v>2.7725887222397813E-2</v>
      </c>
      <c r="R895" t="s">
        <v>3267</v>
      </c>
      <c r="W895">
        <v>0.99</v>
      </c>
      <c r="X895" t="s">
        <v>3268</v>
      </c>
      <c r="Y895" t="s">
        <v>7</v>
      </c>
    </row>
    <row r="896" spans="1:26">
      <c r="B896" t="s">
        <v>3209</v>
      </c>
      <c r="C896" t="s">
        <v>1578</v>
      </c>
      <c r="D896" t="s">
        <v>2447</v>
      </c>
      <c r="E896" t="s">
        <v>2748</v>
      </c>
      <c r="F896" t="s">
        <v>2742</v>
      </c>
      <c r="G896">
        <v>332</v>
      </c>
      <c r="H896" t="s">
        <v>2976</v>
      </c>
      <c r="I896">
        <v>1.82</v>
      </c>
      <c r="K896" t="s">
        <v>1108</v>
      </c>
      <c r="M896">
        <v>22</v>
      </c>
      <c r="N896" t="s">
        <v>2976</v>
      </c>
      <c r="Q896">
        <f t="shared" si="43"/>
        <v>3.1506690025452061E-2</v>
      </c>
      <c r="R896" t="s">
        <v>3267</v>
      </c>
      <c r="W896">
        <v>0.99</v>
      </c>
      <c r="X896" t="s">
        <v>3268</v>
      </c>
      <c r="Y896" t="s">
        <v>7</v>
      </c>
    </row>
    <row r="897" spans="1:41">
      <c r="B897" t="s">
        <v>3209</v>
      </c>
      <c r="C897" t="s">
        <v>1586</v>
      </c>
      <c r="D897" t="s">
        <v>2447</v>
      </c>
      <c r="E897" t="s">
        <v>2748</v>
      </c>
      <c r="F897" t="s">
        <v>2742</v>
      </c>
      <c r="G897">
        <v>332</v>
      </c>
      <c r="H897" t="s">
        <v>2976</v>
      </c>
      <c r="I897">
        <v>1.82</v>
      </c>
      <c r="K897" t="s">
        <v>1108</v>
      </c>
      <c r="M897">
        <v>20</v>
      </c>
      <c r="N897" t="s">
        <v>2976</v>
      </c>
      <c r="Q897">
        <f t="shared" si="43"/>
        <v>3.4657359027997263E-2</v>
      </c>
      <c r="R897" t="s">
        <v>3267</v>
      </c>
      <c r="W897">
        <v>0.98</v>
      </c>
      <c r="X897" t="s">
        <v>3268</v>
      </c>
      <c r="Y897" t="s">
        <v>7</v>
      </c>
    </row>
    <row r="898" spans="1:41">
      <c r="B898" t="s">
        <v>3209</v>
      </c>
      <c r="C898" t="s">
        <v>1578</v>
      </c>
      <c r="D898" t="s">
        <v>2446</v>
      </c>
      <c r="E898" t="s">
        <v>2748</v>
      </c>
      <c r="F898" t="s">
        <v>2742</v>
      </c>
      <c r="G898">
        <v>332</v>
      </c>
      <c r="H898" t="s">
        <v>2976</v>
      </c>
      <c r="I898">
        <v>1.82</v>
      </c>
      <c r="K898" t="s">
        <v>1108</v>
      </c>
      <c r="M898">
        <v>21</v>
      </c>
      <c r="N898" t="s">
        <v>2976</v>
      </c>
      <c r="Q898">
        <f t="shared" si="43"/>
        <v>3.3007008598092635E-2</v>
      </c>
      <c r="R898" t="s">
        <v>3267</v>
      </c>
      <c r="W898">
        <v>0.99</v>
      </c>
      <c r="X898" t="s">
        <v>3268</v>
      </c>
      <c r="Y898" t="s">
        <v>7</v>
      </c>
    </row>
    <row r="899" spans="1:41">
      <c r="B899" t="s">
        <v>3209</v>
      </c>
      <c r="C899" t="s">
        <v>1586</v>
      </c>
      <c r="D899" t="s">
        <v>2446</v>
      </c>
      <c r="E899" t="s">
        <v>2748</v>
      </c>
      <c r="F899" t="s">
        <v>2742</v>
      </c>
      <c r="G899">
        <v>332</v>
      </c>
      <c r="H899" t="s">
        <v>2976</v>
      </c>
      <c r="I899">
        <v>1.82</v>
      </c>
      <c r="K899" t="s">
        <v>1108</v>
      </c>
      <c r="M899">
        <v>18</v>
      </c>
      <c r="N899" t="s">
        <v>2976</v>
      </c>
      <c r="Q899">
        <f t="shared" si="43"/>
        <v>3.8508176697774739E-2</v>
      </c>
      <c r="R899" t="s">
        <v>3267</v>
      </c>
      <c r="W899">
        <v>0.98</v>
      </c>
      <c r="X899" t="s">
        <v>3268</v>
      </c>
      <c r="Y899" t="s">
        <v>7</v>
      </c>
    </row>
    <row r="900" spans="1:41">
      <c r="B900" t="s">
        <v>3212</v>
      </c>
      <c r="C900" t="s">
        <v>1566</v>
      </c>
      <c r="D900" t="s">
        <v>2447</v>
      </c>
      <c r="E900" t="s">
        <v>2952</v>
      </c>
      <c r="F900" t="s">
        <v>2950</v>
      </c>
      <c r="G900">
        <v>430</v>
      </c>
      <c r="H900" t="s">
        <v>2976</v>
      </c>
      <c r="I900">
        <v>1.22</v>
      </c>
      <c r="K900" t="s">
        <v>1108</v>
      </c>
      <c r="M900">
        <v>165</v>
      </c>
      <c r="N900" t="s">
        <v>2976</v>
      </c>
      <c r="Q900">
        <f t="shared" si="43"/>
        <v>4.2008920033936078E-3</v>
      </c>
      <c r="R900" t="s">
        <v>3267</v>
      </c>
      <c r="W900">
        <v>0.99</v>
      </c>
      <c r="X900" t="s">
        <v>3268</v>
      </c>
      <c r="Y900" t="s">
        <v>7</v>
      </c>
    </row>
    <row r="901" spans="1:41">
      <c r="B901" t="s">
        <v>3212</v>
      </c>
      <c r="C901" t="s">
        <v>1582</v>
      </c>
      <c r="D901" t="s">
        <v>2447</v>
      </c>
      <c r="E901" t="s">
        <v>2952</v>
      </c>
      <c r="F901" t="s">
        <v>2950</v>
      </c>
      <c r="G901">
        <v>430</v>
      </c>
      <c r="H901" t="s">
        <v>2976</v>
      </c>
      <c r="I901">
        <v>1.22</v>
      </c>
      <c r="K901" t="s">
        <v>1108</v>
      </c>
      <c r="M901">
        <v>189</v>
      </c>
      <c r="N901" t="s">
        <v>2976</v>
      </c>
      <c r="Q901">
        <f t="shared" si="43"/>
        <v>3.6674453997880704E-3</v>
      </c>
      <c r="R901" t="s">
        <v>3267</v>
      </c>
      <c r="W901">
        <v>0.99</v>
      </c>
      <c r="X901" t="s">
        <v>3268</v>
      </c>
      <c r="Y901" t="s">
        <v>7</v>
      </c>
    </row>
    <row r="902" spans="1:41">
      <c r="B902" t="s">
        <v>3212</v>
      </c>
      <c r="C902" t="s">
        <v>1566</v>
      </c>
      <c r="D902" t="s">
        <v>2446</v>
      </c>
      <c r="E902" t="s">
        <v>2952</v>
      </c>
      <c r="F902" t="s">
        <v>2950</v>
      </c>
      <c r="G902">
        <v>430</v>
      </c>
      <c r="H902" t="s">
        <v>2976</v>
      </c>
      <c r="I902">
        <v>1.22</v>
      </c>
      <c r="K902" t="s">
        <v>1108</v>
      </c>
      <c r="M902">
        <v>161</v>
      </c>
      <c r="N902" t="s">
        <v>2976</v>
      </c>
      <c r="Q902">
        <f t="shared" si="43"/>
        <v>4.3052619910555609E-3</v>
      </c>
      <c r="R902" t="s">
        <v>3267</v>
      </c>
      <c r="W902">
        <v>0.99</v>
      </c>
      <c r="X902" t="s">
        <v>3268</v>
      </c>
      <c r="Y902" t="s">
        <v>7</v>
      </c>
    </row>
    <row r="903" spans="1:41">
      <c r="B903" t="s">
        <v>3212</v>
      </c>
      <c r="C903" t="s">
        <v>1582</v>
      </c>
      <c r="D903" t="s">
        <v>2446</v>
      </c>
      <c r="E903" t="s">
        <v>2952</v>
      </c>
      <c r="F903" t="s">
        <v>2950</v>
      </c>
      <c r="G903">
        <v>430</v>
      </c>
      <c r="H903" t="s">
        <v>2976</v>
      </c>
      <c r="I903">
        <v>1.22</v>
      </c>
      <c r="K903" t="s">
        <v>1108</v>
      </c>
      <c r="M903">
        <v>221</v>
      </c>
      <c r="N903" t="s">
        <v>2976</v>
      </c>
      <c r="Q903">
        <f t="shared" si="43"/>
        <v>3.1364125817192096E-3</v>
      </c>
      <c r="R903" t="s">
        <v>3267</v>
      </c>
      <c r="W903">
        <v>0.99</v>
      </c>
      <c r="X903" t="s">
        <v>3268</v>
      </c>
      <c r="Y903" t="s">
        <v>7</v>
      </c>
    </row>
    <row r="904" spans="1:41">
      <c r="B904" t="s">
        <v>3212</v>
      </c>
      <c r="C904" t="s">
        <v>1574</v>
      </c>
      <c r="D904" t="s">
        <v>2447</v>
      </c>
      <c r="E904" t="s">
        <v>2952</v>
      </c>
      <c r="F904" t="s">
        <v>2950</v>
      </c>
      <c r="G904">
        <v>430</v>
      </c>
      <c r="H904" t="s">
        <v>2976</v>
      </c>
      <c r="I904">
        <v>1.22</v>
      </c>
      <c r="K904" t="s">
        <v>1108</v>
      </c>
      <c r="M904">
        <v>152</v>
      </c>
      <c r="N904" t="s">
        <v>2976</v>
      </c>
      <c r="Q904">
        <f t="shared" si="43"/>
        <v>4.5601788194733241E-3</v>
      </c>
      <c r="R904" t="s">
        <v>3267</v>
      </c>
      <c r="W904">
        <v>0.99</v>
      </c>
      <c r="X904" t="s">
        <v>3268</v>
      </c>
      <c r="Y904" t="s">
        <v>7</v>
      </c>
    </row>
    <row r="905" spans="1:41">
      <c r="B905" t="s">
        <v>3212</v>
      </c>
      <c r="C905" t="s">
        <v>1584</v>
      </c>
      <c r="D905" t="s">
        <v>2447</v>
      </c>
      <c r="E905" t="s">
        <v>2952</v>
      </c>
      <c r="F905" t="s">
        <v>2950</v>
      </c>
      <c r="G905">
        <v>430</v>
      </c>
      <c r="H905" t="s">
        <v>2976</v>
      </c>
      <c r="I905">
        <v>1.22</v>
      </c>
      <c r="K905" t="s">
        <v>1108</v>
      </c>
      <c r="M905">
        <v>147</v>
      </c>
      <c r="N905" t="s">
        <v>2976</v>
      </c>
      <c r="Q905">
        <f t="shared" si="43"/>
        <v>4.7152869425846622E-3</v>
      </c>
      <c r="R905" t="s">
        <v>3267</v>
      </c>
      <c r="W905">
        <v>0.99</v>
      </c>
      <c r="X905" t="s">
        <v>3268</v>
      </c>
      <c r="Y905" t="s">
        <v>7</v>
      </c>
    </row>
    <row r="906" spans="1:41">
      <c r="B906" t="s">
        <v>3212</v>
      </c>
      <c r="C906" t="s">
        <v>1574</v>
      </c>
      <c r="D906" t="s">
        <v>2446</v>
      </c>
      <c r="E906" t="s">
        <v>2952</v>
      </c>
      <c r="F906" t="s">
        <v>2950</v>
      </c>
      <c r="G906">
        <v>430</v>
      </c>
      <c r="H906" t="s">
        <v>2976</v>
      </c>
      <c r="I906">
        <v>1.22</v>
      </c>
      <c r="K906" t="s">
        <v>1108</v>
      </c>
      <c r="M906">
        <v>187</v>
      </c>
      <c r="N906" t="s">
        <v>2976</v>
      </c>
      <c r="Q906">
        <f t="shared" si="43"/>
        <v>3.7066694147590657E-3</v>
      </c>
      <c r="R906" t="s">
        <v>3267</v>
      </c>
      <c r="W906">
        <v>0.99</v>
      </c>
      <c r="X906" t="s">
        <v>3268</v>
      </c>
      <c r="Y906" t="s">
        <v>7</v>
      </c>
    </row>
    <row r="907" spans="1:41">
      <c r="B907" t="s">
        <v>3212</v>
      </c>
      <c r="C907" t="s">
        <v>1584</v>
      </c>
      <c r="D907" t="s">
        <v>2446</v>
      </c>
      <c r="E907" t="s">
        <v>2952</v>
      </c>
      <c r="F907" t="s">
        <v>2950</v>
      </c>
      <c r="G907">
        <v>430</v>
      </c>
      <c r="H907" t="s">
        <v>2976</v>
      </c>
      <c r="I907">
        <v>1.22</v>
      </c>
      <c r="K907" t="s">
        <v>1108</v>
      </c>
      <c r="M907">
        <v>143</v>
      </c>
      <c r="N907" t="s">
        <v>2976</v>
      </c>
      <c r="Q907">
        <f t="shared" si="43"/>
        <v>4.8471830808387781E-3</v>
      </c>
      <c r="R907" t="s">
        <v>3267</v>
      </c>
      <c r="W907">
        <v>0.99</v>
      </c>
      <c r="X907" t="s">
        <v>3268</v>
      </c>
      <c r="Y907" t="s">
        <v>7</v>
      </c>
    </row>
    <row r="908" spans="1:41">
      <c r="B908" t="s">
        <v>3212</v>
      </c>
      <c r="C908" t="s">
        <v>1578</v>
      </c>
      <c r="D908" t="s">
        <v>2447</v>
      </c>
      <c r="E908" t="s">
        <v>2952</v>
      </c>
      <c r="F908" t="s">
        <v>2950</v>
      </c>
      <c r="G908">
        <v>430</v>
      </c>
      <c r="H908" t="s">
        <v>2976</v>
      </c>
      <c r="I908">
        <v>1.22</v>
      </c>
      <c r="K908" t="s">
        <v>1108</v>
      </c>
      <c r="M908">
        <v>176</v>
      </c>
      <c r="N908" t="s">
        <v>2976</v>
      </c>
      <c r="Q908">
        <f t="shared" si="43"/>
        <v>3.9383362531815076E-3</v>
      </c>
      <c r="R908" t="s">
        <v>3267</v>
      </c>
      <c r="W908">
        <v>0.99</v>
      </c>
      <c r="X908" t="s">
        <v>3268</v>
      </c>
      <c r="Y908" t="s">
        <v>7</v>
      </c>
    </row>
    <row r="909" spans="1:41">
      <c r="B909" t="s">
        <v>3212</v>
      </c>
      <c r="C909" t="s">
        <v>1586</v>
      </c>
      <c r="D909" t="s">
        <v>2447</v>
      </c>
      <c r="E909" t="s">
        <v>2952</v>
      </c>
      <c r="F909" t="s">
        <v>2950</v>
      </c>
      <c r="G909">
        <v>430</v>
      </c>
      <c r="H909" t="s">
        <v>2976</v>
      </c>
      <c r="I909">
        <v>1.22</v>
      </c>
      <c r="K909" t="s">
        <v>1108</v>
      </c>
      <c r="M909">
        <v>175</v>
      </c>
      <c r="N909" t="s">
        <v>2976</v>
      </c>
      <c r="Q909">
        <f t="shared" si="43"/>
        <v>3.9608410317711158E-3</v>
      </c>
      <c r="R909" t="s">
        <v>3267</v>
      </c>
      <c r="W909">
        <v>0.99</v>
      </c>
      <c r="X909" t="s">
        <v>3268</v>
      </c>
      <c r="Y909" t="s">
        <v>7</v>
      </c>
    </row>
    <row r="910" spans="1:41">
      <c r="B910" t="s">
        <v>3212</v>
      </c>
      <c r="C910" t="s">
        <v>1578</v>
      </c>
      <c r="D910" t="s">
        <v>2446</v>
      </c>
      <c r="E910" t="s">
        <v>2952</v>
      </c>
      <c r="F910" t="s">
        <v>2950</v>
      </c>
      <c r="G910">
        <v>430</v>
      </c>
      <c r="H910" t="s">
        <v>2976</v>
      </c>
      <c r="I910">
        <v>1.22</v>
      </c>
      <c r="K910" t="s">
        <v>1108</v>
      </c>
      <c r="M910">
        <v>102</v>
      </c>
      <c r="N910" t="s">
        <v>2976</v>
      </c>
      <c r="Q910">
        <f t="shared" si="43"/>
        <v>6.7955605937249537E-3</v>
      </c>
      <c r="R910" t="s">
        <v>3267</v>
      </c>
      <c r="W910">
        <v>0.98</v>
      </c>
      <c r="X910" t="s">
        <v>3268</v>
      </c>
      <c r="Y910" t="s">
        <v>7</v>
      </c>
    </row>
    <row r="911" spans="1:41">
      <c r="B911" t="s">
        <v>3212</v>
      </c>
      <c r="C911" t="s">
        <v>1586</v>
      </c>
      <c r="D911" t="s">
        <v>2446</v>
      </c>
      <c r="E911" t="s">
        <v>2952</v>
      </c>
      <c r="F911" t="s">
        <v>2950</v>
      </c>
      <c r="G911">
        <v>430</v>
      </c>
      <c r="H911" t="s">
        <v>2976</v>
      </c>
      <c r="I911">
        <v>1.22</v>
      </c>
      <c r="K911" t="s">
        <v>1108</v>
      </c>
      <c r="M911">
        <v>215</v>
      </c>
      <c r="N911" t="s">
        <v>2976</v>
      </c>
      <c r="Q911">
        <f t="shared" si="43"/>
        <v>3.22394037469742E-3</v>
      </c>
      <c r="R911" t="s">
        <v>3267</v>
      </c>
      <c r="W911">
        <v>0.98</v>
      </c>
      <c r="X911" t="s">
        <v>3268</v>
      </c>
      <c r="Y911" t="s">
        <v>7</v>
      </c>
    </row>
    <row r="912" spans="1:41">
      <c r="A912" t="s">
        <v>460</v>
      </c>
      <c r="B912" t="s">
        <v>3214</v>
      </c>
      <c r="C912" t="s">
        <v>1588</v>
      </c>
      <c r="D912" t="s">
        <v>2449</v>
      </c>
      <c r="E912" t="s">
        <v>2634</v>
      </c>
      <c r="F912" t="s">
        <v>2629</v>
      </c>
      <c r="G912">
        <v>120</v>
      </c>
      <c r="H912" t="s">
        <v>2976</v>
      </c>
      <c r="I912">
        <v>2</v>
      </c>
      <c r="K912" t="s">
        <v>1572</v>
      </c>
      <c r="M912">
        <v>54.7</v>
      </c>
      <c r="N912" t="s">
        <v>2976</v>
      </c>
      <c r="Q912">
        <f t="shared" si="43"/>
        <v>1.2671794891406678E-2</v>
      </c>
      <c r="R912" t="s">
        <v>3267</v>
      </c>
      <c r="W912">
        <v>0.996</v>
      </c>
      <c r="X912" t="s">
        <v>3268</v>
      </c>
      <c r="Y912" t="s">
        <v>7</v>
      </c>
      <c r="AK912">
        <v>4.66</v>
      </c>
      <c r="AM912">
        <f>1/0.68</f>
        <v>1.4705882352941175</v>
      </c>
      <c r="AN912" t="s">
        <v>3270</v>
      </c>
      <c r="AO912">
        <v>0.95699999999999996</v>
      </c>
    </row>
    <row r="913" spans="1:41">
      <c r="B913" t="s">
        <v>3214</v>
      </c>
      <c r="C913" t="s">
        <v>1593</v>
      </c>
      <c r="D913" t="s">
        <v>2449</v>
      </c>
      <c r="E913" t="s">
        <v>2634</v>
      </c>
      <c r="F913" t="s">
        <v>2629</v>
      </c>
      <c r="G913">
        <v>120</v>
      </c>
      <c r="H913" t="s">
        <v>2976</v>
      </c>
      <c r="I913">
        <v>2</v>
      </c>
      <c r="K913" t="s">
        <v>1572</v>
      </c>
      <c r="M913">
        <v>64</v>
      </c>
      <c r="N913" t="s">
        <v>2976</v>
      </c>
      <c r="Q913">
        <f t="shared" ref="Q913:Q915" si="44">LN(2)/M913</f>
        <v>1.0830424696249145E-2</v>
      </c>
      <c r="R913" t="s">
        <v>3267</v>
      </c>
      <c r="W913">
        <v>0.96699999999999997</v>
      </c>
      <c r="X913" t="s">
        <v>3268</v>
      </c>
      <c r="Y913" t="s">
        <v>7</v>
      </c>
      <c r="AK913">
        <v>2.98</v>
      </c>
      <c r="AM913">
        <f>1/0.79</f>
        <v>1.2658227848101264</v>
      </c>
      <c r="AN913" t="s">
        <v>3270</v>
      </c>
      <c r="AO913">
        <v>0.99399999999999999</v>
      </c>
    </row>
    <row r="914" spans="1:41">
      <c r="B914" t="s">
        <v>3214</v>
      </c>
      <c r="C914" t="s">
        <v>1588</v>
      </c>
      <c r="D914" t="s">
        <v>2450</v>
      </c>
      <c r="E914" t="s">
        <v>2634</v>
      </c>
      <c r="F914" t="s">
        <v>2629</v>
      </c>
      <c r="G914">
        <v>120</v>
      </c>
      <c r="H914" t="s">
        <v>2976</v>
      </c>
      <c r="I914">
        <v>2</v>
      </c>
      <c r="K914" t="s">
        <v>1572</v>
      </c>
      <c r="M914">
        <v>115.7</v>
      </c>
      <c r="N914" t="s">
        <v>2976</v>
      </c>
      <c r="Q914">
        <f t="shared" si="44"/>
        <v>5.9909004369917479E-3</v>
      </c>
      <c r="R914" t="s">
        <v>3267</v>
      </c>
      <c r="W914">
        <v>0.98399999999999999</v>
      </c>
      <c r="X914" t="s">
        <v>3268</v>
      </c>
      <c r="Y914" t="s">
        <v>7</v>
      </c>
      <c r="AK914">
        <v>8.48</v>
      </c>
      <c r="AM914">
        <f>1/0.75</f>
        <v>1.3333333333333333</v>
      </c>
      <c r="AN914" t="s">
        <v>3270</v>
      </c>
      <c r="AO914">
        <v>0.95699999999999996</v>
      </c>
    </row>
    <row r="915" spans="1:41">
      <c r="B915" t="s">
        <v>3214</v>
      </c>
      <c r="C915" t="s">
        <v>1593</v>
      </c>
      <c r="D915" t="s">
        <v>2450</v>
      </c>
      <c r="E915" t="s">
        <v>2634</v>
      </c>
      <c r="F915" t="s">
        <v>2629</v>
      </c>
      <c r="G915">
        <v>120</v>
      </c>
      <c r="H915" t="s">
        <v>2976</v>
      </c>
      <c r="I915">
        <v>2</v>
      </c>
      <c r="K915" t="s">
        <v>1572</v>
      </c>
      <c r="M915">
        <v>59</v>
      </c>
      <c r="N915" t="s">
        <v>2976</v>
      </c>
      <c r="Q915">
        <f t="shared" si="44"/>
        <v>1.1748257297626191E-2</v>
      </c>
      <c r="R915" t="s">
        <v>3267</v>
      </c>
      <c r="W915">
        <v>0.94799999999999995</v>
      </c>
      <c r="X915" t="s">
        <v>3268</v>
      </c>
      <c r="Y915" t="s">
        <v>7</v>
      </c>
      <c r="AK915">
        <v>7.1</v>
      </c>
      <c r="AM915">
        <f>1/0.85</f>
        <v>1.1764705882352942</v>
      </c>
      <c r="AN915" t="s">
        <v>3270</v>
      </c>
      <c r="AO915">
        <v>0.96399999999999997</v>
      </c>
    </row>
    <row r="916" spans="1:41">
      <c r="A916" t="s">
        <v>465</v>
      </c>
      <c r="B916" t="s">
        <v>3215</v>
      </c>
      <c r="C916" t="s">
        <v>1596</v>
      </c>
      <c r="D916" t="s">
        <v>2453</v>
      </c>
      <c r="E916" t="s">
        <v>2893</v>
      </c>
      <c r="F916" t="s">
        <v>2891</v>
      </c>
      <c r="G916">
        <v>42</v>
      </c>
      <c r="H916" t="s">
        <v>2976</v>
      </c>
      <c r="I916">
        <v>2</v>
      </c>
      <c r="K916" t="s">
        <v>1108</v>
      </c>
      <c r="M916">
        <v>39</v>
      </c>
      <c r="N916" t="s">
        <v>2976</v>
      </c>
      <c r="Q916">
        <f>LN(2)/M916</f>
        <v>1.7773004629742187E-2</v>
      </c>
      <c r="R916" t="s">
        <v>3267</v>
      </c>
      <c r="W916">
        <v>0.98399999999999999</v>
      </c>
      <c r="X916" t="s">
        <v>3268</v>
      </c>
      <c r="Y916" t="s">
        <v>7</v>
      </c>
      <c r="AK916">
        <v>0.44</v>
      </c>
      <c r="AN916" t="s">
        <v>3270</v>
      </c>
      <c r="AO916">
        <v>0.98599999999999999</v>
      </c>
    </row>
    <row r="917" spans="1:41">
      <c r="B917" t="s">
        <v>3215</v>
      </c>
      <c r="C917" t="s">
        <v>1596</v>
      </c>
      <c r="D917" t="s">
        <v>2453</v>
      </c>
      <c r="E917" t="s">
        <v>2881</v>
      </c>
      <c r="F917" t="s">
        <v>2880</v>
      </c>
      <c r="G917">
        <v>42</v>
      </c>
      <c r="H917" t="s">
        <v>2976</v>
      </c>
      <c r="I917">
        <v>2</v>
      </c>
      <c r="K917" t="s">
        <v>1108</v>
      </c>
      <c r="M917">
        <v>12</v>
      </c>
      <c r="N917" t="s">
        <v>2976</v>
      </c>
      <c r="Q917">
        <f t="shared" ref="Q917:Q921" si="45">LN(2)/M917</f>
        <v>5.7762265046662105E-2</v>
      </c>
      <c r="R917" t="s">
        <v>3267</v>
      </c>
      <c r="W917">
        <v>0.998</v>
      </c>
      <c r="X917" t="s">
        <v>3268</v>
      </c>
      <c r="Y917" t="s">
        <v>7</v>
      </c>
      <c r="AK917">
        <v>0.46</v>
      </c>
      <c r="AN917" t="s">
        <v>3270</v>
      </c>
      <c r="AO917">
        <v>0.98599999999999999</v>
      </c>
    </row>
    <row r="918" spans="1:41">
      <c r="B918" t="s">
        <v>3215</v>
      </c>
      <c r="C918" t="s">
        <v>1596</v>
      </c>
      <c r="D918" t="s">
        <v>2453</v>
      </c>
      <c r="E918" t="s">
        <v>2541</v>
      </c>
      <c r="F918" t="s">
        <v>2542</v>
      </c>
      <c r="G918">
        <v>42</v>
      </c>
      <c r="H918" t="s">
        <v>2976</v>
      </c>
      <c r="I918">
        <v>2</v>
      </c>
      <c r="K918" t="s">
        <v>1108</v>
      </c>
      <c r="M918">
        <v>20</v>
      </c>
      <c r="N918" t="s">
        <v>2976</v>
      </c>
      <c r="Q918">
        <f t="shared" si="45"/>
        <v>3.4657359027997263E-2</v>
      </c>
      <c r="R918" t="s">
        <v>3267</v>
      </c>
      <c r="W918">
        <v>0.99299999999999999</v>
      </c>
      <c r="X918" t="s">
        <v>3268</v>
      </c>
      <c r="Y918" t="s">
        <v>7</v>
      </c>
    </row>
    <row r="919" spans="1:41">
      <c r="B919" t="s">
        <v>3215</v>
      </c>
      <c r="C919" t="s">
        <v>1596</v>
      </c>
      <c r="D919" t="s">
        <v>2454</v>
      </c>
      <c r="E919" t="s">
        <v>2893</v>
      </c>
      <c r="F919" t="s">
        <v>2891</v>
      </c>
      <c r="G919">
        <v>42</v>
      </c>
      <c r="H919" t="s">
        <v>2976</v>
      </c>
      <c r="I919">
        <v>2</v>
      </c>
      <c r="K919" t="s">
        <v>1108</v>
      </c>
      <c r="M919">
        <v>33</v>
      </c>
      <c r="N919" t="s">
        <v>2976</v>
      </c>
      <c r="Q919">
        <f t="shared" si="45"/>
        <v>2.1004460016968041E-2</v>
      </c>
      <c r="R919" t="s">
        <v>3267</v>
      </c>
      <c r="W919">
        <v>0.998</v>
      </c>
      <c r="X919" t="s">
        <v>3268</v>
      </c>
      <c r="Y919" t="s">
        <v>7</v>
      </c>
      <c r="AK919">
        <v>0.51</v>
      </c>
      <c r="AN919" t="s">
        <v>3270</v>
      </c>
      <c r="AO919">
        <v>0.99</v>
      </c>
    </row>
    <row r="920" spans="1:41">
      <c r="B920" t="s">
        <v>3215</v>
      </c>
      <c r="C920" t="s">
        <v>1596</v>
      </c>
      <c r="D920" t="s">
        <v>2454</v>
      </c>
      <c r="E920" t="s">
        <v>2881</v>
      </c>
      <c r="F920" t="s">
        <v>2880</v>
      </c>
      <c r="G920">
        <v>42</v>
      </c>
      <c r="H920" t="s">
        <v>2976</v>
      </c>
      <c r="I920">
        <v>2</v>
      </c>
      <c r="K920" t="s">
        <v>1108</v>
      </c>
      <c r="M920">
        <v>28</v>
      </c>
      <c r="N920" t="s">
        <v>2976</v>
      </c>
      <c r="Q920">
        <f t="shared" si="45"/>
        <v>2.4755256448569473E-2</v>
      </c>
      <c r="R920" t="s">
        <v>3267</v>
      </c>
      <c r="W920">
        <v>0.98799999999999999</v>
      </c>
      <c r="X920" t="s">
        <v>3268</v>
      </c>
      <c r="Y920" t="s">
        <v>7</v>
      </c>
      <c r="AK920">
        <v>0.55000000000000004</v>
      </c>
      <c r="AN920" t="s">
        <v>3270</v>
      </c>
      <c r="AO920">
        <v>0.98899999999999999</v>
      </c>
    </row>
    <row r="921" spans="1:41">
      <c r="B921" t="s">
        <v>3215</v>
      </c>
      <c r="C921" t="s">
        <v>1596</v>
      </c>
      <c r="D921" t="s">
        <v>2454</v>
      </c>
      <c r="E921" t="s">
        <v>2541</v>
      </c>
      <c r="F921" t="s">
        <v>2542</v>
      </c>
      <c r="G921">
        <v>42</v>
      </c>
      <c r="H921" t="s">
        <v>2976</v>
      </c>
      <c r="I921">
        <v>2</v>
      </c>
      <c r="K921" t="s">
        <v>1108</v>
      </c>
      <c r="M921">
        <v>31</v>
      </c>
      <c r="N921" t="s">
        <v>2976</v>
      </c>
      <c r="Q921">
        <f t="shared" si="45"/>
        <v>2.2359586469675653E-2</v>
      </c>
      <c r="R921" t="s">
        <v>3267</v>
      </c>
      <c r="W921">
        <v>0.99399999999999999</v>
      </c>
      <c r="X921" t="s">
        <v>3268</v>
      </c>
      <c r="Y921" t="s">
        <v>7</v>
      </c>
    </row>
    <row r="922" spans="1:41">
      <c r="A922" t="s">
        <v>474</v>
      </c>
      <c r="B922" t="s">
        <v>3217</v>
      </c>
      <c r="C922" t="s">
        <v>1598</v>
      </c>
      <c r="D922" t="s">
        <v>2455</v>
      </c>
      <c r="E922" t="s">
        <v>2621</v>
      </c>
      <c r="F922" t="s">
        <v>2607</v>
      </c>
      <c r="G922">
        <v>60</v>
      </c>
      <c r="H922" t="s">
        <v>2976</v>
      </c>
      <c r="I922">
        <v>20</v>
      </c>
      <c r="K922" t="s">
        <v>1108</v>
      </c>
      <c r="M922">
        <v>43</v>
      </c>
      <c r="N922" t="s">
        <v>2976</v>
      </c>
      <c r="Q922">
        <f>LN(2)/M922</f>
        <v>1.6119701873487099E-2</v>
      </c>
      <c r="R922" t="s">
        <v>3267</v>
      </c>
      <c r="W922">
        <v>0.98699999999999999</v>
      </c>
      <c r="X922" t="s">
        <v>3268</v>
      </c>
      <c r="Y922" t="s">
        <v>7</v>
      </c>
    </row>
    <row r="923" spans="1:41">
      <c r="B923" t="s">
        <v>3217</v>
      </c>
      <c r="C923" t="s">
        <v>1598</v>
      </c>
      <c r="D923" t="s">
        <v>2457</v>
      </c>
      <c r="E923" t="s">
        <v>2621</v>
      </c>
      <c r="F923" t="s">
        <v>2607</v>
      </c>
      <c r="G923">
        <v>60</v>
      </c>
      <c r="H923" t="s">
        <v>2976</v>
      </c>
      <c r="I923">
        <v>20</v>
      </c>
      <c r="K923" t="s">
        <v>1108</v>
      </c>
      <c r="M923">
        <v>18.8</v>
      </c>
      <c r="N923" t="s">
        <v>2976</v>
      </c>
      <c r="Q923">
        <f t="shared" ref="Q923:Q926" si="46">LN(2)/M923</f>
        <v>3.6869530880848149E-2</v>
      </c>
      <c r="R923" t="s">
        <v>3267</v>
      </c>
      <c r="W923">
        <v>0.99199999999999999</v>
      </c>
      <c r="X923" t="s">
        <v>3268</v>
      </c>
      <c r="Y923" t="s">
        <v>7</v>
      </c>
    </row>
    <row r="924" spans="1:41">
      <c r="B924" t="s">
        <v>3217</v>
      </c>
      <c r="C924" t="s">
        <v>1598</v>
      </c>
      <c r="D924" t="s">
        <v>2460</v>
      </c>
      <c r="E924" t="s">
        <v>2621</v>
      </c>
      <c r="F924" t="s">
        <v>2607</v>
      </c>
      <c r="G924">
        <v>60</v>
      </c>
      <c r="H924" t="s">
        <v>2976</v>
      </c>
      <c r="I924">
        <v>20</v>
      </c>
      <c r="K924" t="s">
        <v>1108</v>
      </c>
      <c r="M924">
        <v>20.61</v>
      </c>
      <c r="N924" t="s">
        <v>2976</v>
      </c>
      <c r="Q924">
        <f t="shared" si="46"/>
        <v>3.363159536923558E-2</v>
      </c>
      <c r="R924" t="s">
        <v>3267</v>
      </c>
      <c r="W924">
        <v>0.996</v>
      </c>
      <c r="X924" t="s">
        <v>3268</v>
      </c>
      <c r="Y924" t="s">
        <v>7</v>
      </c>
    </row>
    <row r="925" spans="1:41">
      <c r="B925" t="s">
        <v>3217</v>
      </c>
      <c r="C925" t="s">
        <v>1598</v>
      </c>
      <c r="D925" t="s">
        <v>2461</v>
      </c>
      <c r="E925" t="s">
        <v>2621</v>
      </c>
      <c r="F925" t="s">
        <v>2607</v>
      </c>
      <c r="G925">
        <v>60</v>
      </c>
      <c r="H925" t="s">
        <v>2976</v>
      </c>
      <c r="I925">
        <v>20</v>
      </c>
      <c r="K925" t="s">
        <v>1108</v>
      </c>
      <c r="M925">
        <v>23.33</v>
      </c>
      <c r="N925" t="s">
        <v>2976</v>
      </c>
      <c r="Q925">
        <f t="shared" si="46"/>
        <v>2.9710552102869495E-2</v>
      </c>
      <c r="R925" t="s">
        <v>3267</v>
      </c>
      <c r="W925">
        <v>0.99399999999999999</v>
      </c>
      <c r="X925" t="s">
        <v>3268</v>
      </c>
      <c r="Y925" t="s">
        <v>7</v>
      </c>
    </row>
    <row r="926" spans="1:41">
      <c r="B926" t="s">
        <v>3217</v>
      </c>
      <c r="C926" t="s">
        <v>1598</v>
      </c>
      <c r="D926" t="s">
        <v>2463</v>
      </c>
      <c r="E926" t="s">
        <v>2621</v>
      </c>
      <c r="F926" t="s">
        <v>2607</v>
      </c>
      <c r="G926">
        <v>60</v>
      </c>
      <c r="H926" t="s">
        <v>2976</v>
      </c>
      <c r="I926">
        <v>20</v>
      </c>
      <c r="K926" t="s">
        <v>1108</v>
      </c>
      <c r="M926">
        <v>37.619999999999997</v>
      </c>
      <c r="N926" t="s">
        <v>2976</v>
      </c>
      <c r="Q926">
        <f t="shared" si="46"/>
        <v>1.8424964927164948E-2</v>
      </c>
      <c r="R926" t="s">
        <v>3267</v>
      </c>
      <c r="W926">
        <v>0.96699999999999997</v>
      </c>
      <c r="X926" t="s">
        <v>3268</v>
      </c>
      <c r="Y926" t="s">
        <v>7</v>
      </c>
    </row>
    <row r="927" spans="1:41">
      <c r="A927" t="s">
        <v>478</v>
      </c>
      <c r="B927" t="s">
        <v>3218</v>
      </c>
      <c r="C927" t="s">
        <v>1600</v>
      </c>
      <c r="D927" t="s">
        <v>2465</v>
      </c>
      <c r="E927" t="s">
        <v>2682</v>
      </c>
      <c r="F927" t="s">
        <v>3315</v>
      </c>
      <c r="G927">
        <v>74</v>
      </c>
      <c r="H927" t="s">
        <v>2976</v>
      </c>
      <c r="I927">
        <v>10</v>
      </c>
      <c r="K927" t="s">
        <v>1603</v>
      </c>
      <c r="L927">
        <v>95.1</v>
      </c>
    </row>
    <row r="928" spans="1:41">
      <c r="B928" t="s">
        <v>3218</v>
      </c>
      <c r="C928" t="s">
        <v>1600</v>
      </c>
      <c r="D928" t="s">
        <v>2466</v>
      </c>
      <c r="E928" t="s">
        <v>2682</v>
      </c>
      <c r="F928" t="s">
        <v>3315</v>
      </c>
      <c r="G928">
        <v>74</v>
      </c>
      <c r="H928" t="s">
        <v>2976</v>
      </c>
      <c r="I928">
        <v>10</v>
      </c>
      <c r="K928" t="s">
        <v>1603</v>
      </c>
      <c r="L928">
        <v>94.8</v>
      </c>
    </row>
    <row r="929" spans="1:41">
      <c r="B929" t="s">
        <v>3218</v>
      </c>
      <c r="C929" t="s">
        <v>1600</v>
      </c>
      <c r="D929" t="s">
        <v>2467</v>
      </c>
      <c r="E929" t="s">
        <v>2682</v>
      </c>
      <c r="F929" t="s">
        <v>3315</v>
      </c>
      <c r="G929">
        <v>74</v>
      </c>
      <c r="H929" t="s">
        <v>2976</v>
      </c>
      <c r="I929">
        <v>10</v>
      </c>
      <c r="K929" t="s">
        <v>1603</v>
      </c>
      <c r="L929">
        <v>93.5</v>
      </c>
    </row>
    <row r="930" spans="1:41">
      <c r="B930" t="s">
        <v>3218</v>
      </c>
      <c r="C930" t="s">
        <v>1600</v>
      </c>
      <c r="D930" t="s">
        <v>2468</v>
      </c>
      <c r="E930" t="s">
        <v>2682</v>
      </c>
      <c r="F930" t="s">
        <v>3315</v>
      </c>
      <c r="G930">
        <v>74</v>
      </c>
      <c r="H930" t="s">
        <v>2976</v>
      </c>
      <c r="I930">
        <v>10</v>
      </c>
      <c r="K930" t="s">
        <v>1603</v>
      </c>
      <c r="L930">
        <v>96</v>
      </c>
    </row>
    <row r="931" spans="1:41">
      <c r="B931" t="s">
        <v>3218</v>
      </c>
      <c r="C931" t="s">
        <v>1600</v>
      </c>
      <c r="D931" t="s">
        <v>2469</v>
      </c>
      <c r="E931" t="s">
        <v>2682</v>
      </c>
      <c r="F931" t="s">
        <v>3315</v>
      </c>
      <c r="G931">
        <v>74</v>
      </c>
      <c r="H931" t="s">
        <v>2976</v>
      </c>
      <c r="I931">
        <v>10</v>
      </c>
      <c r="K931" t="s">
        <v>1603</v>
      </c>
      <c r="L931">
        <v>96.5</v>
      </c>
    </row>
    <row r="932" spans="1:41">
      <c r="A932" t="s">
        <v>487</v>
      </c>
      <c r="B932" t="s">
        <v>3221</v>
      </c>
      <c r="C932" t="s">
        <v>1604</v>
      </c>
      <c r="D932" t="s">
        <v>2471</v>
      </c>
      <c r="E932" t="s">
        <v>2635</v>
      </c>
      <c r="F932" t="s">
        <v>2629</v>
      </c>
      <c r="G932">
        <v>120</v>
      </c>
      <c r="H932" t="s">
        <v>2976</v>
      </c>
      <c r="I932">
        <v>2</v>
      </c>
      <c r="K932" t="s">
        <v>1572</v>
      </c>
      <c r="M932">
        <v>107.47</v>
      </c>
      <c r="N932" t="s">
        <v>2976</v>
      </c>
      <c r="Q932">
        <f>LN(2)/M932</f>
        <v>6.4496806602767779E-3</v>
      </c>
      <c r="R932" t="s">
        <v>3267</v>
      </c>
      <c r="W932">
        <v>0.98699999999999999</v>
      </c>
      <c r="X932" t="s">
        <v>3268</v>
      </c>
      <c r="Y932" t="s">
        <v>7</v>
      </c>
      <c r="Z932" t="s">
        <v>4</v>
      </c>
      <c r="AK932">
        <v>7.96</v>
      </c>
      <c r="AM932">
        <f>1/1.17</f>
        <v>0.85470085470085477</v>
      </c>
      <c r="AN932" t="s">
        <v>3270</v>
      </c>
      <c r="AO932">
        <v>0.99199999999999999</v>
      </c>
    </row>
    <row r="933" spans="1:41">
      <c r="B933" t="s">
        <v>3221</v>
      </c>
      <c r="C933" t="s">
        <v>1604</v>
      </c>
      <c r="D933" t="s">
        <v>2472</v>
      </c>
      <c r="E933" t="s">
        <v>2635</v>
      </c>
      <c r="F933" t="s">
        <v>2629</v>
      </c>
      <c r="G933">
        <v>120</v>
      </c>
      <c r="H933" t="s">
        <v>2976</v>
      </c>
      <c r="I933">
        <v>2</v>
      </c>
      <c r="K933" t="s">
        <v>1572</v>
      </c>
      <c r="M933">
        <v>73.39</v>
      </c>
      <c r="N933" t="s">
        <v>2976</v>
      </c>
      <c r="Q933">
        <f>LN(2)/M933</f>
        <v>9.4447088235446973E-3</v>
      </c>
      <c r="R933" t="s">
        <v>3267</v>
      </c>
      <c r="W933">
        <v>0.96199999999999997</v>
      </c>
      <c r="X933" t="s">
        <v>3268</v>
      </c>
      <c r="Y933" t="s">
        <v>7</v>
      </c>
      <c r="Z933" t="s">
        <v>4</v>
      </c>
      <c r="AK933">
        <v>12.7</v>
      </c>
      <c r="AM933">
        <f>1/1.08</f>
        <v>0.92592592592592582</v>
      </c>
      <c r="AN933" t="s">
        <v>3270</v>
      </c>
      <c r="AO933">
        <v>0.93300000000000005</v>
      </c>
    </row>
    <row r="934" spans="1:41">
      <c r="A934" t="s">
        <v>78</v>
      </c>
      <c r="B934" t="s">
        <v>3222</v>
      </c>
      <c r="C934" t="s">
        <v>1605</v>
      </c>
      <c r="D934" t="s">
        <v>2473</v>
      </c>
      <c r="E934" t="s">
        <v>2622</v>
      </c>
      <c r="F934" t="s">
        <v>2607</v>
      </c>
      <c r="G934">
        <v>150</v>
      </c>
      <c r="H934" t="s">
        <v>2976</v>
      </c>
      <c r="I934">
        <v>4</v>
      </c>
      <c r="K934" t="s">
        <v>1108</v>
      </c>
      <c r="M934">
        <v>28.51</v>
      </c>
      <c r="N934" t="s">
        <v>2976</v>
      </c>
      <c r="O934">
        <v>30.46</v>
      </c>
      <c r="P934" t="s">
        <v>2976</v>
      </c>
      <c r="Q934">
        <v>2.2749999999999999E-2</v>
      </c>
      <c r="R934" t="s">
        <v>3267</v>
      </c>
      <c r="S934">
        <v>2.4299999999999999E-2</v>
      </c>
      <c r="T934" t="s">
        <v>3267</v>
      </c>
      <c r="W934">
        <v>0.99</v>
      </c>
      <c r="X934" t="s">
        <v>3316</v>
      </c>
      <c r="Y934" t="s">
        <v>7</v>
      </c>
      <c r="Z934" t="s">
        <v>4</v>
      </c>
    </row>
    <row r="935" spans="1:41">
      <c r="B935" t="s">
        <v>3222</v>
      </c>
      <c r="C935" t="s">
        <v>1610</v>
      </c>
      <c r="D935" t="s">
        <v>2473</v>
      </c>
      <c r="E935" t="s">
        <v>2622</v>
      </c>
      <c r="F935" t="s">
        <v>2607</v>
      </c>
      <c r="G935">
        <v>150</v>
      </c>
      <c r="H935" t="s">
        <v>2976</v>
      </c>
      <c r="I935">
        <v>4</v>
      </c>
      <c r="K935" t="s">
        <v>1108</v>
      </c>
      <c r="M935">
        <v>27.07</v>
      </c>
      <c r="N935" t="s">
        <v>2976</v>
      </c>
      <c r="Q935">
        <f t="shared" ref="Q935:Q951" si="47">LN(2)/M935</f>
        <v>2.5605732565938132E-2</v>
      </c>
      <c r="R935" t="s">
        <v>3267</v>
      </c>
      <c r="W935">
        <v>0.99</v>
      </c>
      <c r="X935" t="s">
        <v>3317</v>
      </c>
      <c r="Y935" t="s">
        <v>7</v>
      </c>
      <c r="Z935" t="s">
        <v>4</v>
      </c>
    </row>
    <row r="936" spans="1:41">
      <c r="B936" t="s">
        <v>3222</v>
      </c>
      <c r="C936" t="s">
        <v>1614</v>
      </c>
      <c r="D936" t="s">
        <v>2473</v>
      </c>
      <c r="E936" t="s">
        <v>2622</v>
      </c>
      <c r="F936" t="s">
        <v>2607</v>
      </c>
      <c r="G936">
        <v>150</v>
      </c>
      <c r="H936" t="s">
        <v>2976</v>
      </c>
      <c r="I936">
        <v>4</v>
      </c>
      <c r="K936" t="s">
        <v>1108</v>
      </c>
      <c r="M936">
        <v>27.53</v>
      </c>
      <c r="N936" t="s">
        <v>2976</v>
      </c>
      <c r="Q936">
        <f t="shared" si="47"/>
        <v>2.5177885236467318E-2</v>
      </c>
      <c r="R936" t="s">
        <v>3267</v>
      </c>
      <c r="W936">
        <v>0.99</v>
      </c>
      <c r="X936" t="s">
        <v>3317</v>
      </c>
      <c r="Y936" t="s">
        <v>7</v>
      </c>
      <c r="Z936" t="s">
        <v>4</v>
      </c>
    </row>
    <row r="937" spans="1:41">
      <c r="B937" t="s">
        <v>3222</v>
      </c>
      <c r="C937" t="s">
        <v>1605</v>
      </c>
      <c r="D937" t="s">
        <v>2474</v>
      </c>
      <c r="E937" t="s">
        <v>2622</v>
      </c>
      <c r="F937" t="s">
        <v>2607</v>
      </c>
      <c r="G937">
        <v>150</v>
      </c>
      <c r="H937" t="s">
        <v>2976</v>
      </c>
      <c r="I937">
        <v>4</v>
      </c>
      <c r="K937" t="s">
        <v>1108</v>
      </c>
      <c r="M937">
        <v>45.45</v>
      </c>
      <c r="N937" t="s">
        <v>2976</v>
      </c>
      <c r="O937">
        <v>45.45</v>
      </c>
      <c r="P937" t="s">
        <v>2976</v>
      </c>
      <c r="Q937">
        <v>1.5299999999999999E-2</v>
      </c>
      <c r="R937" t="s">
        <v>3267</v>
      </c>
      <c r="S937">
        <v>1.2500000000000001E-2</v>
      </c>
      <c r="T937" t="s">
        <v>3267</v>
      </c>
      <c r="W937">
        <v>0.98</v>
      </c>
      <c r="X937" t="s">
        <v>3316</v>
      </c>
      <c r="Y937" t="s">
        <v>7</v>
      </c>
      <c r="Z937" t="s">
        <v>4</v>
      </c>
    </row>
    <row r="938" spans="1:41">
      <c r="B938" t="s">
        <v>3222</v>
      </c>
      <c r="C938" t="s">
        <v>1610</v>
      </c>
      <c r="D938" t="s">
        <v>2474</v>
      </c>
      <c r="E938" t="s">
        <v>2622</v>
      </c>
      <c r="F938" t="s">
        <v>2607</v>
      </c>
      <c r="G938">
        <v>150</v>
      </c>
      <c r="H938" t="s">
        <v>2976</v>
      </c>
      <c r="I938">
        <v>4</v>
      </c>
      <c r="K938" t="s">
        <v>1108</v>
      </c>
      <c r="M938">
        <v>67.459999999999994</v>
      </c>
      <c r="N938" t="s">
        <v>2976</v>
      </c>
      <c r="Q938">
        <f t="shared" si="47"/>
        <v>1.0274935970351992E-2</v>
      </c>
      <c r="R938" t="s">
        <v>3267</v>
      </c>
      <c r="W938">
        <v>0.96</v>
      </c>
      <c r="X938" t="s">
        <v>3317</v>
      </c>
      <c r="Y938" t="s">
        <v>7</v>
      </c>
      <c r="Z938" t="s">
        <v>4</v>
      </c>
    </row>
    <row r="939" spans="1:41">
      <c r="B939" t="s">
        <v>3222</v>
      </c>
      <c r="C939" t="s">
        <v>1614</v>
      </c>
      <c r="D939" t="s">
        <v>2474</v>
      </c>
      <c r="E939" t="s">
        <v>2622</v>
      </c>
      <c r="F939" t="s">
        <v>2607</v>
      </c>
      <c r="G939">
        <v>150</v>
      </c>
      <c r="H939" t="s">
        <v>2976</v>
      </c>
      <c r="I939">
        <v>4</v>
      </c>
      <c r="K939" t="s">
        <v>1108</v>
      </c>
      <c r="M939">
        <v>42.32</v>
      </c>
      <c r="N939" t="s">
        <v>2976</v>
      </c>
      <c r="Q939">
        <f t="shared" si="47"/>
        <v>1.6378714096407024E-2</v>
      </c>
      <c r="R939" t="s">
        <v>3267</v>
      </c>
      <c r="W939">
        <v>0.99</v>
      </c>
      <c r="X939" t="s">
        <v>3317</v>
      </c>
      <c r="Y939" t="s">
        <v>7</v>
      </c>
      <c r="Z939" t="s">
        <v>4</v>
      </c>
    </row>
    <row r="940" spans="1:41">
      <c r="B940" t="s">
        <v>3222</v>
      </c>
      <c r="C940" t="s">
        <v>1605</v>
      </c>
      <c r="D940" t="s">
        <v>2473</v>
      </c>
      <c r="E940" t="s">
        <v>2622</v>
      </c>
      <c r="F940" t="s">
        <v>2607</v>
      </c>
      <c r="G940">
        <v>150</v>
      </c>
      <c r="H940" t="s">
        <v>2976</v>
      </c>
      <c r="I940">
        <v>8</v>
      </c>
      <c r="K940" t="s">
        <v>1108</v>
      </c>
      <c r="M940">
        <v>41</v>
      </c>
      <c r="N940" t="s">
        <v>2976</v>
      </c>
      <c r="O940">
        <v>41</v>
      </c>
      <c r="P940" t="s">
        <v>2976</v>
      </c>
      <c r="Q940">
        <v>0.16900000000000001</v>
      </c>
      <c r="R940" t="s">
        <v>3267</v>
      </c>
      <c r="S940">
        <v>1.29E-2</v>
      </c>
      <c r="T940" t="s">
        <v>3267</v>
      </c>
      <c r="W940">
        <v>0.98</v>
      </c>
      <c r="X940" t="s">
        <v>3316</v>
      </c>
      <c r="Y940" t="s">
        <v>7</v>
      </c>
      <c r="Z940" t="s">
        <v>4</v>
      </c>
    </row>
    <row r="941" spans="1:41">
      <c r="B941" t="s">
        <v>3222</v>
      </c>
      <c r="C941" t="s">
        <v>1610</v>
      </c>
      <c r="D941" t="s">
        <v>2473</v>
      </c>
      <c r="E941" t="s">
        <v>2622</v>
      </c>
      <c r="F941" t="s">
        <v>2607</v>
      </c>
      <c r="G941">
        <v>150</v>
      </c>
      <c r="H941" t="s">
        <v>2976</v>
      </c>
      <c r="I941">
        <v>8</v>
      </c>
      <c r="K941" t="s">
        <v>1108</v>
      </c>
      <c r="M941">
        <v>57.53</v>
      </c>
      <c r="N941" t="s">
        <v>2976</v>
      </c>
      <c r="Q941">
        <f t="shared" si="47"/>
        <v>1.204844742847115E-2</v>
      </c>
      <c r="R941" t="s">
        <v>3267</v>
      </c>
      <c r="W941">
        <v>0.96</v>
      </c>
      <c r="X941" t="s">
        <v>3317</v>
      </c>
      <c r="Y941" t="s">
        <v>7</v>
      </c>
      <c r="Z941" t="s">
        <v>4</v>
      </c>
    </row>
    <row r="942" spans="1:41">
      <c r="B942" t="s">
        <v>3222</v>
      </c>
      <c r="C942" t="s">
        <v>1614</v>
      </c>
      <c r="D942" t="s">
        <v>2473</v>
      </c>
      <c r="E942" t="s">
        <v>2622</v>
      </c>
      <c r="F942" t="s">
        <v>2607</v>
      </c>
      <c r="G942">
        <v>150</v>
      </c>
      <c r="H942" t="s">
        <v>2976</v>
      </c>
      <c r="I942">
        <v>8</v>
      </c>
      <c r="K942" t="s">
        <v>1108</v>
      </c>
      <c r="M942">
        <v>45</v>
      </c>
      <c r="N942" t="s">
        <v>2976</v>
      </c>
      <c r="Q942">
        <f t="shared" si="47"/>
        <v>1.5403270679109895E-2</v>
      </c>
      <c r="R942" t="s">
        <v>3267</v>
      </c>
      <c r="W942">
        <v>0.96</v>
      </c>
      <c r="X942" t="s">
        <v>3317</v>
      </c>
      <c r="Y942" t="s">
        <v>7</v>
      </c>
      <c r="Z942" t="s">
        <v>4</v>
      </c>
    </row>
    <row r="943" spans="1:41">
      <c r="B943" t="s">
        <v>3222</v>
      </c>
      <c r="C943" t="s">
        <v>1605</v>
      </c>
      <c r="D943" t="s">
        <v>2474</v>
      </c>
      <c r="E943" t="s">
        <v>2622</v>
      </c>
      <c r="F943" t="s">
        <v>2607</v>
      </c>
      <c r="G943">
        <v>150</v>
      </c>
      <c r="H943" t="s">
        <v>2976</v>
      </c>
      <c r="I943">
        <v>8</v>
      </c>
      <c r="K943" t="s">
        <v>1108</v>
      </c>
      <c r="M943">
        <v>33.17</v>
      </c>
      <c r="N943" t="s">
        <v>2976</v>
      </c>
      <c r="O943">
        <v>33.17</v>
      </c>
      <c r="P943" t="s">
        <v>2976</v>
      </c>
      <c r="Q943">
        <v>2.0899999999999998E-2</v>
      </c>
      <c r="R943" t="s">
        <v>3267</v>
      </c>
      <c r="S943">
        <v>1.6899999999999998E-2</v>
      </c>
      <c r="T943" t="s">
        <v>3267</v>
      </c>
      <c r="W943">
        <v>0.95</v>
      </c>
      <c r="X943" t="s">
        <v>3316</v>
      </c>
      <c r="Y943" t="s">
        <v>7</v>
      </c>
      <c r="Z943" t="s">
        <v>4</v>
      </c>
    </row>
    <row r="944" spans="1:41">
      <c r="B944" t="s">
        <v>3222</v>
      </c>
      <c r="C944" t="s">
        <v>1610</v>
      </c>
      <c r="D944" t="s">
        <v>2474</v>
      </c>
      <c r="E944" t="s">
        <v>2622</v>
      </c>
      <c r="F944" t="s">
        <v>2607</v>
      </c>
      <c r="G944">
        <v>150</v>
      </c>
      <c r="H944" t="s">
        <v>2976</v>
      </c>
      <c r="I944">
        <v>8</v>
      </c>
      <c r="K944" t="s">
        <v>1108</v>
      </c>
      <c r="M944">
        <v>68.7</v>
      </c>
      <c r="N944" t="s">
        <v>2976</v>
      </c>
      <c r="Q944">
        <f t="shared" si="47"/>
        <v>1.0089478610770673E-2</v>
      </c>
      <c r="R944" t="s">
        <v>3267</v>
      </c>
      <c r="W944">
        <v>0.93</v>
      </c>
      <c r="X944" t="s">
        <v>3317</v>
      </c>
      <c r="Y944" t="s">
        <v>7</v>
      </c>
      <c r="Z944" t="s">
        <v>4</v>
      </c>
    </row>
    <row r="945" spans="1:26">
      <c r="B945" t="s">
        <v>3222</v>
      </c>
      <c r="C945" t="s">
        <v>1614</v>
      </c>
      <c r="D945" t="s">
        <v>2474</v>
      </c>
      <c r="E945" t="s">
        <v>2622</v>
      </c>
      <c r="F945" t="s">
        <v>2607</v>
      </c>
      <c r="G945">
        <v>150</v>
      </c>
      <c r="H945" t="s">
        <v>2976</v>
      </c>
      <c r="I945">
        <v>8</v>
      </c>
      <c r="K945" t="s">
        <v>1108</v>
      </c>
      <c r="M945">
        <v>51.3</v>
      </c>
      <c r="N945" t="s">
        <v>2976</v>
      </c>
      <c r="Q945">
        <f t="shared" si="47"/>
        <v>1.3511640946587628E-2</v>
      </c>
      <c r="R945" t="s">
        <v>3267</v>
      </c>
      <c r="W945">
        <v>0.93</v>
      </c>
      <c r="X945" t="s">
        <v>3317</v>
      </c>
      <c r="Y945" t="s">
        <v>7</v>
      </c>
      <c r="Z945" t="s">
        <v>4</v>
      </c>
    </row>
    <row r="946" spans="1:26">
      <c r="B946" t="s">
        <v>3222</v>
      </c>
      <c r="C946" t="s">
        <v>1605</v>
      </c>
      <c r="D946" t="s">
        <v>2473</v>
      </c>
      <c r="E946" t="s">
        <v>2622</v>
      </c>
      <c r="F946" t="s">
        <v>2607</v>
      </c>
      <c r="G946">
        <v>150</v>
      </c>
      <c r="H946" t="s">
        <v>2976</v>
      </c>
      <c r="I946">
        <v>10</v>
      </c>
      <c r="K946" t="s">
        <v>1108</v>
      </c>
      <c r="M946">
        <v>56.75</v>
      </c>
      <c r="N946" t="s">
        <v>2976</v>
      </c>
      <c r="O946">
        <v>56.73</v>
      </c>
      <c r="P946" t="s">
        <v>2976</v>
      </c>
      <c r="Q946">
        <v>1.2200000000000001E-2</v>
      </c>
      <c r="R946" t="s">
        <v>3267</v>
      </c>
      <c r="S946">
        <v>1.0200000000000001E-2</v>
      </c>
      <c r="T946" t="s">
        <v>3267</v>
      </c>
      <c r="W946">
        <v>0.96</v>
      </c>
      <c r="X946" t="s">
        <v>3316</v>
      </c>
      <c r="Y946" t="s">
        <v>7</v>
      </c>
      <c r="Z946" t="s">
        <v>4</v>
      </c>
    </row>
    <row r="947" spans="1:26">
      <c r="B947" t="s">
        <v>3222</v>
      </c>
      <c r="C947" t="s">
        <v>1610</v>
      </c>
      <c r="D947" t="s">
        <v>2473</v>
      </c>
      <c r="E947" t="s">
        <v>2622</v>
      </c>
      <c r="F947" t="s">
        <v>2607</v>
      </c>
      <c r="G947">
        <v>150</v>
      </c>
      <c r="H947" t="s">
        <v>2976</v>
      </c>
      <c r="I947">
        <v>10</v>
      </c>
      <c r="K947" t="s">
        <v>1108</v>
      </c>
      <c r="M947">
        <v>57.9</v>
      </c>
      <c r="N947" t="s">
        <v>2976</v>
      </c>
      <c r="Q947">
        <f t="shared" si="47"/>
        <v>1.1971453895681265E-2</v>
      </c>
      <c r="R947" t="s">
        <v>3267</v>
      </c>
      <c r="W947">
        <v>0.95</v>
      </c>
      <c r="X947" t="s">
        <v>3317</v>
      </c>
      <c r="Y947" t="s">
        <v>7</v>
      </c>
      <c r="Z947" t="s">
        <v>4</v>
      </c>
    </row>
    <row r="948" spans="1:26">
      <c r="B948" t="s">
        <v>3222</v>
      </c>
      <c r="C948" t="s">
        <v>1614</v>
      </c>
      <c r="D948" t="s">
        <v>2473</v>
      </c>
      <c r="E948" t="s">
        <v>2622</v>
      </c>
      <c r="F948" t="s">
        <v>2607</v>
      </c>
      <c r="G948">
        <v>150</v>
      </c>
      <c r="H948" t="s">
        <v>2976</v>
      </c>
      <c r="I948">
        <v>10</v>
      </c>
      <c r="K948" t="s">
        <v>1108</v>
      </c>
      <c r="M948">
        <v>106</v>
      </c>
      <c r="N948" t="s">
        <v>2976</v>
      </c>
      <c r="Q948">
        <f t="shared" si="47"/>
        <v>6.5391243449051438E-3</v>
      </c>
      <c r="R948" t="s">
        <v>3267</v>
      </c>
      <c r="W948">
        <v>0.97</v>
      </c>
      <c r="X948" t="s">
        <v>3317</v>
      </c>
      <c r="Y948" t="s">
        <v>7</v>
      </c>
      <c r="Z948" t="s">
        <v>4</v>
      </c>
    </row>
    <row r="949" spans="1:26">
      <c r="B949" t="s">
        <v>3222</v>
      </c>
      <c r="C949" t="s">
        <v>1605</v>
      </c>
      <c r="D949" t="s">
        <v>2474</v>
      </c>
      <c r="E949" t="s">
        <v>2622</v>
      </c>
      <c r="F949" t="s">
        <v>2607</v>
      </c>
      <c r="G949">
        <v>150</v>
      </c>
      <c r="H949" t="s">
        <v>2976</v>
      </c>
      <c r="I949">
        <v>10</v>
      </c>
      <c r="K949" t="s">
        <v>1108</v>
      </c>
      <c r="M949">
        <v>77.91</v>
      </c>
      <c r="N949" t="s">
        <v>2976</v>
      </c>
      <c r="O949">
        <v>77.91</v>
      </c>
      <c r="P949" t="s">
        <v>2976</v>
      </c>
      <c r="Q949">
        <v>8.8999999999999996E-2</v>
      </c>
      <c r="R949" t="s">
        <v>3267</v>
      </c>
      <c r="S949">
        <v>1.9E-2</v>
      </c>
      <c r="T949" t="s">
        <v>3267</v>
      </c>
      <c r="W949">
        <v>0.95</v>
      </c>
      <c r="X949" t="s">
        <v>3316</v>
      </c>
      <c r="Y949" t="s">
        <v>7</v>
      </c>
      <c r="Z949" t="s">
        <v>4</v>
      </c>
    </row>
    <row r="950" spans="1:26">
      <c r="B950" t="s">
        <v>3222</v>
      </c>
      <c r="C950" t="s">
        <v>1610</v>
      </c>
      <c r="D950" t="s">
        <v>2474</v>
      </c>
      <c r="E950" t="s">
        <v>2622</v>
      </c>
      <c r="F950" t="s">
        <v>2607</v>
      </c>
      <c r="G950">
        <v>150</v>
      </c>
      <c r="H950" t="s">
        <v>2976</v>
      </c>
      <c r="I950">
        <v>10</v>
      </c>
      <c r="K950" t="s">
        <v>1108</v>
      </c>
      <c r="M950">
        <v>83.47</v>
      </c>
      <c r="N950" t="s">
        <v>2976</v>
      </c>
      <c r="Q950">
        <f t="shared" si="47"/>
        <v>8.3041473650406761E-3</v>
      </c>
      <c r="R950" t="s">
        <v>3267</v>
      </c>
      <c r="W950">
        <v>0.95</v>
      </c>
      <c r="X950" t="s">
        <v>3317</v>
      </c>
      <c r="Y950" t="s">
        <v>7</v>
      </c>
      <c r="Z950" t="s">
        <v>4</v>
      </c>
    </row>
    <row r="951" spans="1:26">
      <c r="B951" t="s">
        <v>3222</v>
      </c>
      <c r="C951" t="s">
        <v>1614</v>
      </c>
      <c r="D951" t="s">
        <v>2474</v>
      </c>
      <c r="E951" t="s">
        <v>2622</v>
      </c>
      <c r="F951" t="s">
        <v>2607</v>
      </c>
      <c r="G951">
        <v>150</v>
      </c>
      <c r="H951" t="s">
        <v>2976</v>
      </c>
      <c r="I951">
        <v>10</v>
      </c>
      <c r="K951" t="s">
        <v>1108</v>
      </c>
      <c r="M951">
        <v>93.34</v>
      </c>
      <c r="N951" t="s">
        <v>2976</v>
      </c>
      <c r="Q951">
        <f t="shared" si="47"/>
        <v>7.4260465026777939E-3</v>
      </c>
      <c r="R951" t="s">
        <v>3267</v>
      </c>
      <c r="W951">
        <v>0.92</v>
      </c>
      <c r="X951" t="s">
        <v>3317</v>
      </c>
      <c r="Y951" t="s">
        <v>7</v>
      </c>
      <c r="Z951" t="s">
        <v>4</v>
      </c>
    </row>
    <row r="952" spans="1:26">
      <c r="A952" t="s">
        <v>181</v>
      </c>
      <c r="B952" t="s">
        <v>3224</v>
      </c>
      <c r="C952" t="s">
        <v>1617</v>
      </c>
      <c r="D952" t="s">
        <v>2478</v>
      </c>
      <c r="E952" t="s">
        <v>2623</v>
      </c>
      <c r="F952" t="s">
        <v>2607</v>
      </c>
      <c r="G952">
        <v>40</v>
      </c>
      <c r="H952" t="s">
        <v>2976</v>
      </c>
      <c r="I952">
        <v>10</v>
      </c>
      <c r="J952" s="12">
        <v>6.3636357553628997</v>
      </c>
      <c r="K952" t="s">
        <v>1108</v>
      </c>
      <c r="Y952" t="s">
        <v>7</v>
      </c>
      <c r="Z952" t="s">
        <v>12</v>
      </c>
    </row>
    <row r="953" spans="1:26">
      <c r="B953" t="s">
        <v>3224</v>
      </c>
      <c r="C953" t="s">
        <v>1617</v>
      </c>
      <c r="D953" t="s">
        <v>2479</v>
      </c>
      <c r="E953" t="s">
        <v>2623</v>
      </c>
      <c r="F953" t="s">
        <v>2607</v>
      </c>
      <c r="G953">
        <v>40</v>
      </c>
      <c r="H953" t="s">
        <v>2976</v>
      </c>
      <c r="I953">
        <v>10</v>
      </c>
      <c r="J953" s="12">
        <v>3.7337664243347</v>
      </c>
      <c r="K953" t="s">
        <v>1108</v>
      </c>
      <c r="Y953" t="s">
        <v>7</v>
      </c>
      <c r="Z953" t="s">
        <v>12</v>
      </c>
    </row>
    <row r="954" spans="1:26">
      <c r="B954" t="s">
        <v>3224</v>
      </c>
      <c r="C954" t="s">
        <v>1617</v>
      </c>
      <c r="D954" t="s">
        <v>2481</v>
      </c>
      <c r="E954" t="s">
        <v>2623</v>
      </c>
      <c r="F954" t="s">
        <v>2607</v>
      </c>
      <c r="G954">
        <v>40</v>
      </c>
      <c r="H954" t="s">
        <v>2976</v>
      </c>
      <c r="I954">
        <v>10</v>
      </c>
      <c r="J954" s="12">
        <v>3.1006490196520802</v>
      </c>
      <c r="K954" t="s">
        <v>1108</v>
      </c>
      <c r="Y954" t="s">
        <v>7</v>
      </c>
      <c r="Z954" t="s">
        <v>12</v>
      </c>
    </row>
    <row r="955" spans="1:26">
      <c r="B955" t="s">
        <v>3224</v>
      </c>
      <c r="C955" t="s">
        <v>1617</v>
      </c>
      <c r="D955" t="s">
        <v>2484</v>
      </c>
      <c r="E955" t="s">
        <v>2623</v>
      </c>
      <c r="F955" t="s">
        <v>2607</v>
      </c>
      <c r="G955">
        <v>40</v>
      </c>
      <c r="H955" t="s">
        <v>2976</v>
      </c>
      <c r="I955">
        <v>10</v>
      </c>
      <c r="J955" s="12">
        <v>1.91558365613794</v>
      </c>
      <c r="K955" t="s">
        <v>1108</v>
      </c>
      <c r="Y955" t="s">
        <v>7</v>
      </c>
      <c r="Z955" t="s">
        <v>12</v>
      </c>
    </row>
    <row r="956" spans="1:26">
      <c r="B956" t="s">
        <v>3224</v>
      </c>
      <c r="C956" t="s">
        <v>1617</v>
      </c>
      <c r="D956" t="s">
        <v>2486</v>
      </c>
      <c r="E956" t="s">
        <v>2623</v>
      </c>
      <c r="F956" t="s">
        <v>2607</v>
      </c>
      <c r="G956">
        <v>40</v>
      </c>
      <c r="H956" t="s">
        <v>2976</v>
      </c>
      <c r="I956">
        <v>10</v>
      </c>
      <c r="J956" s="12">
        <v>1.4448051431575499</v>
      </c>
      <c r="K956" t="s">
        <v>1108</v>
      </c>
      <c r="Y956" t="s">
        <v>7</v>
      </c>
      <c r="Z956" t="s">
        <v>12</v>
      </c>
    </row>
    <row r="957" spans="1:26">
      <c r="A957" t="s">
        <v>101</v>
      </c>
      <c r="B957" t="s">
        <v>3225</v>
      </c>
      <c r="C957" t="s">
        <v>1620</v>
      </c>
      <c r="D957" t="s">
        <v>2489</v>
      </c>
      <c r="E957" t="s">
        <v>2583</v>
      </c>
      <c r="F957" t="s">
        <v>5090</v>
      </c>
      <c r="G957">
        <v>84</v>
      </c>
      <c r="H957" t="s">
        <v>2976</v>
      </c>
      <c r="L957" s="23">
        <v>0.24955744027475499</v>
      </c>
    </row>
    <row r="958" spans="1:26">
      <c r="B958" t="s">
        <v>3225</v>
      </c>
      <c r="C958" t="s">
        <v>1620</v>
      </c>
      <c r="D958" t="s">
        <v>2491</v>
      </c>
      <c r="E958" t="s">
        <v>2583</v>
      </c>
      <c r="F958" t="s">
        <v>5090</v>
      </c>
      <c r="G958">
        <v>84</v>
      </c>
      <c r="H958" t="s">
        <v>2976</v>
      </c>
      <c r="L958" s="23">
        <v>0.22831842191853399</v>
      </c>
    </row>
    <row r="959" spans="1:26">
      <c r="B959" t="s">
        <v>3225</v>
      </c>
      <c r="C959" t="s">
        <v>1620</v>
      </c>
      <c r="D959" t="s">
        <v>2494</v>
      </c>
      <c r="E959" t="s">
        <v>2583</v>
      </c>
      <c r="F959" t="s">
        <v>5090</v>
      </c>
      <c r="G959">
        <v>84</v>
      </c>
      <c r="H959" t="s">
        <v>2976</v>
      </c>
      <c r="L959" s="23">
        <v>0.12566370666423801</v>
      </c>
    </row>
    <row r="960" spans="1:26">
      <c r="B960" t="s">
        <v>3225</v>
      </c>
      <c r="C960" t="s">
        <v>1620</v>
      </c>
      <c r="D960" t="s">
        <v>2496</v>
      </c>
      <c r="E960" t="s">
        <v>2583</v>
      </c>
      <c r="F960" t="s">
        <v>5090</v>
      </c>
      <c r="G960">
        <v>84</v>
      </c>
      <c r="H960" t="s">
        <v>2976</v>
      </c>
      <c r="L960" s="23">
        <v>0.203539837236663</v>
      </c>
    </row>
    <row r="961" spans="1:12">
      <c r="B961" t="s">
        <v>3225</v>
      </c>
      <c r="C961" t="s">
        <v>1620</v>
      </c>
      <c r="D961" t="s">
        <v>2498</v>
      </c>
      <c r="E961" t="s">
        <v>2583</v>
      </c>
      <c r="F961" t="s">
        <v>5090</v>
      </c>
      <c r="G961">
        <v>84</v>
      </c>
      <c r="H961" t="s">
        <v>2976</v>
      </c>
      <c r="L961" s="23">
        <v>0.17345129541544599</v>
      </c>
    </row>
    <row r="962" spans="1:12">
      <c r="B962" t="s">
        <v>3225</v>
      </c>
      <c r="C962" t="s">
        <v>1620</v>
      </c>
      <c r="D962" t="s">
        <v>2489</v>
      </c>
      <c r="E962" t="s">
        <v>2737</v>
      </c>
      <c r="F962" t="s">
        <v>2738</v>
      </c>
      <c r="G962">
        <v>84</v>
      </c>
      <c r="H962" t="s">
        <v>2976</v>
      </c>
      <c r="L962" s="23">
        <v>0.22798743142738701</v>
      </c>
    </row>
    <row r="963" spans="1:12">
      <c r="B963" t="s">
        <v>3225</v>
      </c>
      <c r="C963" t="s">
        <v>1620</v>
      </c>
      <c r="D963" t="s">
        <v>2491</v>
      </c>
      <c r="E963" t="s">
        <v>2737</v>
      </c>
      <c r="F963" t="s">
        <v>2738</v>
      </c>
      <c r="G963">
        <v>84</v>
      </c>
      <c r="H963" t="s">
        <v>2976</v>
      </c>
      <c r="L963" s="23">
        <v>0.22798743142738701</v>
      </c>
    </row>
    <row r="964" spans="1:12">
      <c r="B964" t="s">
        <v>3225</v>
      </c>
      <c r="C964" t="s">
        <v>1620</v>
      </c>
      <c r="D964" t="s">
        <v>2494</v>
      </c>
      <c r="E964" t="s">
        <v>2737</v>
      </c>
      <c r="F964" t="s">
        <v>2738</v>
      </c>
      <c r="G964">
        <v>84</v>
      </c>
      <c r="H964" t="s">
        <v>2976</v>
      </c>
      <c r="L964" s="23">
        <v>0.166666530775575</v>
      </c>
    </row>
    <row r="965" spans="1:12">
      <c r="B965" t="s">
        <v>3225</v>
      </c>
      <c r="C965" t="s">
        <v>1620</v>
      </c>
      <c r="D965" t="s">
        <v>2496</v>
      </c>
      <c r="E965" t="s">
        <v>2737</v>
      </c>
      <c r="F965" t="s">
        <v>2738</v>
      </c>
      <c r="G965">
        <v>84</v>
      </c>
      <c r="H965" t="s">
        <v>2976</v>
      </c>
      <c r="L965" s="23">
        <v>0.199685434242211</v>
      </c>
    </row>
    <row r="966" spans="1:12">
      <c r="B966" t="s">
        <v>3225</v>
      </c>
      <c r="C966" t="s">
        <v>1620</v>
      </c>
      <c r="D966" t="s">
        <v>2498</v>
      </c>
      <c r="E966" t="s">
        <v>2737</v>
      </c>
      <c r="F966" t="s">
        <v>2738</v>
      </c>
      <c r="G966">
        <v>84</v>
      </c>
      <c r="H966" t="s">
        <v>2976</v>
      </c>
      <c r="L966" s="23">
        <v>0.14150941237176001</v>
      </c>
    </row>
    <row r="967" spans="1:12">
      <c r="A967" t="s">
        <v>395</v>
      </c>
      <c r="B967" t="s">
        <v>3227</v>
      </c>
      <c r="C967" t="s">
        <v>1623</v>
      </c>
      <c r="D967" t="s">
        <v>2500</v>
      </c>
      <c r="E967" t="s">
        <v>2581</v>
      </c>
      <c r="F967" t="s">
        <v>2579</v>
      </c>
      <c r="G967">
        <v>21</v>
      </c>
      <c r="H967" t="s">
        <v>2976</v>
      </c>
      <c r="I967">
        <v>10</v>
      </c>
      <c r="K967" t="s">
        <v>1108</v>
      </c>
      <c r="L967">
        <v>49</v>
      </c>
    </row>
    <row r="968" spans="1:12">
      <c r="B968" t="s">
        <v>3227</v>
      </c>
      <c r="C968" t="s">
        <v>1623</v>
      </c>
      <c r="D968" t="s">
        <v>2501</v>
      </c>
      <c r="E968" t="s">
        <v>2581</v>
      </c>
      <c r="F968" t="s">
        <v>2579</v>
      </c>
      <c r="G968">
        <v>21</v>
      </c>
      <c r="H968" t="s">
        <v>2976</v>
      </c>
      <c r="I968">
        <v>10</v>
      </c>
      <c r="K968" t="s">
        <v>1108</v>
      </c>
      <c r="L968">
        <v>20</v>
      </c>
    </row>
    <row r="969" spans="1:12">
      <c r="B969" t="s">
        <v>3227</v>
      </c>
      <c r="C969" t="s">
        <v>1623</v>
      </c>
      <c r="D969" t="s">
        <v>2500</v>
      </c>
      <c r="E969" t="s">
        <v>2581</v>
      </c>
      <c r="F969" t="s">
        <v>2579</v>
      </c>
      <c r="G969">
        <v>21</v>
      </c>
      <c r="H969" t="s">
        <v>2976</v>
      </c>
      <c r="I969">
        <v>100</v>
      </c>
      <c r="K969" t="s">
        <v>1108</v>
      </c>
      <c r="L969">
        <v>14</v>
      </c>
    </row>
    <row r="970" spans="1:12">
      <c r="B970" t="s">
        <v>3227</v>
      </c>
      <c r="C970" t="s">
        <v>1623</v>
      </c>
      <c r="D970" t="s">
        <v>2501</v>
      </c>
      <c r="E970" t="s">
        <v>2581</v>
      </c>
      <c r="F970" t="s">
        <v>2579</v>
      </c>
      <c r="G970">
        <v>21</v>
      </c>
      <c r="H970" t="s">
        <v>2976</v>
      </c>
      <c r="I970">
        <v>100</v>
      </c>
      <c r="K970" t="s">
        <v>1108</v>
      </c>
    </row>
    <row r="971" spans="1:12">
      <c r="B971" t="s">
        <v>3227</v>
      </c>
      <c r="C971" t="s">
        <v>1623</v>
      </c>
      <c r="D971" t="s">
        <v>2500</v>
      </c>
      <c r="E971" t="s">
        <v>2581</v>
      </c>
      <c r="F971" t="s">
        <v>2579</v>
      </c>
      <c r="G971">
        <v>21</v>
      </c>
      <c r="H971" t="s">
        <v>2976</v>
      </c>
      <c r="I971">
        <v>250</v>
      </c>
      <c r="K971" t="s">
        <v>1108</v>
      </c>
    </row>
    <row r="972" spans="1:12">
      <c r="B972" t="s">
        <v>3227</v>
      </c>
      <c r="C972" t="s">
        <v>1623</v>
      </c>
      <c r="D972" t="s">
        <v>2501</v>
      </c>
      <c r="E972" t="s">
        <v>2581</v>
      </c>
      <c r="F972" t="s">
        <v>2579</v>
      </c>
      <c r="G972">
        <v>21</v>
      </c>
      <c r="H972" t="s">
        <v>2976</v>
      </c>
      <c r="I972">
        <v>250</v>
      </c>
      <c r="K972" t="s">
        <v>1108</v>
      </c>
    </row>
    <row r="973" spans="1:12">
      <c r="B973" t="s">
        <v>3227</v>
      </c>
      <c r="C973" t="s">
        <v>1623</v>
      </c>
      <c r="D973" t="s">
        <v>2500</v>
      </c>
      <c r="E973" t="s">
        <v>2581</v>
      </c>
      <c r="F973" t="s">
        <v>2579</v>
      </c>
      <c r="G973">
        <v>21</v>
      </c>
      <c r="H973" t="s">
        <v>2976</v>
      </c>
      <c r="I973">
        <v>500</v>
      </c>
      <c r="K973" t="s">
        <v>1108</v>
      </c>
    </row>
    <row r="974" spans="1:12">
      <c r="B974" t="s">
        <v>3227</v>
      </c>
      <c r="C974" t="s">
        <v>1623</v>
      </c>
      <c r="D974" t="s">
        <v>2501</v>
      </c>
      <c r="E974" t="s">
        <v>2581</v>
      </c>
      <c r="F974" t="s">
        <v>2579</v>
      </c>
      <c r="G974">
        <v>21</v>
      </c>
      <c r="H974" t="s">
        <v>2976</v>
      </c>
      <c r="I974">
        <v>500</v>
      </c>
      <c r="K974" t="s">
        <v>1108</v>
      </c>
    </row>
    <row r="975" spans="1:12">
      <c r="B975" t="s">
        <v>3227</v>
      </c>
      <c r="C975" t="s">
        <v>1623</v>
      </c>
      <c r="D975" t="s">
        <v>2500</v>
      </c>
      <c r="E975" t="s">
        <v>2581</v>
      </c>
      <c r="F975" t="s">
        <v>2579</v>
      </c>
      <c r="G975">
        <v>21</v>
      </c>
      <c r="H975" t="s">
        <v>2976</v>
      </c>
      <c r="I975">
        <v>750</v>
      </c>
      <c r="K975" t="s">
        <v>1108</v>
      </c>
    </row>
    <row r="976" spans="1:12">
      <c r="B976" t="s">
        <v>3227</v>
      </c>
      <c r="C976" t="s">
        <v>1623</v>
      </c>
      <c r="D976" t="s">
        <v>2501</v>
      </c>
      <c r="E976" t="s">
        <v>2581</v>
      </c>
      <c r="F976" t="s">
        <v>2579</v>
      </c>
      <c r="G976">
        <v>21</v>
      </c>
      <c r="H976" t="s">
        <v>2976</v>
      </c>
      <c r="I976">
        <v>750</v>
      </c>
      <c r="K976" t="s">
        <v>1108</v>
      </c>
    </row>
    <row r="977" spans="1:24">
      <c r="B977" t="s">
        <v>3227</v>
      </c>
      <c r="C977" t="s">
        <v>1623</v>
      </c>
      <c r="D977" t="s">
        <v>2500</v>
      </c>
      <c r="E977" t="s">
        <v>2581</v>
      </c>
      <c r="F977" t="s">
        <v>2579</v>
      </c>
      <c r="G977">
        <v>21</v>
      </c>
      <c r="H977" t="s">
        <v>2976</v>
      </c>
      <c r="I977">
        <v>1000</v>
      </c>
      <c r="K977" t="s">
        <v>1108</v>
      </c>
    </row>
    <row r="978" spans="1:24">
      <c r="B978" t="s">
        <v>3227</v>
      </c>
      <c r="C978" t="s">
        <v>1623</v>
      </c>
      <c r="D978" t="s">
        <v>2501</v>
      </c>
      <c r="E978" t="s">
        <v>2581</v>
      </c>
      <c r="F978" t="s">
        <v>2579</v>
      </c>
      <c r="G978">
        <v>21</v>
      </c>
      <c r="H978" t="s">
        <v>2976</v>
      </c>
      <c r="I978">
        <v>1000</v>
      </c>
      <c r="K978" t="s">
        <v>1108</v>
      </c>
      <c r="L978">
        <v>54</v>
      </c>
    </row>
    <row r="979" spans="1:24">
      <c r="A979" t="s">
        <v>443</v>
      </c>
      <c r="B979" t="s">
        <v>3229</v>
      </c>
      <c r="C979" t="s">
        <v>1625</v>
      </c>
      <c r="D979" t="s">
        <v>2504</v>
      </c>
      <c r="E979" t="s">
        <v>2624</v>
      </c>
      <c r="F979" t="s">
        <v>2607</v>
      </c>
      <c r="G979">
        <v>60</v>
      </c>
      <c r="H979" t="s">
        <v>2976</v>
      </c>
      <c r="I979">
        <v>2</v>
      </c>
      <c r="K979" t="s">
        <v>1108</v>
      </c>
      <c r="L979" s="23">
        <v>0.100238839016926</v>
      </c>
      <c r="M979">
        <v>13.3</v>
      </c>
      <c r="N979" t="s">
        <v>2976</v>
      </c>
      <c r="Q979">
        <v>5.1999999999999998E-2</v>
      </c>
      <c r="R979" t="s">
        <v>3267</v>
      </c>
      <c r="W979">
        <v>0.99</v>
      </c>
      <c r="X979" t="s">
        <v>3268</v>
      </c>
    </row>
    <row r="980" spans="1:24">
      <c r="B980" t="s">
        <v>3229</v>
      </c>
      <c r="C980" t="s">
        <v>1625</v>
      </c>
      <c r="D980" t="s">
        <v>2507</v>
      </c>
      <c r="E980" t="s">
        <v>2624</v>
      </c>
      <c r="F980" t="s">
        <v>2607</v>
      </c>
      <c r="G980">
        <v>60</v>
      </c>
      <c r="H980" t="s">
        <v>2976</v>
      </c>
      <c r="I980">
        <v>2</v>
      </c>
      <c r="K980" t="s">
        <v>1108</v>
      </c>
      <c r="L980" s="23">
        <v>1.3890214570549999</v>
      </c>
      <c r="M980">
        <f>LN(2)/Q980</f>
        <v>121.60476851928864</v>
      </c>
      <c r="N980" t="s">
        <v>2976</v>
      </c>
      <c r="Q980">
        <v>5.7000000000000002E-3</v>
      </c>
      <c r="R980" t="s">
        <v>3267</v>
      </c>
      <c r="W980">
        <v>0.73399999999999999</v>
      </c>
      <c r="X980" t="s">
        <v>3268</v>
      </c>
    </row>
    <row r="981" spans="1:24">
      <c r="A981" t="s">
        <v>418</v>
      </c>
      <c r="B981" t="s">
        <v>3231</v>
      </c>
      <c r="C981" t="s">
        <v>1628</v>
      </c>
      <c r="D981" t="s">
        <v>2510</v>
      </c>
      <c r="E981" t="s">
        <v>2790</v>
      </c>
      <c r="F981" t="s">
        <v>2786</v>
      </c>
      <c r="G981">
        <v>42</v>
      </c>
      <c r="H981" t="s">
        <v>2976</v>
      </c>
      <c r="I981">
        <v>20</v>
      </c>
      <c r="K981" t="s">
        <v>1108</v>
      </c>
      <c r="M981">
        <v>54.6</v>
      </c>
      <c r="N981" t="s">
        <v>2976</v>
      </c>
      <c r="Q981">
        <v>1.2800000000000001E-2</v>
      </c>
      <c r="R981" t="s">
        <v>3267</v>
      </c>
      <c r="W981">
        <v>0.996</v>
      </c>
      <c r="X981" t="s">
        <v>3268</v>
      </c>
    </row>
    <row r="982" spans="1:24">
      <c r="B982" t="s">
        <v>3231</v>
      </c>
      <c r="C982" t="s">
        <v>1628</v>
      </c>
      <c r="D982" t="s">
        <v>2512</v>
      </c>
      <c r="E982" t="s">
        <v>2790</v>
      </c>
      <c r="F982" t="s">
        <v>2786</v>
      </c>
      <c r="G982">
        <v>42</v>
      </c>
      <c r="H982" t="s">
        <v>2976</v>
      </c>
      <c r="I982">
        <v>20</v>
      </c>
      <c r="K982" t="s">
        <v>1108</v>
      </c>
      <c r="M982">
        <v>53.3</v>
      </c>
      <c r="N982" t="s">
        <v>2976</v>
      </c>
      <c r="Q982">
        <v>1.2999999999999999E-2</v>
      </c>
      <c r="R982" t="s">
        <v>3267</v>
      </c>
      <c r="W982">
        <v>0.99299999999999999</v>
      </c>
      <c r="X982" t="s">
        <v>3268</v>
      </c>
    </row>
    <row r="983" spans="1:24">
      <c r="B983" t="s">
        <v>3231</v>
      </c>
      <c r="C983" t="s">
        <v>1628</v>
      </c>
      <c r="D983" t="s">
        <v>2515</v>
      </c>
      <c r="E983" t="s">
        <v>2790</v>
      </c>
      <c r="F983" t="s">
        <v>2786</v>
      </c>
      <c r="G983">
        <v>42</v>
      </c>
      <c r="H983" t="s">
        <v>2976</v>
      </c>
      <c r="I983">
        <v>20</v>
      </c>
      <c r="K983" t="s">
        <v>1108</v>
      </c>
      <c r="M983">
        <v>60.8</v>
      </c>
      <c r="N983" t="s">
        <v>2976</v>
      </c>
      <c r="Q983">
        <v>1.14E-2</v>
      </c>
      <c r="R983" t="s">
        <v>3267</v>
      </c>
      <c r="W983">
        <v>0.98799999999999999</v>
      </c>
      <c r="X983" t="s">
        <v>3268</v>
      </c>
    </row>
    <row r="984" spans="1:24">
      <c r="B984" t="s">
        <v>3231</v>
      </c>
      <c r="C984" t="s">
        <v>1628</v>
      </c>
      <c r="D984" t="s">
        <v>2517</v>
      </c>
      <c r="E984" t="s">
        <v>2790</v>
      </c>
      <c r="F984" t="s">
        <v>2786</v>
      </c>
      <c r="G984">
        <v>42</v>
      </c>
      <c r="H984" t="s">
        <v>2976</v>
      </c>
      <c r="I984">
        <v>20</v>
      </c>
      <c r="K984" t="s">
        <v>1108</v>
      </c>
      <c r="M984">
        <v>71.400000000000006</v>
      </c>
      <c r="N984" t="s">
        <v>2976</v>
      </c>
      <c r="Q984">
        <v>9.7999999999999997E-3</v>
      </c>
      <c r="R984" t="s">
        <v>3267</v>
      </c>
      <c r="W984">
        <v>0.98699999999999999</v>
      </c>
      <c r="X984" t="s">
        <v>3268</v>
      </c>
    </row>
    <row r="985" spans="1:24">
      <c r="B985" t="s">
        <v>3231</v>
      </c>
      <c r="C985" t="s">
        <v>1630</v>
      </c>
      <c r="D985" t="s">
        <v>2510</v>
      </c>
      <c r="E985" t="s">
        <v>2790</v>
      </c>
      <c r="F985" t="s">
        <v>2786</v>
      </c>
      <c r="G985">
        <v>42</v>
      </c>
      <c r="H985" t="s">
        <v>2976</v>
      </c>
      <c r="I985">
        <v>20</v>
      </c>
      <c r="K985" t="s">
        <v>1108</v>
      </c>
      <c r="M985">
        <v>16</v>
      </c>
      <c r="N985" t="s">
        <v>2976</v>
      </c>
      <c r="Q985">
        <v>4.3400000000000001E-2</v>
      </c>
      <c r="R985" t="s">
        <v>3267</v>
      </c>
      <c r="W985">
        <v>0.98199999999999998</v>
      </c>
      <c r="X985" t="s">
        <v>3268</v>
      </c>
    </row>
    <row r="986" spans="1:24">
      <c r="B986" t="s">
        <v>3231</v>
      </c>
      <c r="C986" t="s">
        <v>1630</v>
      </c>
      <c r="D986" t="s">
        <v>2512</v>
      </c>
      <c r="E986" t="s">
        <v>2790</v>
      </c>
      <c r="F986" t="s">
        <v>2786</v>
      </c>
      <c r="G986">
        <v>42</v>
      </c>
      <c r="H986" t="s">
        <v>2976</v>
      </c>
      <c r="I986">
        <v>20</v>
      </c>
      <c r="K986" t="s">
        <v>1108</v>
      </c>
      <c r="M986">
        <v>67.900000000000006</v>
      </c>
      <c r="N986" t="s">
        <v>2976</v>
      </c>
      <c r="Q986">
        <v>1.0200000000000001E-2</v>
      </c>
      <c r="R986" t="s">
        <v>3267</v>
      </c>
      <c r="W986">
        <v>0.98099999999999998</v>
      </c>
      <c r="X986" t="s">
        <v>3268</v>
      </c>
    </row>
    <row r="987" spans="1:24">
      <c r="B987" t="s">
        <v>3231</v>
      </c>
      <c r="C987" t="s">
        <v>1630</v>
      </c>
      <c r="D987" t="s">
        <v>2515</v>
      </c>
      <c r="E987" t="s">
        <v>2790</v>
      </c>
      <c r="F987" t="s">
        <v>2786</v>
      </c>
      <c r="G987">
        <v>42</v>
      </c>
      <c r="H987" t="s">
        <v>2976</v>
      </c>
      <c r="I987">
        <v>20</v>
      </c>
      <c r="K987" t="s">
        <v>1108</v>
      </c>
      <c r="M987">
        <v>102</v>
      </c>
      <c r="N987" t="s">
        <v>2976</v>
      </c>
      <c r="Q987">
        <v>6.7000000000000002E-3</v>
      </c>
      <c r="R987" t="s">
        <v>3267</v>
      </c>
      <c r="W987">
        <v>0.99399999999999999</v>
      </c>
      <c r="X987" t="s">
        <v>3268</v>
      </c>
    </row>
    <row r="988" spans="1:24">
      <c r="B988" t="s">
        <v>3231</v>
      </c>
      <c r="C988" t="s">
        <v>1630</v>
      </c>
      <c r="D988" t="s">
        <v>2517</v>
      </c>
      <c r="E988" t="s">
        <v>2790</v>
      </c>
      <c r="F988" t="s">
        <v>2786</v>
      </c>
      <c r="G988">
        <v>42</v>
      </c>
      <c r="H988" t="s">
        <v>2976</v>
      </c>
      <c r="I988">
        <v>20</v>
      </c>
      <c r="K988" t="s">
        <v>1108</v>
      </c>
      <c r="M988">
        <v>136</v>
      </c>
      <c r="N988" t="s">
        <v>2976</v>
      </c>
      <c r="Q988">
        <v>5.1000000000000004E-3</v>
      </c>
      <c r="R988" t="s">
        <v>3267</v>
      </c>
      <c r="W988">
        <v>0.98799999999999999</v>
      </c>
      <c r="X988" t="s">
        <v>3268</v>
      </c>
    </row>
    <row r="989" spans="1:24">
      <c r="B989" t="s">
        <v>3231</v>
      </c>
      <c r="C989" t="s">
        <v>1632</v>
      </c>
      <c r="D989" t="s">
        <v>2510</v>
      </c>
      <c r="E989" t="s">
        <v>2790</v>
      </c>
      <c r="F989" t="s">
        <v>2786</v>
      </c>
      <c r="G989">
        <v>42</v>
      </c>
      <c r="H989" t="s">
        <v>2976</v>
      </c>
      <c r="I989">
        <v>20</v>
      </c>
      <c r="K989" t="s">
        <v>1108</v>
      </c>
      <c r="M989">
        <v>15.2</v>
      </c>
      <c r="N989" t="s">
        <v>2976</v>
      </c>
      <c r="Q989">
        <v>4.5600000000000002E-2</v>
      </c>
      <c r="R989" t="s">
        <v>3267</v>
      </c>
      <c r="W989">
        <v>0.995</v>
      </c>
      <c r="X989" t="s">
        <v>3268</v>
      </c>
    </row>
    <row r="990" spans="1:24">
      <c r="B990" t="s">
        <v>3231</v>
      </c>
      <c r="C990" t="s">
        <v>1632</v>
      </c>
      <c r="D990" t="s">
        <v>2512</v>
      </c>
      <c r="E990" t="s">
        <v>2790</v>
      </c>
      <c r="F990" t="s">
        <v>2786</v>
      </c>
      <c r="G990">
        <v>42</v>
      </c>
      <c r="H990" t="s">
        <v>2976</v>
      </c>
      <c r="I990">
        <v>20</v>
      </c>
      <c r="K990" t="s">
        <v>1108</v>
      </c>
      <c r="M990">
        <v>58.2</v>
      </c>
      <c r="N990" t="s">
        <v>2976</v>
      </c>
      <c r="Q990">
        <v>1.18E-2</v>
      </c>
      <c r="R990" t="s">
        <v>3267</v>
      </c>
      <c r="W990">
        <v>0.99099999999999999</v>
      </c>
      <c r="X990" t="s">
        <v>3268</v>
      </c>
    </row>
    <row r="991" spans="1:24">
      <c r="B991" t="s">
        <v>3231</v>
      </c>
      <c r="C991" t="s">
        <v>1632</v>
      </c>
      <c r="D991" t="s">
        <v>2515</v>
      </c>
      <c r="E991" t="s">
        <v>2790</v>
      </c>
      <c r="F991" t="s">
        <v>2786</v>
      </c>
      <c r="G991">
        <v>42</v>
      </c>
      <c r="H991" t="s">
        <v>2976</v>
      </c>
      <c r="I991">
        <v>20</v>
      </c>
      <c r="K991" t="s">
        <v>1108</v>
      </c>
      <c r="M991">
        <v>88.9</v>
      </c>
      <c r="N991" t="s">
        <v>2976</v>
      </c>
      <c r="Q991">
        <v>7.7999999999999996E-3</v>
      </c>
      <c r="R991" t="s">
        <v>3267</v>
      </c>
      <c r="W991">
        <v>0.98599999999999999</v>
      </c>
      <c r="X991" t="s">
        <v>3268</v>
      </c>
    </row>
    <row r="992" spans="1:24">
      <c r="B992" t="s">
        <v>3231</v>
      </c>
      <c r="C992" t="s">
        <v>1632</v>
      </c>
      <c r="D992" t="s">
        <v>2517</v>
      </c>
      <c r="E992" t="s">
        <v>2790</v>
      </c>
      <c r="F992" t="s">
        <v>2786</v>
      </c>
      <c r="G992">
        <v>42</v>
      </c>
      <c r="H992" t="s">
        <v>2976</v>
      </c>
      <c r="I992">
        <v>20</v>
      </c>
      <c r="K992" t="s">
        <v>1108</v>
      </c>
      <c r="M992">
        <v>107</v>
      </c>
      <c r="N992" t="s">
        <v>2976</v>
      </c>
      <c r="Q992">
        <v>6.4000000000000003E-3</v>
      </c>
      <c r="R992" t="s">
        <v>3267</v>
      </c>
      <c r="W992">
        <v>0.97499999999999998</v>
      </c>
      <c r="X992" t="s">
        <v>3268</v>
      </c>
    </row>
  </sheetData>
  <autoFilter ref="A1:AR992" xr:uid="{00000000-0001-0000-06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</autoFilter>
  <mergeCells count="5">
    <mergeCell ref="A2:AR2"/>
    <mergeCell ref="A1:AR1"/>
    <mergeCell ref="AK3:AO3"/>
    <mergeCell ref="J3:Z3"/>
    <mergeCell ref="AA3:AJ3"/>
  </mergeCells>
  <phoneticPr fontId="6" type="noConversion"/>
  <dataValidations count="1">
    <dataValidation type="list" allowBlank="1" sqref="AL79:AL80 AM353:AM355 AL617:AL620 AL631:AL643 AL648:AL678 AL688:AL1057 AL356:AL607 AL89:AL352" xr:uid="{00000000-0002-0000-0600-000001000000}">
      <formula1>"yes,no"</formula1>
    </dataValidation>
  </dataValidations>
  <pageMargins left="0.75" right="0.75" top="1" bottom="1" header="0.5" footer="0.5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600-000002000000}">
          <x14:formula1>
            <xm:f>lists!$A$2:$A$6</xm:f>
          </x14:formula1>
          <xm:sqref>AK10:AK22 AN37:AN38 AK32 AK36 AK40:AK43 AN29:AN30 AN33:AN34 AK47:AK80 AB390:AF410 AD481:AD492 AH411:AJ492 AB480:AC492 Q888:R911 AB388:AJ389 AB381:AD387 AH381:AJ387 Q381:Q387 M381:N387 AB912:AK1048576 AB888:AD911 M888:N911 W888:X911 AE480:AG492 AB411:AG479 AA388:AA1048576 AB493:AJ887 AK89:AK887 AA5:AJ380 Z5:Z1048576</xm:sqref>
        </x14:dataValidation>
        <x14:dataValidation type="list" allowBlank="1" xr:uid="{00000000-0002-0000-0600-000000000000}">
          <x14:formula1>
            <xm:f>lists!#REF!</xm:f>
          </x14:formula1>
          <xm:sqref>E5:E23 E800:E966 E979:E1055 E105:E410 Y7:Y251 E437:E775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workbookViewId="0">
      <pane ySplit="3" topLeftCell="A4" activePane="bottomLeft" state="frozen"/>
      <selection pane="bottomLeft" activeCell="C12" sqref="C12"/>
    </sheetView>
  </sheetViews>
  <sheetFormatPr defaultColWidth="8.88671875" defaultRowHeight="18"/>
  <cols>
    <col min="1" max="1" width="15.88671875" customWidth="1"/>
    <col min="2" max="2" width="17.88671875" customWidth="1"/>
    <col min="3" max="3" width="23.88671875" customWidth="1"/>
    <col min="4" max="4" width="51.88671875" customWidth="1"/>
  </cols>
  <sheetData>
    <row r="1" spans="1:4">
      <c r="A1" s="60" t="s">
        <v>3318</v>
      </c>
      <c r="B1" s="54"/>
      <c r="C1" s="54"/>
      <c r="D1" s="54"/>
    </row>
    <row r="3" spans="1:4">
      <c r="A3" s="2" t="s">
        <v>3319</v>
      </c>
      <c r="B3" s="2" t="s">
        <v>3320</v>
      </c>
      <c r="C3" s="2" t="s">
        <v>3321</v>
      </c>
      <c r="D3" s="2" t="s">
        <v>3322</v>
      </c>
    </row>
    <row r="4" spans="1:4">
      <c r="A4" s="3" t="s">
        <v>19</v>
      </c>
      <c r="B4" s="3" t="s">
        <v>29</v>
      </c>
      <c r="C4" s="3" t="s">
        <v>96</v>
      </c>
      <c r="D4" s="3" t="s">
        <v>3323</v>
      </c>
    </row>
    <row r="5" spans="1:4">
      <c r="A5" s="3" t="s">
        <v>1035</v>
      </c>
      <c r="B5" s="3" t="s">
        <v>1225</v>
      </c>
      <c r="C5" s="3" t="s">
        <v>3324</v>
      </c>
      <c r="D5" s="3" t="s">
        <v>3325</v>
      </c>
    </row>
    <row r="6" spans="1:4" ht="36">
      <c r="A6" s="3" t="s">
        <v>1636</v>
      </c>
      <c r="B6" s="3" t="s">
        <v>3326</v>
      </c>
      <c r="C6" s="3" t="s">
        <v>3327</v>
      </c>
      <c r="D6" s="3" t="s">
        <v>3328</v>
      </c>
    </row>
    <row r="7" spans="1:4" ht="36">
      <c r="A7" s="3" t="s">
        <v>2521</v>
      </c>
      <c r="B7" s="3" t="s">
        <v>2545</v>
      </c>
      <c r="C7" s="3" t="s">
        <v>3329</v>
      </c>
      <c r="D7" s="3" t="s">
        <v>3330</v>
      </c>
    </row>
    <row r="8" spans="1:4" ht="36">
      <c r="A8" s="3" t="s">
        <v>2960</v>
      </c>
      <c r="B8" s="3" t="s">
        <v>3020</v>
      </c>
      <c r="C8" s="3" t="s">
        <v>3331</v>
      </c>
      <c r="D8" s="3" t="s">
        <v>3332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"/>
  <sheetViews>
    <sheetView workbookViewId="0">
      <pane ySplit="3" topLeftCell="A4" activePane="bottomLeft" state="frozen"/>
      <selection pane="bottomLeft" activeCell="J22" sqref="J22"/>
    </sheetView>
  </sheetViews>
  <sheetFormatPr defaultColWidth="8.88671875" defaultRowHeight="18"/>
  <cols>
    <col min="1" max="1" width="17.88671875" customWidth="1"/>
    <col min="2" max="2" width="89.88671875" customWidth="1"/>
  </cols>
  <sheetData>
    <row r="1" spans="1:6">
      <c r="A1" s="60" t="s">
        <v>3333</v>
      </c>
      <c r="B1" s="54"/>
      <c r="C1" s="54"/>
      <c r="D1" s="54"/>
      <c r="E1" s="54"/>
      <c r="F1" s="54"/>
    </row>
    <row r="3" spans="1:6">
      <c r="A3" s="4" t="s">
        <v>3334</v>
      </c>
      <c r="B3" s="4" t="s">
        <v>3335</v>
      </c>
    </row>
    <row r="4" spans="1:6">
      <c r="A4" t="s">
        <v>3336</v>
      </c>
      <c r="B4" s="5" t="s">
        <v>3337</v>
      </c>
    </row>
    <row r="5" spans="1:6" ht="36">
      <c r="A5" t="s">
        <v>3338</v>
      </c>
      <c r="B5" s="5" t="s">
        <v>3339</v>
      </c>
    </row>
    <row r="6" spans="1:6">
      <c r="A6" t="s">
        <v>3340</v>
      </c>
      <c r="B6" s="5" t="s">
        <v>3341</v>
      </c>
    </row>
    <row r="7" spans="1:6">
      <c r="A7" t="s">
        <v>3342</v>
      </c>
      <c r="B7" s="5" t="s">
        <v>3343</v>
      </c>
    </row>
    <row r="8" spans="1:6" ht="36">
      <c r="A8" t="s">
        <v>3344</v>
      </c>
      <c r="B8" s="5" t="s">
        <v>3345</v>
      </c>
    </row>
    <row r="9" spans="1:6" ht="36">
      <c r="A9" t="s">
        <v>3346</v>
      </c>
      <c r="B9" s="5" t="s">
        <v>3347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7C159-C8A8-415A-9E88-C5EF24992A64}">
  <dimension ref="A1:BB1178"/>
  <sheetViews>
    <sheetView workbookViewId="0">
      <pane ySplit="1" topLeftCell="A258" activePane="bottomLeft" state="frozen"/>
      <selection pane="bottomLeft" activeCell="A474" sqref="A474"/>
    </sheetView>
  </sheetViews>
  <sheetFormatPr defaultColWidth="8.88671875" defaultRowHeight="18"/>
  <cols>
    <col min="1" max="1" width="37.6640625" bestFit="1" customWidth="1"/>
    <col min="3" max="3" width="81.109375" bestFit="1" customWidth="1"/>
    <col min="10" max="10" width="60.109375" bestFit="1" customWidth="1"/>
    <col min="12" max="12" width="17.33203125" bestFit="1" customWidth="1"/>
    <col min="13" max="13" width="12.109375" bestFit="1" customWidth="1"/>
    <col min="14" max="14" width="18.6640625" bestFit="1" customWidth="1"/>
    <col min="43" max="43" width="20.109375" bestFit="1" customWidth="1"/>
    <col min="52" max="52" width="46.6640625" bestFit="1" customWidth="1"/>
  </cols>
  <sheetData>
    <row r="1" spans="1:54" s="40" customFormat="1">
      <c r="A1" s="39" t="s">
        <v>3348</v>
      </c>
      <c r="B1" s="39" t="s">
        <v>3349</v>
      </c>
      <c r="C1" s="39" t="s">
        <v>3350</v>
      </c>
      <c r="D1" s="39" t="s">
        <v>3351</v>
      </c>
      <c r="E1" s="39" t="s">
        <v>3352</v>
      </c>
      <c r="F1" s="39" t="s">
        <v>3353</v>
      </c>
      <c r="G1" s="39" t="s">
        <v>3354</v>
      </c>
      <c r="H1" s="39" t="s">
        <v>3355</v>
      </c>
      <c r="I1" s="39" t="s">
        <v>3356</v>
      </c>
      <c r="J1" s="39" t="s">
        <v>3357</v>
      </c>
      <c r="K1" s="39" t="s">
        <v>3358</v>
      </c>
      <c r="L1" s="39" t="s">
        <v>3359</v>
      </c>
      <c r="M1" s="39" t="s">
        <v>3360</v>
      </c>
      <c r="N1" s="39" t="s">
        <v>3361</v>
      </c>
      <c r="O1" s="39" t="s">
        <v>3362</v>
      </c>
      <c r="P1" s="39" t="s">
        <v>3363</v>
      </c>
      <c r="Q1" s="39" t="s">
        <v>3364</v>
      </c>
      <c r="R1" s="39" t="s">
        <v>1050</v>
      </c>
      <c r="S1" s="39" t="s">
        <v>3365</v>
      </c>
      <c r="T1" s="39" t="s">
        <v>3366</v>
      </c>
      <c r="U1" s="39" t="s">
        <v>3367</v>
      </c>
      <c r="V1" s="39" t="s">
        <v>3368</v>
      </c>
      <c r="W1" s="39" t="s">
        <v>3369</v>
      </c>
      <c r="X1" s="39" t="s">
        <v>3370</v>
      </c>
      <c r="Y1" s="39" t="s">
        <v>3371</v>
      </c>
      <c r="Z1" s="39" t="s">
        <v>3372</v>
      </c>
      <c r="AA1" s="39" t="s">
        <v>3373</v>
      </c>
      <c r="AB1" s="39" t="s">
        <v>3374</v>
      </c>
      <c r="AC1" s="39" t="s">
        <v>3375</v>
      </c>
      <c r="AD1" s="39" t="s">
        <v>3376</v>
      </c>
      <c r="AE1" s="39" t="s">
        <v>3377</v>
      </c>
      <c r="AF1" s="39" t="s">
        <v>3378</v>
      </c>
      <c r="AG1" s="39" t="s">
        <v>3379</v>
      </c>
      <c r="AH1" s="39" t="s">
        <v>3380</v>
      </c>
      <c r="AI1" s="39" t="s">
        <v>3381</v>
      </c>
      <c r="AJ1" s="39" t="s">
        <v>3382</v>
      </c>
      <c r="AK1" s="39" t="s">
        <v>3383</v>
      </c>
      <c r="AL1" s="39" t="s">
        <v>3384</v>
      </c>
      <c r="AM1" s="39" t="s">
        <v>3385</v>
      </c>
      <c r="AN1" s="39" t="s">
        <v>3386</v>
      </c>
      <c r="AO1" s="39" t="s">
        <v>3387</v>
      </c>
      <c r="AP1" s="39" t="s">
        <v>3388</v>
      </c>
      <c r="AQ1" s="39" t="s">
        <v>3389</v>
      </c>
      <c r="AR1" s="39" t="s">
        <v>3387</v>
      </c>
      <c r="AS1" s="39" t="s">
        <v>3390</v>
      </c>
      <c r="AT1" s="39" t="s">
        <v>3391</v>
      </c>
      <c r="AU1" s="39" t="s">
        <v>3392</v>
      </c>
      <c r="AV1" s="39" t="s">
        <v>3393</v>
      </c>
      <c r="AW1" s="39" t="s">
        <v>3394</v>
      </c>
      <c r="AX1" s="39" t="s">
        <v>3395</v>
      </c>
      <c r="AY1" s="39" t="s">
        <v>3396</v>
      </c>
      <c r="AZ1" s="39" t="s">
        <v>3397</v>
      </c>
      <c r="BA1" s="39"/>
      <c r="BB1" s="39"/>
    </row>
    <row r="2" spans="1:54">
      <c r="A2" s="38" t="s">
        <v>3398</v>
      </c>
      <c r="B2" s="38" t="s">
        <v>2339</v>
      </c>
      <c r="C2" s="38"/>
      <c r="D2" s="38" t="s">
        <v>3399</v>
      </c>
      <c r="E2" s="38"/>
      <c r="F2" s="38"/>
      <c r="G2" s="38"/>
      <c r="H2" s="38" t="s">
        <v>3400</v>
      </c>
      <c r="I2" s="38" t="s">
        <v>3401</v>
      </c>
      <c r="J2" s="38"/>
      <c r="K2" s="38">
        <v>450</v>
      </c>
      <c r="L2" s="38">
        <v>32.1</v>
      </c>
      <c r="M2" s="38"/>
      <c r="N2" s="38">
        <v>34.6</v>
      </c>
      <c r="O2" s="38">
        <v>3.3</v>
      </c>
      <c r="P2" s="38">
        <v>1.5</v>
      </c>
      <c r="Q2" s="38"/>
      <c r="R2" s="38">
        <v>8.7200000000000006</v>
      </c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</row>
    <row r="3" spans="1:54">
      <c r="A3" s="38" t="s">
        <v>3402</v>
      </c>
      <c r="B3" s="38" t="s">
        <v>2339</v>
      </c>
      <c r="C3" s="38"/>
      <c r="D3" s="38" t="s">
        <v>3399</v>
      </c>
      <c r="E3" s="38"/>
      <c r="F3" s="38"/>
      <c r="G3" s="38"/>
      <c r="H3" s="38" t="s">
        <v>3400</v>
      </c>
      <c r="I3" s="38" t="s">
        <v>3401</v>
      </c>
      <c r="J3" s="38"/>
      <c r="K3" s="38">
        <v>450</v>
      </c>
      <c r="L3" s="38">
        <v>47</v>
      </c>
      <c r="M3" s="38"/>
      <c r="N3" s="38">
        <v>20.3</v>
      </c>
      <c r="O3" s="38">
        <v>1.7</v>
      </c>
      <c r="P3" s="38">
        <v>1.5</v>
      </c>
      <c r="Q3" s="38"/>
      <c r="R3" s="38">
        <v>9.1199999999999992</v>
      </c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</row>
    <row r="4" spans="1:54">
      <c r="A4" s="38" t="s">
        <v>3403</v>
      </c>
      <c r="B4" s="38" t="s">
        <v>2339</v>
      </c>
      <c r="C4" s="38"/>
      <c r="D4" s="38" t="s">
        <v>3399</v>
      </c>
      <c r="E4" s="38"/>
      <c r="F4" s="38"/>
      <c r="G4" s="38"/>
      <c r="H4" s="38" t="s">
        <v>3400</v>
      </c>
      <c r="I4" s="38" t="s">
        <v>3401</v>
      </c>
      <c r="J4" s="38"/>
      <c r="K4" s="38">
        <v>450</v>
      </c>
      <c r="L4" s="38">
        <v>73.5</v>
      </c>
      <c r="M4" s="38"/>
      <c r="N4" s="38">
        <v>10.199999999999999</v>
      </c>
      <c r="O4" s="38">
        <v>1.1000000000000001</v>
      </c>
      <c r="P4" s="38">
        <v>0.8</v>
      </c>
      <c r="Q4" s="38"/>
      <c r="R4" s="38">
        <v>7.83</v>
      </c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</row>
    <row r="5" spans="1:54">
      <c r="A5" s="38" t="s">
        <v>3404</v>
      </c>
      <c r="B5" s="38" t="s">
        <v>2339</v>
      </c>
      <c r="C5" s="38"/>
      <c r="D5" s="38" t="s">
        <v>3399</v>
      </c>
      <c r="E5" s="38"/>
      <c r="F5" s="38"/>
      <c r="G5" s="38"/>
      <c r="H5" s="38" t="s">
        <v>3400</v>
      </c>
      <c r="I5" s="38" t="s">
        <v>3401</v>
      </c>
      <c r="J5" s="38"/>
      <c r="K5" s="38">
        <v>450</v>
      </c>
      <c r="L5" s="38">
        <v>16</v>
      </c>
      <c r="M5" s="38"/>
      <c r="N5" s="38">
        <v>23.6</v>
      </c>
      <c r="O5" s="38">
        <v>2.4</v>
      </c>
      <c r="P5" s="38">
        <v>1.3</v>
      </c>
      <c r="Q5" s="38"/>
      <c r="R5" s="38">
        <v>9.61</v>
      </c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</row>
    <row r="6" spans="1:54">
      <c r="A6" s="38" t="s">
        <v>3405</v>
      </c>
      <c r="B6" s="38" t="s">
        <v>2339</v>
      </c>
      <c r="C6" s="38"/>
      <c r="D6" s="38" t="s">
        <v>3399</v>
      </c>
      <c r="E6" s="38"/>
      <c r="F6" s="38"/>
      <c r="G6" s="38"/>
      <c r="H6" s="38" t="s">
        <v>3400</v>
      </c>
      <c r="I6" s="38" t="s">
        <v>3401</v>
      </c>
      <c r="J6" s="38"/>
      <c r="K6" s="38">
        <v>450</v>
      </c>
      <c r="L6" s="38">
        <v>46.5</v>
      </c>
      <c r="M6" s="38"/>
      <c r="N6" s="38">
        <v>23.6</v>
      </c>
      <c r="O6" s="38">
        <v>2.8</v>
      </c>
      <c r="P6" s="38">
        <v>1.5</v>
      </c>
      <c r="Q6" s="38"/>
      <c r="R6" s="38">
        <v>10.07</v>
      </c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</row>
    <row r="7" spans="1:54">
      <c r="A7" s="38" t="s">
        <v>3406</v>
      </c>
      <c r="B7" s="38" t="s">
        <v>2339</v>
      </c>
      <c r="C7" s="38"/>
      <c r="D7" s="38" t="s">
        <v>3399</v>
      </c>
      <c r="E7" s="38"/>
      <c r="F7" s="38"/>
      <c r="G7" s="38"/>
      <c r="H7" s="38" t="s">
        <v>3400</v>
      </c>
      <c r="I7" s="38" t="s">
        <v>3401</v>
      </c>
      <c r="J7" s="38"/>
      <c r="K7" s="38">
        <v>450</v>
      </c>
      <c r="L7" s="38">
        <v>20.9</v>
      </c>
      <c r="M7" s="38"/>
      <c r="N7" s="38">
        <v>24.8</v>
      </c>
      <c r="O7" s="38">
        <v>2.4</v>
      </c>
      <c r="P7" s="38">
        <v>1.2</v>
      </c>
      <c r="Q7" s="38"/>
      <c r="R7" s="38">
        <v>9.65</v>
      </c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</row>
    <row r="8" spans="1:54">
      <c r="A8" s="38" t="s">
        <v>3407</v>
      </c>
      <c r="B8" s="38" t="s">
        <v>2339</v>
      </c>
      <c r="C8" s="38"/>
      <c r="D8" s="38" t="s">
        <v>3399</v>
      </c>
      <c r="E8" s="38"/>
      <c r="F8" s="38"/>
      <c r="G8" s="38"/>
      <c r="H8" s="38" t="s">
        <v>3400</v>
      </c>
      <c r="I8" s="38" t="s">
        <v>3401</v>
      </c>
      <c r="J8" s="38"/>
      <c r="K8" s="38">
        <v>450</v>
      </c>
      <c r="L8" s="38">
        <v>54.2</v>
      </c>
      <c r="M8" s="38"/>
      <c r="N8" s="38">
        <v>21.8</v>
      </c>
      <c r="O8" s="38">
        <v>2</v>
      </c>
      <c r="P8" s="38">
        <v>1.2</v>
      </c>
      <c r="Q8" s="38"/>
      <c r="R8" s="38">
        <v>9.8699999999999992</v>
      </c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</row>
    <row r="9" spans="1:54">
      <c r="A9" s="38" t="s">
        <v>3408</v>
      </c>
      <c r="B9" s="38" t="s">
        <v>3409</v>
      </c>
      <c r="C9" s="38"/>
      <c r="D9" s="38" t="s">
        <v>3399</v>
      </c>
      <c r="E9" s="38"/>
      <c r="F9" s="38"/>
      <c r="G9" s="38"/>
      <c r="H9" s="38" t="s">
        <v>3400</v>
      </c>
      <c r="I9" s="38" t="s">
        <v>3410</v>
      </c>
      <c r="J9" s="38"/>
      <c r="K9" s="38">
        <v>100</v>
      </c>
      <c r="L9" s="38">
        <v>6.9</v>
      </c>
      <c r="M9" s="38"/>
      <c r="N9" s="38">
        <v>48.6</v>
      </c>
      <c r="O9" s="38">
        <v>0.64</v>
      </c>
      <c r="P9" s="38">
        <v>7.25</v>
      </c>
      <c r="Q9" s="38">
        <v>44.1</v>
      </c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>
        <v>69.599999999999994</v>
      </c>
      <c r="AQ9" s="38">
        <v>1.8</v>
      </c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</row>
    <row r="10" spans="1:54">
      <c r="A10" s="38" t="s">
        <v>3411</v>
      </c>
      <c r="B10" s="38" t="s">
        <v>3409</v>
      </c>
      <c r="C10" s="38"/>
      <c r="D10" s="38" t="s">
        <v>3399</v>
      </c>
      <c r="E10" s="38"/>
      <c r="F10" s="38"/>
      <c r="G10" s="38"/>
      <c r="H10" s="38" t="s">
        <v>3400</v>
      </c>
      <c r="I10" s="38" t="s">
        <v>3410</v>
      </c>
      <c r="J10" s="38"/>
      <c r="K10" s="38">
        <v>100</v>
      </c>
      <c r="L10" s="38">
        <v>19.2</v>
      </c>
      <c r="M10" s="38"/>
      <c r="N10" s="38">
        <v>58.6</v>
      </c>
      <c r="O10" s="38">
        <v>1.24</v>
      </c>
      <c r="P10" s="38">
        <v>3.47</v>
      </c>
      <c r="Q10" s="38">
        <v>22.7</v>
      </c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>
        <v>5.9</v>
      </c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</row>
    <row r="11" spans="1:54">
      <c r="A11" s="38" t="s">
        <v>3412</v>
      </c>
      <c r="B11" s="38" t="s">
        <v>3409</v>
      </c>
      <c r="C11" s="38"/>
      <c r="D11" s="38" t="s">
        <v>3399</v>
      </c>
      <c r="E11" s="38"/>
      <c r="F11" s="38"/>
      <c r="G11" s="38"/>
      <c r="H11" s="38" t="s">
        <v>3400</v>
      </c>
      <c r="I11" s="38" t="s">
        <v>3413</v>
      </c>
      <c r="J11" s="38"/>
      <c r="K11" s="38">
        <v>300</v>
      </c>
      <c r="L11" s="38"/>
      <c r="M11" s="38"/>
      <c r="N11" s="38">
        <v>69.2</v>
      </c>
      <c r="O11" s="38"/>
      <c r="P11" s="38">
        <v>3.2</v>
      </c>
      <c r="Q11" s="38">
        <v>26.6</v>
      </c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>
        <v>116</v>
      </c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</row>
    <row r="12" spans="1:54">
      <c r="A12" s="38" t="s">
        <v>3414</v>
      </c>
      <c r="B12" s="38" t="s">
        <v>3409</v>
      </c>
      <c r="C12" s="38"/>
      <c r="D12" s="38" t="s">
        <v>3399</v>
      </c>
      <c r="E12" s="38"/>
      <c r="F12" s="38"/>
      <c r="G12" s="38"/>
      <c r="H12" s="38" t="s">
        <v>3400</v>
      </c>
      <c r="I12" s="38" t="s">
        <v>3413</v>
      </c>
      <c r="J12" s="38"/>
      <c r="K12" s="38">
        <v>500</v>
      </c>
      <c r="L12" s="38"/>
      <c r="M12" s="38"/>
      <c r="N12" s="38">
        <v>83.4</v>
      </c>
      <c r="O12" s="38"/>
      <c r="P12" s="38">
        <v>2.5</v>
      </c>
      <c r="Q12" s="38">
        <v>10.1</v>
      </c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>
        <v>309</v>
      </c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</row>
    <row r="13" spans="1:54">
      <c r="A13" s="38" t="s">
        <v>3415</v>
      </c>
      <c r="B13" s="38" t="s">
        <v>3409</v>
      </c>
      <c r="C13" s="38"/>
      <c r="D13" s="38" t="s">
        <v>3399</v>
      </c>
      <c r="E13" s="38"/>
      <c r="F13" s="38"/>
      <c r="G13" s="38"/>
      <c r="H13" s="38" t="s">
        <v>3400</v>
      </c>
      <c r="I13" s="38" t="s">
        <v>3413</v>
      </c>
      <c r="J13" s="38"/>
      <c r="K13" s="38">
        <v>700</v>
      </c>
      <c r="L13" s="38"/>
      <c r="M13" s="38"/>
      <c r="N13" s="38">
        <v>88</v>
      </c>
      <c r="O13" s="38"/>
      <c r="P13" s="38">
        <v>1.1000000000000001</v>
      </c>
      <c r="Q13" s="38">
        <v>6</v>
      </c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>
        <v>363</v>
      </c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</row>
    <row r="14" spans="1:54">
      <c r="A14" s="38" t="s">
        <v>3416</v>
      </c>
      <c r="B14" s="38" t="s">
        <v>3409</v>
      </c>
      <c r="C14" s="38"/>
      <c r="D14" s="38" t="s">
        <v>3399</v>
      </c>
      <c r="E14" s="38"/>
      <c r="F14" s="38"/>
      <c r="G14" s="38"/>
      <c r="H14" s="38" t="s">
        <v>3400</v>
      </c>
      <c r="I14" s="38" t="s">
        <v>3417</v>
      </c>
      <c r="J14" s="38"/>
      <c r="K14" s="38">
        <v>500</v>
      </c>
      <c r="L14" s="38"/>
      <c r="M14" s="38"/>
      <c r="N14" s="38">
        <v>71.099999999999994</v>
      </c>
      <c r="O14" s="38">
        <v>0.28999999999999998</v>
      </c>
      <c r="P14" s="38">
        <v>2.99</v>
      </c>
      <c r="Q14" s="38">
        <v>25.62</v>
      </c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</row>
    <row r="15" spans="1:54">
      <c r="A15" s="38" t="s">
        <v>3418</v>
      </c>
      <c r="B15" s="38" t="s">
        <v>3409</v>
      </c>
      <c r="C15" s="38"/>
      <c r="D15" s="38" t="s">
        <v>3399</v>
      </c>
      <c r="E15" s="38"/>
      <c r="F15" s="38"/>
      <c r="G15" s="38"/>
      <c r="H15" s="38" t="s">
        <v>3400</v>
      </c>
      <c r="I15" s="38" t="s">
        <v>3419</v>
      </c>
      <c r="J15" s="38"/>
      <c r="K15" s="38">
        <v>200</v>
      </c>
      <c r="L15" s="38"/>
      <c r="M15" s="38"/>
      <c r="N15" s="38">
        <v>46.2</v>
      </c>
      <c r="O15" s="38">
        <v>0.54</v>
      </c>
      <c r="P15" s="38">
        <v>5.8</v>
      </c>
      <c r="Q15" s="38">
        <v>36.9</v>
      </c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>
        <v>0.78</v>
      </c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</row>
    <row r="16" spans="1:54">
      <c r="A16" s="38" t="s">
        <v>3420</v>
      </c>
      <c r="B16" s="38" t="s">
        <v>3409</v>
      </c>
      <c r="C16" s="38"/>
      <c r="D16" s="38" t="s">
        <v>3399</v>
      </c>
      <c r="E16" s="38"/>
      <c r="F16" s="38"/>
      <c r="G16" s="38"/>
      <c r="H16" s="38" t="s">
        <v>3400</v>
      </c>
      <c r="I16" s="38" t="s">
        <v>3419</v>
      </c>
      <c r="J16" s="38"/>
      <c r="K16" s="38">
        <v>300</v>
      </c>
      <c r="L16" s="38"/>
      <c r="M16" s="38"/>
      <c r="N16" s="38">
        <v>56.1</v>
      </c>
      <c r="O16" s="38">
        <v>0.71</v>
      </c>
      <c r="P16" s="38">
        <v>4.2</v>
      </c>
      <c r="Q16" s="38">
        <v>22</v>
      </c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>
        <v>1.1399999999999999</v>
      </c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</row>
    <row r="17" spans="1:54">
      <c r="A17" s="38" t="s">
        <v>3421</v>
      </c>
      <c r="B17" s="38" t="s">
        <v>3409</v>
      </c>
      <c r="C17" s="38"/>
      <c r="D17" s="38" t="s">
        <v>3399</v>
      </c>
      <c r="E17" s="38"/>
      <c r="F17" s="38"/>
      <c r="G17" s="38"/>
      <c r="H17" s="38" t="s">
        <v>3400</v>
      </c>
      <c r="I17" s="38" t="s">
        <v>3419</v>
      </c>
      <c r="J17" s="38"/>
      <c r="K17" s="38">
        <v>350</v>
      </c>
      <c r="L17" s="38"/>
      <c r="M17" s="38"/>
      <c r="N17" s="38">
        <v>55.2</v>
      </c>
      <c r="O17" s="38">
        <v>0.77</v>
      </c>
      <c r="P17" s="38">
        <v>3.5</v>
      </c>
      <c r="Q17" s="38">
        <v>20.3</v>
      </c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>
        <v>2.0299999999999998</v>
      </c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</row>
    <row r="18" spans="1:54">
      <c r="A18" s="38" t="s">
        <v>3422</v>
      </c>
      <c r="B18" s="38" t="s">
        <v>3409</v>
      </c>
      <c r="C18" s="38"/>
      <c r="D18" s="38" t="s">
        <v>3399</v>
      </c>
      <c r="E18" s="38"/>
      <c r="F18" s="38"/>
      <c r="G18" s="38"/>
      <c r="H18" s="38" t="s">
        <v>3400</v>
      </c>
      <c r="I18" s="38" t="s">
        <v>3419</v>
      </c>
      <c r="J18" s="38"/>
      <c r="K18" s="38">
        <v>550</v>
      </c>
      <c r="L18" s="38"/>
      <c r="M18" s="38"/>
      <c r="N18" s="38">
        <v>54.1</v>
      </c>
      <c r="O18" s="38">
        <v>0.66</v>
      </c>
      <c r="P18" s="38">
        <v>2.2000000000000002</v>
      </c>
      <c r="Q18" s="38">
        <v>12.8</v>
      </c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>
        <v>15.1</v>
      </c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</row>
    <row r="19" spans="1:54">
      <c r="A19" s="38" t="s">
        <v>3423</v>
      </c>
      <c r="B19" s="38" t="s">
        <v>3424</v>
      </c>
      <c r="C19" s="38"/>
      <c r="D19" s="38" t="s">
        <v>3399</v>
      </c>
      <c r="E19" s="38"/>
      <c r="F19" s="38"/>
      <c r="G19" s="38"/>
      <c r="H19" s="38" t="s">
        <v>3400</v>
      </c>
      <c r="I19" s="38" t="s">
        <v>3425</v>
      </c>
      <c r="J19" s="38"/>
      <c r="K19" s="38">
        <v>815</v>
      </c>
      <c r="L19" s="38">
        <v>54.7</v>
      </c>
      <c r="M19" s="38"/>
      <c r="N19" s="38">
        <v>44.7</v>
      </c>
      <c r="O19" s="38">
        <v>0.5</v>
      </c>
      <c r="P19" s="38">
        <v>1.6</v>
      </c>
      <c r="Q19" s="38">
        <v>1.2</v>
      </c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>
        <v>4.38</v>
      </c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</row>
    <row r="20" spans="1:54">
      <c r="A20" s="38" t="s">
        <v>3426</v>
      </c>
      <c r="B20" s="38" t="s">
        <v>3424</v>
      </c>
      <c r="C20" s="38"/>
      <c r="D20" s="38" t="s">
        <v>3399</v>
      </c>
      <c r="E20" s="38"/>
      <c r="F20" s="38"/>
      <c r="G20" s="38"/>
      <c r="H20" s="38" t="s">
        <v>3400</v>
      </c>
      <c r="I20" s="38" t="s">
        <v>3425</v>
      </c>
      <c r="J20" s="38"/>
      <c r="K20" s="38">
        <v>500</v>
      </c>
      <c r="L20" s="38">
        <v>69.099999999999994</v>
      </c>
      <c r="M20" s="38"/>
      <c r="N20" s="38">
        <v>24.6</v>
      </c>
      <c r="O20" s="38">
        <v>0.6</v>
      </c>
      <c r="P20" s="38">
        <v>1.1000000000000001</v>
      </c>
      <c r="Q20" s="38">
        <v>4.5999999999999996</v>
      </c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>
        <v>4.2</v>
      </c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</row>
    <row r="21" spans="1:54">
      <c r="A21" s="38" t="s">
        <v>3427</v>
      </c>
      <c r="B21" s="38" t="s">
        <v>3424</v>
      </c>
      <c r="C21" s="38"/>
      <c r="D21" s="38" t="s">
        <v>3399</v>
      </c>
      <c r="E21" s="38"/>
      <c r="F21" s="38"/>
      <c r="G21" s="38"/>
      <c r="H21" s="38" t="s">
        <v>3400</v>
      </c>
      <c r="I21" s="38" t="s">
        <v>3425</v>
      </c>
      <c r="J21" s="38"/>
      <c r="K21" s="38">
        <v>410</v>
      </c>
      <c r="L21" s="38">
        <v>53.7</v>
      </c>
      <c r="M21" s="38"/>
      <c r="N21" s="38">
        <v>42.1</v>
      </c>
      <c r="O21" s="38">
        <v>1</v>
      </c>
      <c r="P21" s="38">
        <v>1.6</v>
      </c>
      <c r="Q21" s="38">
        <v>11.3</v>
      </c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>
        <v>2.23</v>
      </c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</row>
    <row r="22" spans="1:54">
      <c r="A22" s="38" t="s">
        <v>3428</v>
      </c>
      <c r="B22" s="38" t="s">
        <v>3424</v>
      </c>
      <c r="C22" s="38"/>
      <c r="D22" s="38" t="s">
        <v>3399</v>
      </c>
      <c r="E22" s="38"/>
      <c r="F22" s="38"/>
      <c r="G22" s="38"/>
      <c r="H22" s="38" t="s">
        <v>3400</v>
      </c>
      <c r="I22" s="38" t="s">
        <v>3425</v>
      </c>
      <c r="J22" s="38"/>
      <c r="K22" s="38">
        <v>505</v>
      </c>
      <c r="L22" s="38">
        <v>54.2</v>
      </c>
      <c r="M22" s="38"/>
      <c r="N22" s="38">
        <v>65.7</v>
      </c>
      <c r="O22" s="38">
        <v>1.2</v>
      </c>
      <c r="P22" s="38">
        <v>1.4</v>
      </c>
      <c r="Q22" s="38">
        <v>4.2</v>
      </c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>
        <v>17.3</v>
      </c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</row>
    <row r="23" spans="1:54">
      <c r="A23" s="38" t="s">
        <v>3429</v>
      </c>
      <c r="B23" s="38" t="s">
        <v>3424</v>
      </c>
      <c r="C23" s="38"/>
      <c r="D23" s="38" t="s">
        <v>3399</v>
      </c>
      <c r="E23" s="38"/>
      <c r="F23" s="38"/>
      <c r="G23" s="38"/>
      <c r="H23" s="38" t="s">
        <v>3400</v>
      </c>
      <c r="I23" s="38" t="s">
        <v>3425</v>
      </c>
      <c r="J23" s="38"/>
      <c r="K23" s="38">
        <v>515</v>
      </c>
      <c r="L23" s="38">
        <v>73.7</v>
      </c>
      <c r="M23" s="38"/>
      <c r="N23" s="38">
        <v>50.7</v>
      </c>
      <c r="O23" s="38">
        <v>1</v>
      </c>
      <c r="P23" s="38">
        <v>0.8</v>
      </c>
      <c r="Q23" s="38">
        <v>0</v>
      </c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>
        <v>9.85</v>
      </c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</row>
    <row r="24" spans="1:54">
      <c r="A24" s="38" t="s">
        <v>3430</v>
      </c>
      <c r="B24" s="38" t="s">
        <v>3431</v>
      </c>
      <c r="C24" s="38"/>
      <c r="D24" s="38" t="s">
        <v>3399</v>
      </c>
      <c r="E24" s="38"/>
      <c r="F24" s="38"/>
      <c r="G24" s="38"/>
      <c r="H24" s="38" t="s">
        <v>3400</v>
      </c>
      <c r="I24" s="38" t="s">
        <v>3432</v>
      </c>
      <c r="J24" s="38"/>
      <c r="K24" s="38">
        <v>400</v>
      </c>
      <c r="L24" s="38">
        <v>8.1999999999999993</v>
      </c>
      <c r="M24" s="38"/>
      <c r="N24" s="38">
        <v>74.8</v>
      </c>
      <c r="O24" s="38">
        <v>2.7</v>
      </c>
      <c r="P24" s="38">
        <v>4.5</v>
      </c>
      <c r="Q24" s="38">
        <v>9.6999999999999993</v>
      </c>
      <c r="R24" s="38">
        <v>7.9</v>
      </c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>
        <v>38.4</v>
      </c>
      <c r="AQ24" s="38">
        <v>0.54</v>
      </c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</row>
    <row r="25" spans="1:54">
      <c r="A25" s="38" t="s">
        <v>3433</v>
      </c>
      <c r="B25" s="38" t="s">
        <v>3431</v>
      </c>
      <c r="C25" s="38"/>
      <c r="D25" s="38" t="s">
        <v>3399</v>
      </c>
      <c r="E25" s="38"/>
      <c r="F25" s="38"/>
      <c r="G25" s="38"/>
      <c r="H25" s="38" t="s">
        <v>3400</v>
      </c>
      <c r="I25" s="38" t="s">
        <v>3432</v>
      </c>
      <c r="J25" s="38"/>
      <c r="K25" s="38">
        <v>500</v>
      </c>
      <c r="L25" s="38">
        <v>9.3000000000000007</v>
      </c>
      <c r="M25" s="38"/>
      <c r="N25" s="38">
        <v>81.8</v>
      </c>
      <c r="O25" s="38">
        <v>2.7</v>
      </c>
      <c r="P25" s="38">
        <v>2.9</v>
      </c>
      <c r="Q25" s="38">
        <v>3.3</v>
      </c>
      <c r="R25" s="38">
        <v>8.6</v>
      </c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>
        <v>18.100000000000001</v>
      </c>
      <c r="AQ25" s="38">
        <v>1.22</v>
      </c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</row>
    <row r="26" spans="1:54">
      <c r="A26" s="38" t="s">
        <v>3434</v>
      </c>
      <c r="B26" s="38" t="s">
        <v>3431</v>
      </c>
      <c r="C26" s="38"/>
      <c r="D26" s="38" t="s">
        <v>3399</v>
      </c>
      <c r="E26" s="38"/>
      <c r="F26" s="38"/>
      <c r="G26" s="38"/>
      <c r="H26" s="38" t="s">
        <v>3400</v>
      </c>
      <c r="I26" s="38" t="s">
        <v>3432</v>
      </c>
      <c r="J26" s="38"/>
      <c r="K26" s="38">
        <v>400</v>
      </c>
      <c r="L26" s="38"/>
      <c r="M26" s="38"/>
      <c r="N26" s="38">
        <v>73.2</v>
      </c>
      <c r="O26" s="38">
        <v>2.4300000000000002</v>
      </c>
      <c r="P26" s="38"/>
      <c r="Q26" s="38"/>
      <c r="R26" s="38">
        <v>10.5</v>
      </c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>
        <v>14.2</v>
      </c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</row>
    <row r="27" spans="1:54">
      <c r="A27" s="38" t="s">
        <v>3435</v>
      </c>
      <c r="B27" s="38" t="s">
        <v>3431</v>
      </c>
      <c r="C27" s="38"/>
      <c r="D27" s="38" t="s">
        <v>3399</v>
      </c>
      <c r="E27" s="38"/>
      <c r="F27" s="38"/>
      <c r="G27" s="38"/>
      <c r="H27" s="38" t="s">
        <v>3400</v>
      </c>
      <c r="I27" s="38" t="s">
        <v>3432</v>
      </c>
      <c r="J27" s="38"/>
      <c r="K27" s="38">
        <v>500</v>
      </c>
      <c r="L27" s="38"/>
      <c r="M27" s="38"/>
      <c r="N27" s="38">
        <v>80.400000000000006</v>
      </c>
      <c r="O27" s="38">
        <v>2.48</v>
      </c>
      <c r="P27" s="38"/>
      <c r="Q27" s="38"/>
      <c r="R27" s="38">
        <v>10.1</v>
      </c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>
        <v>4.63</v>
      </c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</row>
    <row r="28" spans="1:54">
      <c r="A28" s="38" t="s">
        <v>3436</v>
      </c>
      <c r="B28" s="38" t="s">
        <v>3431</v>
      </c>
      <c r="C28" s="38"/>
      <c r="D28" s="38" t="s">
        <v>3399</v>
      </c>
      <c r="E28" s="38"/>
      <c r="F28" s="38"/>
      <c r="G28" s="38"/>
      <c r="H28" s="38" t="s">
        <v>3400</v>
      </c>
      <c r="I28" s="38" t="s">
        <v>3432</v>
      </c>
      <c r="J28" s="38"/>
      <c r="K28" s="38">
        <v>481</v>
      </c>
      <c r="L28" s="38">
        <v>15.3</v>
      </c>
      <c r="M28" s="38"/>
      <c r="N28" s="38">
        <v>59</v>
      </c>
      <c r="O28" s="38">
        <v>2.7</v>
      </c>
      <c r="P28" s="38">
        <v>1.9</v>
      </c>
      <c r="Q28" s="38">
        <v>12.4</v>
      </c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>
        <v>1.01</v>
      </c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</row>
    <row r="29" spans="1:54">
      <c r="A29" s="38" t="s">
        <v>3437</v>
      </c>
      <c r="B29" s="38" t="s">
        <v>3431</v>
      </c>
      <c r="C29" s="38"/>
      <c r="D29" s="38" t="s">
        <v>3399</v>
      </c>
      <c r="E29" s="38"/>
      <c r="F29" s="38"/>
      <c r="G29" s="38"/>
      <c r="H29" s="38" t="s">
        <v>3400</v>
      </c>
      <c r="I29" s="38" t="s">
        <v>3432</v>
      </c>
      <c r="J29" s="38"/>
      <c r="K29" s="38">
        <v>481</v>
      </c>
      <c r="L29" s="38">
        <v>14.5</v>
      </c>
      <c r="M29" s="38"/>
      <c r="N29" s="38">
        <v>60.2</v>
      </c>
      <c r="O29" s="38">
        <v>0.9</v>
      </c>
      <c r="P29" s="38">
        <v>0.9</v>
      </c>
      <c r="Q29" s="38">
        <v>10.3</v>
      </c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>
        <v>286</v>
      </c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</row>
    <row r="30" spans="1:54">
      <c r="A30" s="38" t="s">
        <v>3438</v>
      </c>
      <c r="B30" s="38" t="s">
        <v>1700</v>
      </c>
      <c r="C30" s="38"/>
      <c r="D30" s="38" t="s">
        <v>3399</v>
      </c>
      <c r="E30" s="38"/>
      <c r="F30" s="38"/>
      <c r="G30" s="38"/>
      <c r="H30" s="38" t="s">
        <v>3400</v>
      </c>
      <c r="I30" s="38" t="s">
        <v>3439</v>
      </c>
      <c r="J30" s="38"/>
      <c r="K30" s="38">
        <v>450</v>
      </c>
      <c r="L30" s="38"/>
      <c r="M30" s="38"/>
      <c r="N30" s="38">
        <v>38</v>
      </c>
      <c r="O30" s="38">
        <v>2</v>
      </c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</row>
    <row r="31" spans="1:54">
      <c r="A31" s="38" t="s">
        <v>3440</v>
      </c>
      <c r="B31" s="38" t="s">
        <v>1700</v>
      </c>
      <c r="C31" s="38"/>
      <c r="D31" s="38" t="s">
        <v>3399</v>
      </c>
      <c r="E31" s="38"/>
      <c r="F31" s="38"/>
      <c r="G31" s="38"/>
      <c r="H31" s="38" t="s">
        <v>3400</v>
      </c>
      <c r="I31" s="38" t="s">
        <v>3439</v>
      </c>
      <c r="J31" s="38"/>
      <c r="K31" s="38">
        <v>550</v>
      </c>
      <c r="L31" s="38"/>
      <c r="M31" s="38"/>
      <c r="N31" s="38">
        <v>33</v>
      </c>
      <c r="O31" s="38">
        <v>0.85</v>
      </c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</row>
    <row r="32" spans="1:54">
      <c r="A32" s="38" t="s">
        <v>3441</v>
      </c>
      <c r="B32" s="38" t="s">
        <v>1700</v>
      </c>
      <c r="C32" s="38"/>
      <c r="D32" s="38" t="s">
        <v>3399</v>
      </c>
      <c r="E32" s="38"/>
      <c r="F32" s="38"/>
      <c r="G32" s="38"/>
      <c r="H32" s="38" t="s">
        <v>3400</v>
      </c>
      <c r="I32" s="38" t="s">
        <v>3432</v>
      </c>
      <c r="J32" s="38"/>
      <c r="K32" s="38">
        <v>350</v>
      </c>
      <c r="L32" s="38">
        <v>35.9</v>
      </c>
      <c r="M32" s="38"/>
      <c r="N32" s="38">
        <v>46.1</v>
      </c>
      <c r="O32" s="38">
        <v>4.9000000000000004</v>
      </c>
      <c r="P32" s="38">
        <v>3.7</v>
      </c>
      <c r="Q32" s="38">
        <v>8.6</v>
      </c>
      <c r="R32" s="38">
        <v>8.6999999999999993</v>
      </c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>
        <v>36.700000000000003</v>
      </c>
      <c r="AQ32" s="38">
        <v>1.1000000000000001</v>
      </c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</row>
    <row r="33" spans="1:54">
      <c r="A33" s="38" t="s">
        <v>3442</v>
      </c>
      <c r="B33" s="38" t="s">
        <v>1700</v>
      </c>
      <c r="C33" s="38"/>
      <c r="D33" s="38" t="s">
        <v>3399</v>
      </c>
      <c r="E33" s="38"/>
      <c r="F33" s="38"/>
      <c r="G33" s="38"/>
      <c r="H33" s="38" t="s">
        <v>3400</v>
      </c>
      <c r="I33" s="38" t="s">
        <v>3432</v>
      </c>
      <c r="J33" s="38"/>
      <c r="K33" s="38">
        <v>700</v>
      </c>
      <c r="L33" s="38">
        <v>52.4</v>
      </c>
      <c r="M33" s="38"/>
      <c r="N33" s="38">
        <v>44</v>
      </c>
      <c r="O33" s="38">
        <v>2.8</v>
      </c>
      <c r="P33" s="38">
        <v>0.3</v>
      </c>
      <c r="Q33" s="38">
        <v>0.01</v>
      </c>
      <c r="R33" s="38">
        <v>10.3</v>
      </c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>
        <v>14.1</v>
      </c>
      <c r="AQ33" s="38">
        <v>9</v>
      </c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</row>
    <row r="34" spans="1:54">
      <c r="A34" s="38" t="s">
        <v>3443</v>
      </c>
      <c r="B34" s="38" t="s">
        <v>1700</v>
      </c>
      <c r="C34" s="38"/>
      <c r="D34" s="38" t="s">
        <v>3399</v>
      </c>
      <c r="E34" s="38"/>
      <c r="F34" s="38"/>
      <c r="G34" s="38"/>
      <c r="H34" s="38" t="s">
        <v>3400</v>
      </c>
      <c r="I34" s="38" t="s">
        <v>3444</v>
      </c>
      <c r="J34" s="38"/>
      <c r="K34" s="38">
        <v>400</v>
      </c>
      <c r="L34" s="38"/>
      <c r="M34" s="38"/>
      <c r="N34" s="38">
        <v>39.200000000000003</v>
      </c>
      <c r="O34" s="38">
        <v>3.47</v>
      </c>
      <c r="P34" s="38"/>
      <c r="Q34" s="38"/>
      <c r="R34" s="38">
        <v>10.1</v>
      </c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>
        <v>61.1</v>
      </c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</row>
    <row r="35" spans="1:54">
      <c r="A35" s="38" t="s">
        <v>3445</v>
      </c>
      <c r="B35" s="38" t="s">
        <v>1700</v>
      </c>
      <c r="C35" s="38"/>
      <c r="D35" s="38" t="s">
        <v>3399</v>
      </c>
      <c r="E35" s="38"/>
      <c r="F35" s="38"/>
      <c r="G35" s="38"/>
      <c r="H35" s="38" t="s">
        <v>3400</v>
      </c>
      <c r="I35" s="38" t="s">
        <v>3444</v>
      </c>
      <c r="J35" s="38"/>
      <c r="K35" s="38">
        <v>500</v>
      </c>
      <c r="L35" s="38"/>
      <c r="M35" s="38"/>
      <c r="N35" s="38">
        <v>39.200000000000003</v>
      </c>
      <c r="O35" s="38">
        <v>3.09</v>
      </c>
      <c r="P35" s="38"/>
      <c r="Q35" s="38"/>
      <c r="R35" s="38">
        <v>9.74</v>
      </c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>
        <v>38.299999999999997</v>
      </c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</row>
    <row r="36" spans="1:54">
      <c r="A36" s="38" t="s">
        <v>3446</v>
      </c>
      <c r="B36" s="38" t="s">
        <v>1848</v>
      </c>
      <c r="C36" s="38"/>
      <c r="D36" s="38" t="s">
        <v>3399</v>
      </c>
      <c r="E36" s="38"/>
      <c r="F36" s="38"/>
      <c r="G36" s="38"/>
      <c r="H36" s="38" t="s">
        <v>3400</v>
      </c>
      <c r="I36" s="38" t="s">
        <v>3447</v>
      </c>
      <c r="J36" s="38"/>
      <c r="K36" s="38">
        <v>823</v>
      </c>
      <c r="L36" s="38">
        <v>8.4700000000000006</v>
      </c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>
        <v>11.25</v>
      </c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</row>
    <row r="37" spans="1:54">
      <c r="A37" s="38" t="s">
        <v>3448</v>
      </c>
      <c r="B37" s="38" t="s">
        <v>3449</v>
      </c>
      <c r="C37" s="38"/>
      <c r="D37" s="38" t="s">
        <v>3399</v>
      </c>
      <c r="E37" s="38"/>
      <c r="F37" s="38"/>
      <c r="G37" s="38"/>
      <c r="H37" s="38" t="s">
        <v>3400</v>
      </c>
      <c r="I37" s="38" t="s">
        <v>3447</v>
      </c>
      <c r="J37" s="38"/>
      <c r="K37" s="38">
        <v>750</v>
      </c>
      <c r="L37" s="38">
        <v>6.58</v>
      </c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>
        <v>14.68</v>
      </c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</row>
    <row r="38" spans="1:54">
      <c r="A38" s="38" t="s">
        <v>3450</v>
      </c>
      <c r="B38" s="38" t="s">
        <v>3449</v>
      </c>
      <c r="C38" s="38"/>
      <c r="D38" s="38" t="s">
        <v>3399</v>
      </c>
      <c r="E38" s="38"/>
      <c r="F38" s="38"/>
      <c r="G38" s="38"/>
      <c r="H38" s="38" t="s">
        <v>3400</v>
      </c>
      <c r="I38" s="38" t="s">
        <v>3447</v>
      </c>
      <c r="J38" s="38"/>
      <c r="K38" s="38">
        <v>750</v>
      </c>
      <c r="L38" s="38">
        <v>5.36</v>
      </c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>
        <v>0.67</v>
      </c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</row>
    <row r="39" spans="1:54">
      <c r="A39" s="38" t="s">
        <v>3451</v>
      </c>
      <c r="B39" s="38" t="s">
        <v>3449</v>
      </c>
      <c r="C39" s="38"/>
      <c r="D39" s="38" t="s">
        <v>3399</v>
      </c>
      <c r="E39" s="38"/>
      <c r="F39" s="38"/>
      <c r="G39" s="38"/>
      <c r="H39" s="38" t="s">
        <v>3400</v>
      </c>
      <c r="I39" s="38" t="s">
        <v>3432</v>
      </c>
      <c r="J39" s="38"/>
      <c r="K39" s="38">
        <v>350</v>
      </c>
      <c r="L39" s="38">
        <v>2.4</v>
      </c>
      <c r="M39" s="38"/>
      <c r="N39" s="38">
        <v>64.5</v>
      </c>
      <c r="O39" s="38">
        <v>0.26</v>
      </c>
      <c r="P39" s="38">
        <v>5.3</v>
      </c>
      <c r="Q39" s="38">
        <v>27.6</v>
      </c>
      <c r="R39" s="38">
        <v>5.9</v>
      </c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>
        <v>61.6</v>
      </c>
      <c r="AQ39" s="38">
        <v>222</v>
      </c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</row>
    <row r="40" spans="1:54">
      <c r="A40" s="38" t="s">
        <v>3452</v>
      </c>
      <c r="B40" s="38" t="s">
        <v>3449</v>
      </c>
      <c r="C40" s="38"/>
      <c r="D40" s="38" t="s">
        <v>3399</v>
      </c>
      <c r="E40" s="38"/>
      <c r="F40" s="38"/>
      <c r="G40" s="38"/>
      <c r="H40" s="38" t="s">
        <v>3400</v>
      </c>
      <c r="I40" s="38" t="s">
        <v>3432</v>
      </c>
      <c r="J40" s="38"/>
      <c r="K40" s="38">
        <v>700</v>
      </c>
      <c r="L40" s="38">
        <v>5.2</v>
      </c>
      <c r="M40" s="38"/>
      <c r="N40" s="38">
        <v>91.2</v>
      </c>
      <c r="O40" s="38">
        <v>0.51</v>
      </c>
      <c r="P40" s="38">
        <v>1.5</v>
      </c>
      <c r="Q40" s="38">
        <v>1.6</v>
      </c>
      <c r="R40" s="38">
        <v>7.2</v>
      </c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>
        <v>9.6999999999999993</v>
      </c>
      <c r="AQ40" s="38">
        <v>222</v>
      </c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</row>
    <row r="41" spans="1:54">
      <c r="A41" s="38" t="s">
        <v>3453</v>
      </c>
      <c r="B41" s="38" t="s">
        <v>3449</v>
      </c>
      <c r="C41" s="38"/>
      <c r="D41" s="38" t="s">
        <v>3399</v>
      </c>
      <c r="E41" s="38"/>
      <c r="F41" s="38"/>
      <c r="G41" s="38"/>
      <c r="H41" s="38" t="s">
        <v>3400</v>
      </c>
      <c r="I41" s="38" t="s">
        <v>3425</v>
      </c>
      <c r="J41" s="38"/>
      <c r="K41" s="38"/>
      <c r="L41" s="38">
        <v>2</v>
      </c>
      <c r="M41" s="38"/>
      <c r="N41" s="38">
        <v>84</v>
      </c>
      <c r="O41" s="38">
        <v>0.6</v>
      </c>
      <c r="P41" s="38">
        <v>2.2999999999999998</v>
      </c>
      <c r="Q41" s="38">
        <v>2</v>
      </c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>
        <v>0.4</v>
      </c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</row>
    <row r="42" spans="1:54">
      <c r="A42" s="38" t="s">
        <v>3454</v>
      </c>
      <c r="B42" s="38" t="s">
        <v>3455</v>
      </c>
      <c r="C42" s="38"/>
      <c r="D42" s="38" t="s">
        <v>3399</v>
      </c>
      <c r="E42" s="38"/>
      <c r="F42" s="38"/>
      <c r="G42" s="38"/>
      <c r="H42" s="38" t="s">
        <v>3400</v>
      </c>
      <c r="I42" s="38" t="s">
        <v>3410</v>
      </c>
      <c r="J42" s="38"/>
      <c r="K42" s="38">
        <v>100</v>
      </c>
      <c r="L42" s="38">
        <v>1.2</v>
      </c>
      <c r="M42" s="38"/>
      <c r="N42" s="38">
        <v>50.6</v>
      </c>
      <c r="O42" s="38">
        <v>0.05</v>
      </c>
      <c r="P42" s="38">
        <v>6.68</v>
      </c>
      <c r="Q42" s="38">
        <v>42.7</v>
      </c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>
        <v>77.099999999999994</v>
      </c>
      <c r="AQ42" s="38">
        <v>1.6</v>
      </c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</row>
    <row r="43" spans="1:54">
      <c r="A43" s="38" t="s">
        <v>3456</v>
      </c>
      <c r="B43" s="38" t="s">
        <v>3455</v>
      </c>
      <c r="C43" s="38"/>
      <c r="D43" s="38" t="s">
        <v>3399</v>
      </c>
      <c r="E43" s="38"/>
      <c r="F43" s="38"/>
      <c r="G43" s="38"/>
      <c r="H43" s="38" t="s">
        <v>3400</v>
      </c>
      <c r="I43" s="38" t="s">
        <v>3410</v>
      </c>
      <c r="J43" s="38"/>
      <c r="K43" s="38">
        <v>200</v>
      </c>
      <c r="L43" s="38">
        <v>1.5</v>
      </c>
      <c r="M43" s="38"/>
      <c r="N43" s="38">
        <v>50.9</v>
      </c>
      <c r="O43" s="38">
        <v>0.04</v>
      </c>
      <c r="P43" s="38">
        <v>6.95</v>
      </c>
      <c r="Q43" s="38">
        <v>42.2</v>
      </c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>
        <v>77.099999999999994</v>
      </c>
      <c r="AQ43" s="38">
        <v>2.2999999999999998</v>
      </c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</row>
    <row r="44" spans="1:54">
      <c r="A44" s="38" t="s">
        <v>3457</v>
      </c>
      <c r="B44" s="38" t="s">
        <v>3455</v>
      </c>
      <c r="C44" s="38"/>
      <c r="D44" s="38" t="s">
        <v>3399</v>
      </c>
      <c r="E44" s="38"/>
      <c r="F44" s="38"/>
      <c r="G44" s="38"/>
      <c r="H44" s="38" t="s">
        <v>3400</v>
      </c>
      <c r="I44" s="38" t="s">
        <v>3410</v>
      </c>
      <c r="J44" s="38"/>
      <c r="K44" s="38">
        <v>300</v>
      </c>
      <c r="L44" s="38">
        <v>1.5</v>
      </c>
      <c r="M44" s="38"/>
      <c r="N44" s="38">
        <v>54.8</v>
      </c>
      <c r="O44" s="38">
        <v>0.05</v>
      </c>
      <c r="P44" s="38">
        <v>6.5</v>
      </c>
      <c r="Q44" s="38">
        <v>38.700000000000003</v>
      </c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>
        <v>70.3</v>
      </c>
      <c r="AQ44" s="38">
        <v>3</v>
      </c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</row>
    <row r="45" spans="1:54">
      <c r="A45" s="38" t="s">
        <v>3458</v>
      </c>
      <c r="B45" s="38" t="s">
        <v>3455</v>
      </c>
      <c r="C45" s="38"/>
      <c r="D45" s="38" t="s">
        <v>3399</v>
      </c>
      <c r="E45" s="38"/>
      <c r="F45" s="38"/>
      <c r="G45" s="38"/>
      <c r="H45" s="38" t="s">
        <v>3400</v>
      </c>
      <c r="I45" s="38" t="s">
        <v>3410</v>
      </c>
      <c r="J45" s="38"/>
      <c r="K45" s="38">
        <v>400</v>
      </c>
      <c r="L45" s="38">
        <v>1.4</v>
      </c>
      <c r="M45" s="38"/>
      <c r="N45" s="38">
        <v>74.099999999999994</v>
      </c>
      <c r="O45" s="38">
        <v>0.06</v>
      </c>
      <c r="P45" s="38">
        <v>4.95</v>
      </c>
      <c r="Q45" s="38">
        <v>20.9</v>
      </c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>
        <v>36.4</v>
      </c>
      <c r="AQ45" s="38">
        <v>28.7</v>
      </c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</row>
    <row r="46" spans="1:54">
      <c r="A46" s="38" t="s">
        <v>3459</v>
      </c>
      <c r="B46" s="38" t="s">
        <v>3455</v>
      </c>
      <c r="C46" s="38"/>
      <c r="D46" s="38" t="s">
        <v>3399</v>
      </c>
      <c r="E46" s="38"/>
      <c r="F46" s="38"/>
      <c r="G46" s="38"/>
      <c r="H46" s="38" t="s">
        <v>3400</v>
      </c>
      <c r="I46" s="38" t="s">
        <v>3410</v>
      </c>
      <c r="J46" s="38"/>
      <c r="K46" s="38">
        <v>500</v>
      </c>
      <c r="L46" s="38">
        <v>2.1</v>
      </c>
      <c r="M46" s="38"/>
      <c r="N46" s="38">
        <v>81.900000000000006</v>
      </c>
      <c r="O46" s="38">
        <v>0.08</v>
      </c>
      <c r="P46" s="38">
        <v>3.54</v>
      </c>
      <c r="Q46" s="38">
        <v>14.5</v>
      </c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>
        <v>25.2</v>
      </c>
      <c r="AQ46" s="38">
        <v>196</v>
      </c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</row>
    <row r="47" spans="1:54">
      <c r="A47" s="38" t="s">
        <v>3460</v>
      </c>
      <c r="B47" s="38" t="s">
        <v>3455</v>
      </c>
      <c r="C47" s="38"/>
      <c r="D47" s="38" t="s">
        <v>3399</v>
      </c>
      <c r="E47" s="38"/>
      <c r="F47" s="38"/>
      <c r="G47" s="38"/>
      <c r="H47" s="38" t="s">
        <v>3400</v>
      </c>
      <c r="I47" s="38" t="s">
        <v>3410</v>
      </c>
      <c r="J47" s="38"/>
      <c r="K47" s="38">
        <v>600</v>
      </c>
      <c r="L47" s="38">
        <v>3.7</v>
      </c>
      <c r="M47" s="38"/>
      <c r="N47" s="38">
        <v>89</v>
      </c>
      <c r="O47" s="38">
        <v>0.06</v>
      </c>
      <c r="P47" s="38">
        <v>2.99</v>
      </c>
      <c r="Q47" s="38">
        <v>8</v>
      </c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>
        <v>11.1</v>
      </c>
      <c r="AQ47" s="38">
        <v>392</v>
      </c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</row>
    <row r="48" spans="1:54">
      <c r="A48" s="38" t="s">
        <v>3461</v>
      </c>
      <c r="B48" s="38" t="s">
        <v>3455</v>
      </c>
      <c r="C48" s="38"/>
      <c r="D48" s="38" t="s">
        <v>3399</v>
      </c>
      <c r="E48" s="38"/>
      <c r="F48" s="38"/>
      <c r="G48" s="38"/>
      <c r="H48" s="38" t="s">
        <v>3400</v>
      </c>
      <c r="I48" s="38" t="s">
        <v>3410</v>
      </c>
      <c r="J48" s="38"/>
      <c r="K48" s="38">
        <v>700</v>
      </c>
      <c r="L48" s="38">
        <v>1.7</v>
      </c>
      <c r="M48" s="38"/>
      <c r="N48" s="38">
        <v>92.3</v>
      </c>
      <c r="O48" s="38">
        <v>0.08</v>
      </c>
      <c r="P48" s="38">
        <v>1.62</v>
      </c>
      <c r="Q48" s="38">
        <v>6</v>
      </c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>
        <v>6.3</v>
      </c>
      <c r="AQ48" s="38">
        <v>347</v>
      </c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</row>
    <row r="49" spans="1:54">
      <c r="A49" s="38" t="s">
        <v>3462</v>
      </c>
      <c r="B49" s="38" t="s">
        <v>3463</v>
      </c>
      <c r="C49" s="38"/>
      <c r="D49" s="38" t="s">
        <v>3399</v>
      </c>
      <c r="E49" s="38"/>
      <c r="F49" s="38"/>
      <c r="G49" s="38"/>
      <c r="H49" s="38" t="s">
        <v>3400</v>
      </c>
      <c r="I49" s="38" t="s">
        <v>3464</v>
      </c>
      <c r="J49" s="38"/>
      <c r="K49" s="38"/>
      <c r="L49" s="38">
        <v>4.5999999999999996</v>
      </c>
      <c r="M49" s="38"/>
      <c r="N49" s="38">
        <v>72.900000000000006</v>
      </c>
      <c r="O49" s="38">
        <v>0.76</v>
      </c>
      <c r="P49" s="38">
        <v>1.4650000000000001</v>
      </c>
      <c r="Q49" s="38">
        <v>18.899999999999999</v>
      </c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</row>
    <row r="50" spans="1:54">
      <c r="A50" s="38" t="s">
        <v>3465</v>
      </c>
      <c r="B50" s="38" t="s">
        <v>3463</v>
      </c>
      <c r="C50" s="38"/>
      <c r="D50" s="38" t="s">
        <v>3399</v>
      </c>
      <c r="E50" s="38"/>
      <c r="F50" s="38"/>
      <c r="G50" s="38"/>
      <c r="H50" s="38" t="s">
        <v>3400</v>
      </c>
      <c r="I50" s="38" t="s">
        <v>3466</v>
      </c>
      <c r="J50" s="38"/>
      <c r="K50" s="38">
        <v>400</v>
      </c>
      <c r="L50" s="38">
        <v>0</v>
      </c>
      <c r="M50" s="38"/>
      <c r="N50" s="38">
        <v>82.56</v>
      </c>
      <c r="O50" s="38">
        <v>0.08</v>
      </c>
      <c r="P50" s="38">
        <v>3.29</v>
      </c>
      <c r="Q50" s="38">
        <v>14.07</v>
      </c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>
        <v>133</v>
      </c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</row>
    <row r="51" spans="1:54">
      <c r="A51" s="38" t="s">
        <v>3467</v>
      </c>
      <c r="B51" s="38" t="s">
        <v>3463</v>
      </c>
      <c r="C51" s="38"/>
      <c r="D51" s="38" t="s">
        <v>3399</v>
      </c>
      <c r="E51" s="38"/>
      <c r="F51" s="38"/>
      <c r="G51" s="38"/>
      <c r="H51" s="38" t="s">
        <v>3400</v>
      </c>
      <c r="I51" s="38" t="s">
        <v>3466</v>
      </c>
      <c r="J51" s="38"/>
      <c r="K51" s="38">
        <v>500</v>
      </c>
      <c r="L51" s="38">
        <v>0</v>
      </c>
      <c r="M51" s="38"/>
      <c r="N51" s="38">
        <v>88.08</v>
      </c>
      <c r="O51" s="38">
        <v>0.08</v>
      </c>
      <c r="P51" s="38">
        <v>3.18</v>
      </c>
      <c r="Q51" s="38">
        <v>8.66</v>
      </c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>
        <v>292</v>
      </c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</row>
    <row r="52" spans="1:54">
      <c r="A52" s="38" t="s">
        <v>3468</v>
      </c>
      <c r="B52" s="38" t="s">
        <v>3463</v>
      </c>
      <c r="C52" s="38"/>
      <c r="D52" s="38" t="s">
        <v>3399</v>
      </c>
      <c r="E52" s="38"/>
      <c r="F52" s="38"/>
      <c r="G52" s="38"/>
      <c r="H52" s="38" t="s">
        <v>3400</v>
      </c>
      <c r="I52" s="38" t="s">
        <v>3466</v>
      </c>
      <c r="J52" s="38"/>
      <c r="K52" s="38">
        <v>600</v>
      </c>
      <c r="L52" s="38">
        <v>0</v>
      </c>
      <c r="M52" s="38"/>
      <c r="N52" s="38">
        <v>87.72</v>
      </c>
      <c r="O52" s="38">
        <v>0.08</v>
      </c>
      <c r="P52" s="38">
        <v>2.73</v>
      </c>
      <c r="Q52" s="38">
        <v>9.4700000000000006</v>
      </c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>
        <v>322</v>
      </c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</row>
    <row r="53" spans="1:54">
      <c r="A53" s="38" t="s">
        <v>3469</v>
      </c>
      <c r="B53" s="38" t="s">
        <v>3463</v>
      </c>
      <c r="C53" s="38"/>
      <c r="D53" s="38" t="s">
        <v>3399</v>
      </c>
      <c r="E53" s="38"/>
      <c r="F53" s="38"/>
      <c r="G53" s="38"/>
      <c r="H53" s="38" t="s">
        <v>3400</v>
      </c>
      <c r="I53" s="38" t="s">
        <v>3466</v>
      </c>
      <c r="J53" s="38"/>
      <c r="K53" s="38">
        <v>700</v>
      </c>
      <c r="L53" s="38">
        <v>0</v>
      </c>
      <c r="M53" s="38"/>
      <c r="N53" s="38">
        <v>91.69</v>
      </c>
      <c r="O53" s="38">
        <v>0.08</v>
      </c>
      <c r="P53" s="38">
        <v>1.93</v>
      </c>
      <c r="Q53" s="38">
        <v>6.3</v>
      </c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>
        <v>337</v>
      </c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</row>
    <row r="54" spans="1:54">
      <c r="A54" s="38" t="s">
        <v>3470</v>
      </c>
      <c r="B54" s="38" t="s">
        <v>3471</v>
      </c>
      <c r="C54" s="38"/>
      <c r="D54" s="38" t="s">
        <v>3399</v>
      </c>
      <c r="E54" s="38"/>
      <c r="F54" s="38"/>
      <c r="G54" s="38"/>
      <c r="H54" s="38" t="s">
        <v>3400</v>
      </c>
      <c r="I54" s="38" t="s">
        <v>3472</v>
      </c>
      <c r="J54" s="38"/>
      <c r="K54" s="38">
        <v>450</v>
      </c>
      <c r="L54" s="38">
        <v>0.05</v>
      </c>
      <c r="M54" s="38"/>
      <c r="N54" s="38">
        <v>68.2</v>
      </c>
      <c r="O54" s="38">
        <v>0.16</v>
      </c>
      <c r="P54" s="38">
        <v>3.98</v>
      </c>
      <c r="Q54" s="38">
        <v>27.1</v>
      </c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>
        <v>2</v>
      </c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</row>
    <row r="55" spans="1:54">
      <c r="A55" s="38" t="s">
        <v>3473</v>
      </c>
      <c r="B55" s="38" t="s">
        <v>3455</v>
      </c>
      <c r="C55" s="38"/>
      <c r="D55" s="38" t="s">
        <v>3399</v>
      </c>
      <c r="E55" s="38"/>
      <c r="F55" s="38"/>
      <c r="G55" s="38"/>
      <c r="H55" s="38" t="s">
        <v>3400</v>
      </c>
      <c r="I55" s="38" t="s">
        <v>3444</v>
      </c>
      <c r="J55" s="38"/>
      <c r="K55" s="38">
        <v>400</v>
      </c>
      <c r="L55" s="38"/>
      <c r="M55" s="38"/>
      <c r="N55" s="38">
        <v>73.900000000000006</v>
      </c>
      <c r="O55" s="38">
        <v>0.255</v>
      </c>
      <c r="P55" s="38"/>
      <c r="Q55" s="38"/>
      <c r="R55" s="38">
        <v>7.55</v>
      </c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>
        <v>7.27</v>
      </c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</row>
    <row r="56" spans="1:54">
      <c r="A56" s="38" t="s">
        <v>3474</v>
      </c>
      <c r="B56" s="38" t="s">
        <v>3455</v>
      </c>
      <c r="C56" s="38"/>
      <c r="D56" s="38" t="s">
        <v>3399</v>
      </c>
      <c r="E56" s="38"/>
      <c r="F56" s="38"/>
      <c r="G56" s="38"/>
      <c r="H56" s="38" t="s">
        <v>3400</v>
      </c>
      <c r="I56" s="38" t="s">
        <v>3444</v>
      </c>
      <c r="J56" s="38"/>
      <c r="K56" s="38">
        <v>500</v>
      </c>
      <c r="L56" s="38"/>
      <c r="M56" s="38"/>
      <c r="N56" s="38">
        <v>81.7</v>
      </c>
      <c r="O56" s="38">
        <v>0.223</v>
      </c>
      <c r="P56" s="38"/>
      <c r="Q56" s="38"/>
      <c r="R56" s="38">
        <v>8.3000000000000007</v>
      </c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>
        <v>5.03</v>
      </c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</row>
    <row r="57" spans="1:54">
      <c r="A57" s="38" t="s">
        <v>3475</v>
      </c>
      <c r="B57" s="38" t="s">
        <v>3455</v>
      </c>
      <c r="C57" s="38"/>
      <c r="D57" s="38" t="s">
        <v>3399</v>
      </c>
      <c r="E57" s="38"/>
      <c r="F57" s="38"/>
      <c r="G57" s="38"/>
      <c r="H57" s="38" t="s">
        <v>3400</v>
      </c>
      <c r="I57" s="38" t="s">
        <v>3425</v>
      </c>
      <c r="J57" s="38"/>
      <c r="K57" s="38">
        <v>465</v>
      </c>
      <c r="L57" s="38">
        <v>5.6</v>
      </c>
      <c r="M57" s="38"/>
      <c r="N57" s="38">
        <v>74.5</v>
      </c>
      <c r="O57" s="38">
        <v>0.3</v>
      </c>
      <c r="P57" s="38">
        <v>3.2</v>
      </c>
      <c r="Q57" s="38">
        <v>8.9</v>
      </c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>
        <v>0.1</v>
      </c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</row>
    <row r="58" spans="1:54">
      <c r="A58" s="38" t="s">
        <v>3476</v>
      </c>
      <c r="B58" s="38" t="s">
        <v>3471</v>
      </c>
      <c r="C58" s="38"/>
      <c r="D58" s="38" t="s">
        <v>3399</v>
      </c>
      <c r="E58" s="38"/>
      <c r="F58" s="38"/>
      <c r="G58" s="38"/>
      <c r="H58" s="38" t="s">
        <v>3400</v>
      </c>
      <c r="I58" s="38" t="s">
        <v>3425</v>
      </c>
      <c r="J58" s="38"/>
      <c r="K58" s="38"/>
      <c r="L58" s="38">
        <v>14.1</v>
      </c>
      <c r="M58" s="38"/>
      <c r="N58" s="38">
        <v>69.099999999999994</v>
      </c>
      <c r="O58" s="38">
        <v>0.7</v>
      </c>
      <c r="P58" s="38">
        <v>2.2000000000000002</v>
      </c>
      <c r="Q58" s="38">
        <v>9.3000000000000007</v>
      </c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>
        <v>19.2</v>
      </c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</row>
    <row r="59" spans="1:54">
      <c r="A59" s="38" t="s">
        <v>3477</v>
      </c>
      <c r="B59" s="38" t="s">
        <v>3455</v>
      </c>
      <c r="C59" s="38"/>
      <c r="D59" s="38" t="s">
        <v>3399</v>
      </c>
      <c r="E59" s="38"/>
      <c r="F59" s="38"/>
      <c r="G59" s="38"/>
      <c r="H59" s="38" t="s">
        <v>3400</v>
      </c>
      <c r="I59" s="38" t="s">
        <v>3425</v>
      </c>
      <c r="J59" s="38"/>
      <c r="K59" s="38">
        <v>465</v>
      </c>
      <c r="L59" s="38">
        <v>9.3000000000000007</v>
      </c>
      <c r="M59" s="38"/>
      <c r="N59" s="38">
        <v>71.2</v>
      </c>
      <c r="O59" s="38">
        <v>0.2</v>
      </c>
      <c r="P59" s="38">
        <v>3</v>
      </c>
      <c r="Q59" s="38">
        <v>11.4</v>
      </c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>
        <v>0.19</v>
      </c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</row>
    <row r="60" spans="1:54">
      <c r="A60" s="38" t="s">
        <v>3478</v>
      </c>
      <c r="B60" s="38" t="s">
        <v>3463</v>
      </c>
      <c r="C60" s="38"/>
      <c r="D60" s="38" t="s">
        <v>3399</v>
      </c>
      <c r="E60" s="38"/>
      <c r="F60" s="38"/>
      <c r="G60" s="38"/>
      <c r="H60" s="38" t="s">
        <v>3400</v>
      </c>
      <c r="I60" s="38" t="s">
        <v>3425</v>
      </c>
      <c r="J60" s="38"/>
      <c r="K60" s="38"/>
      <c r="L60" s="38">
        <v>6</v>
      </c>
      <c r="M60" s="38"/>
      <c r="N60" s="38">
        <v>69</v>
      </c>
      <c r="O60" s="38">
        <v>0.2</v>
      </c>
      <c r="P60" s="38">
        <v>3.3</v>
      </c>
      <c r="Q60" s="38">
        <v>20</v>
      </c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>
        <v>12</v>
      </c>
      <c r="AQ60" s="38">
        <v>24</v>
      </c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</row>
    <row r="61" spans="1:54">
      <c r="A61" s="38" t="s">
        <v>3479</v>
      </c>
      <c r="B61" s="38" t="s">
        <v>3471</v>
      </c>
      <c r="C61" s="38"/>
      <c r="D61" s="38" t="s">
        <v>3399</v>
      </c>
      <c r="E61" s="38"/>
      <c r="F61" s="38"/>
      <c r="G61" s="38"/>
      <c r="H61" s="38" t="s">
        <v>3400</v>
      </c>
      <c r="I61" s="38" t="s">
        <v>3425</v>
      </c>
      <c r="J61" s="38"/>
      <c r="K61" s="38">
        <v>538</v>
      </c>
      <c r="L61" s="38">
        <v>27</v>
      </c>
      <c r="M61" s="38"/>
      <c r="N61" s="38">
        <v>53</v>
      </c>
      <c r="O61" s="38">
        <v>0.4</v>
      </c>
      <c r="P61" s="38">
        <v>2.6</v>
      </c>
      <c r="Q61" s="38">
        <v>10</v>
      </c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>
        <v>7.2</v>
      </c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</row>
    <row r="62" spans="1:54">
      <c r="A62" s="38" t="s">
        <v>3480</v>
      </c>
      <c r="B62" s="38" t="s">
        <v>3471</v>
      </c>
      <c r="C62" s="38"/>
      <c r="D62" s="38" t="s">
        <v>3399</v>
      </c>
      <c r="E62" s="38" t="s">
        <v>3481</v>
      </c>
      <c r="F62" s="38"/>
      <c r="G62" s="38"/>
      <c r="H62" s="38" t="s">
        <v>3400</v>
      </c>
      <c r="I62" s="38" t="s">
        <v>3482</v>
      </c>
      <c r="J62" s="38"/>
      <c r="K62" s="38">
        <v>400</v>
      </c>
      <c r="L62" s="38">
        <v>4.2</v>
      </c>
      <c r="M62" s="38"/>
      <c r="N62" s="38">
        <v>69.400000000000006</v>
      </c>
      <c r="O62" s="38">
        <v>0.21</v>
      </c>
      <c r="P62" s="38"/>
      <c r="Q62" s="38"/>
      <c r="R62" s="38">
        <v>7.7</v>
      </c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>
        <v>47</v>
      </c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</row>
    <row r="63" spans="1:54">
      <c r="A63" s="38" t="s">
        <v>3483</v>
      </c>
      <c r="B63" s="38" t="s">
        <v>3471</v>
      </c>
      <c r="C63" s="38"/>
      <c r="D63" s="38" t="s">
        <v>3399</v>
      </c>
      <c r="E63" s="38" t="s">
        <v>3481</v>
      </c>
      <c r="F63" s="38"/>
      <c r="G63" s="38"/>
      <c r="H63" s="38" t="s">
        <v>3400</v>
      </c>
      <c r="I63" s="38" t="s">
        <v>3482</v>
      </c>
      <c r="J63" s="38"/>
      <c r="K63" s="38">
        <v>550</v>
      </c>
      <c r="L63" s="38">
        <v>4.4000000000000004</v>
      </c>
      <c r="M63" s="38"/>
      <c r="N63" s="38">
        <v>79.2</v>
      </c>
      <c r="O63" s="38">
        <v>0.23</v>
      </c>
      <c r="P63" s="38"/>
      <c r="Q63" s="38"/>
      <c r="R63" s="38">
        <v>9.5</v>
      </c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>
        <v>39</v>
      </c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</row>
    <row r="64" spans="1:54">
      <c r="A64" s="38" t="s">
        <v>3484</v>
      </c>
      <c r="B64" s="38" t="s">
        <v>3471</v>
      </c>
      <c r="C64" s="38"/>
      <c r="D64" s="38" t="s">
        <v>3399</v>
      </c>
      <c r="E64" s="38" t="s">
        <v>3481</v>
      </c>
      <c r="F64" s="38"/>
      <c r="G64" s="38"/>
      <c r="H64" s="38" t="s">
        <v>3400</v>
      </c>
      <c r="I64" s="38" t="s">
        <v>3482</v>
      </c>
      <c r="J64" s="38"/>
      <c r="K64" s="38">
        <v>400</v>
      </c>
      <c r="L64" s="38">
        <v>3.2</v>
      </c>
      <c r="M64" s="38"/>
      <c r="N64" s="38">
        <v>69.7</v>
      </c>
      <c r="O64" s="38">
        <v>0.21</v>
      </c>
      <c r="P64" s="38"/>
      <c r="Q64" s="38"/>
      <c r="R64" s="38">
        <v>6.9</v>
      </c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>
        <v>39</v>
      </c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</row>
    <row r="65" spans="1:54">
      <c r="A65" s="38" t="s">
        <v>3485</v>
      </c>
      <c r="B65" s="38" t="s">
        <v>3471</v>
      </c>
      <c r="C65" s="38"/>
      <c r="D65" s="38" t="s">
        <v>3399</v>
      </c>
      <c r="E65" s="38"/>
      <c r="F65" s="38"/>
      <c r="G65" s="38"/>
      <c r="H65" s="38" t="s">
        <v>3400</v>
      </c>
      <c r="I65" s="38" t="s">
        <v>3482</v>
      </c>
      <c r="J65" s="38"/>
      <c r="K65" s="38">
        <v>550</v>
      </c>
      <c r="L65" s="38">
        <v>4.4000000000000004</v>
      </c>
      <c r="M65" s="38"/>
      <c r="N65" s="38">
        <v>83.6</v>
      </c>
      <c r="O65" s="38">
        <v>0.26</v>
      </c>
      <c r="P65" s="38"/>
      <c r="Q65" s="38"/>
      <c r="R65" s="38">
        <v>8.8000000000000007</v>
      </c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>
        <v>35</v>
      </c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</row>
    <row r="66" spans="1:54">
      <c r="A66" s="38" t="s">
        <v>3486</v>
      </c>
      <c r="B66" s="38" t="s">
        <v>3487</v>
      </c>
      <c r="C66" s="38"/>
      <c r="D66" s="38" t="s">
        <v>3399</v>
      </c>
      <c r="E66" s="38"/>
      <c r="F66" s="38"/>
      <c r="G66" s="38"/>
      <c r="H66" s="38" t="s">
        <v>3400</v>
      </c>
      <c r="I66" s="38" t="s">
        <v>3447</v>
      </c>
      <c r="J66" s="38"/>
      <c r="K66" s="38">
        <v>750</v>
      </c>
      <c r="L66" s="38">
        <v>9.59</v>
      </c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>
        <v>14.48</v>
      </c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</row>
    <row r="67" spans="1:54">
      <c r="A67" s="38" t="s">
        <v>3488</v>
      </c>
      <c r="B67" s="38" t="s">
        <v>3487</v>
      </c>
      <c r="C67" s="38"/>
      <c r="D67" s="38" t="s">
        <v>3399</v>
      </c>
      <c r="E67" s="38"/>
      <c r="F67" s="38"/>
      <c r="G67" s="38"/>
      <c r="H67" s="38" t="s">
        <v>3400</v>
      </c>
      <c r="I67" s="38" t="s">
        <v>3489</v>
      </c>
      <c r="J67" s="38"/>
      <c r="K67" s="38">
        <v>150</v>
      </c>
      <c r="L67" s="38">
        <v>0.45</v>
      </c>
      <c r="M67" s="38"/>
      <c r="N67" s="38">
        <v>50.6</v>
      </c>
      <c r="O67" s="38">
        <v>1.75</v>
      </c>
      <c r="P67" s="38">
        <v>6.2</v>
      </c>
      <c r="Q67" s="38">
        <v>41</v>
      </c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>
        <v>22.8</v>
      </c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</row>
    <row r="68" spans="1:54">
      <c r="A68" s="38" t="s">
        <v>3490</v>
      </c>
      <c r="B68" s="38" t="s">
        <v>3487</v>
      </c>
      <c r="C68" s="38"/>
      <c r="D68" s="38" t="s">
        <v>3399</v>
      </c>
      <c r="E68" s="38"/>
      <c r="F68" s="38"/>
      <c r="G68" s="38"/>
      <c r="H68" s="38" t="s">
        <v>3400</v>
      </c>
      <c r="I68" s="38" t="s">
        <v>3489</v>
      </c>
      <c r="J68" s="38"/>
      <c r="K68" s="38">
        <v>200</v>
      </c>
      <c r="L68" s="38">
        <v>0.3</v>
      </c>
      <c r="M68" s="38"/>
      <c r="N68" s="38">
        <v>57.9</v>
      </c>
      <c r="O68" s="38">
        <v>1.88</v>
      </c>
      <c r="P68" s="38">
        <v>5.53</v>
      </c>
      <c r="Q68" s="38">
        <v>34.4</v>
      </c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>
        <v>7.75</v>
      </c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</row>
    <row r="69" spans="1:54">
      <c r="A69" s="38" t="s">
        <v>3491</v>
      </c>
      <c r="B69" s="38" t="s">
        <v>3487</v>
      </c>
      <c r="C69" s="38"/>
      <c r="D69" s="38" t="s">
        <v>3399</v>
      </c>
      <c r="E69" s="38"/>
      <c r="F69" s="38"/>
      <c r="G69" s="38"/>
      <c r="H69" s="38" t="s">
        <v>3400</v>
      </c>
      <c r="I69" s="38" t="s">
        <v>3489</v>
      </c>
      <c r="J69" s="38"/>
      <c r="K69" s="38">
        <v>250</v>
      </c>
      <c r="L69" s="38">
        <v>1.05</v>
      </c>
      <c r="M69" s="38"/>
      <c r="N69" s="38">
        <v>65.099999999999994</v>
      </c>
      <c r="O69" s="38">
        <v>2.2200000000000002</v>
      </c>
      <c r="P69" s="38">
        <v>5.12</v>
      </c>
      <c r="Q69" s="38">
        <v>26.5</v>
      </c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>
        <v>33.299999999999997</v>
      </c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</row>
    <row r="70" spans="1:54">
      <c r="A70" s="38" t="s">
        <v>3492</v>
      </c>
      <c r="B70" s="38" t="s">
        <v>3487</v>
      </c>
      <c r="C70" s="38"/>
      <c r="D70" s="38" t="s">
        <v>3399</v>
      </c>
      <c r="E70" s="38"/>
      <c r="F70" s="38"/>
      <c r="G70" s="38"/>
      <c r="H70" s="38" t="s">
        <v>3400</v>
      </c>
      <c r="I70" s="38" t="s">
        <v>3489</v>
      </c>
      <c r="J70" s="38"/>
      <c r="K70" s="38">
        <v>300</v>
      </c>
      <c r="L70" s="38">
        <v>1.57</v>
      </c>
      <c r="M70" s="38"/>
      <c r="N70" s="38">
        <v>69.3</v>
      </c>
      <c r="O70" s="38">
        <v>2.36</v>
      </c>
      <c r="P70" s="38">
        <v>4.51</v>
      </c>
      <c r="Q70" s="38">
        <v>22.2</v>
      </c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>
        <v>32.299999999999997</v>
      </c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</row>
    <row r="71" spans="1:54">
      <c r="A71" s="38" t="s">
        <v>3493</v>
      </c>
      <c r="B71" s="38" t="s">
        <v>3487</v>
      </c>
      <c r="C71" s="38"/>
      <c r="D71" s="38" t="s">
        <v>3399</v>
      </c>
      <c r="E71" s="38"/>
      <c r="F71" s="38"/>
      <c r="G71" s="38"/>
      <c r="H71" s="38" t="s">
        <v>3400</v>
      </c>
      <c r="I71" s="38" t="s">
        <v>3489</v>
      </c>
      <c r="J71" s="38"/>
      <c r="K71" s="38">
        <v>350</v>
      </c>
      <c r="L71" s="38">
        <v>2</v>
      </c>
      <c r="M71" s="38"/>
      <c r="N71" s="38">
        <v>73.2</v>
      </c>
      <c r="O71" s="38">
        <v>2.2999999999999998</v>
      </c>
      <c r="P71" s="38">
        <v>4.1900000000000004</v>
      </c>
      <c r="Q71" s="38">
        <v>18.3</v>
      </c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>
        <v>51</v>
      </c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</row>
    <row r="72" spans="1:54">
      <c r="A72" s="38" t="s">
        <v>3494</v>
      </c>
      <c r="B72" s="38" t="s">
        <v>3487</v>
      </c>
      <c r="C72" s="38"/>
      <c r="D72" s="38" t="s">
        <v>3399</v>
      </c>
      <c r="E72" s="38"/>
      <c r="F72" s="38"/>
      <c r="G72" s="38"/>
      <c r="H72" s="38" t="s">
        <v>3400</v>
      </c>
      <c r="I72" s="38" t="s">
        <v>3489</v>
      </c>
      <c r="J72" s="38"/>
      <c r="K72" s="38">
        <v>400</v>
      </c>
      <c r="L72" s="38">
        <v>2.1</v>
      </c>
      <c r="M72" s="38"/>
      <c r="N72" s="38">
        <v>71.7</v>
      </c>
      <c r="O72" s="38">
        <v>1.92</v>
      </c>
      <c r="P72" s="38">
        <v>3.48</v>
      </c>
      <c r="Q72" s="38">
        <v>20.8</v>
      </c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>
        <v>34</v>
      </c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</row>
    <row r="73" spans="1:54">
      <c r="A73" s="38" t="s">
        <v>3495</v>
      </c>
      <c r="B73" s="38" t="s">
        <v>3487</v>
      </c>
      <c r="C73" s="38"/>
      <c r="D73" s="38" t="s">
        <v>3399</v>
      </c>
      <c r="E73" s="38"/>
      <c r="F73" s="38"/>
      <c r="G73" s="38"/>
      <c r="H73" s="38" t="s">
        <v>3400</v>
      </c>
      <c r="I73" s="38" t="s">
        <v>3489</v>
      </c>
      <c r="J73" s="38"/>
      <c r="K73" s="38">
        <v>500</v>
      </c>
      <c r="L73" s="38">
        <v>4.2699999999999996</v>
      </c>
      <c r="M73" s="38"/>
      <c r="N73" s="38">
        <v>71.400000000000006</v>
      </c>
      <c r="O73" s="38">
        <v>1.83</v>
      </c>
      <c r="P73" s="38">
        <v>2.25</v>
      </c>
      <c r="Q73" s="38">
        <v>20.3</v>
      </c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>
        <v>42.4</v>
      </c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</row>
    <row r="74" spans="1:54">
      <c r="A74" s="38" t="s">
        <v>3496</v>
      </c>
      <c r="B74" s="38" t="s">
        <v>3487</v>
      </c>
      <c r="C74" s="38"/>
      <c r="D74" s="38" t="s">
        <v>3399</v>
      </c>
      <c r="E74" s="38"/>
      <c r="F74" s="38"/>
      <c r="G74" s="38"/>
      <c r="H74" s="38" t="s">
        <v>3400</v>
      </c>
      <c r="I74" s="38" t="s">
        <v>3489</v>
      </c>
      <c r="J74" s="38"/>
      <c r="K74" s="38">
        <v>600</v>
      </c>
      <c r="L74" s="38">
        <v>4.04</v>
      </c>
      <c r="M74" s="38"/>
      <c r="N74" s="38">
        <v>77.8</v>
      </c>
      <c r="O74" s="38">
        <v>1.8</v>
      </c>
      <c r="P74" s="38">
        <v>1.97</v>
      </c>
      <c r="Q74" s="38">
        <v>14.4</v>
      </c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>
        <v>7.78</v>
      </c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</row>
    <row r="75" spans="1:54">
      <c r="A75" s="38" t="s">
        <v>3497</v>
      </c>
      <c r="B75" s="38" t="s">
        <v>3487</v>
      </c>
      <c r="C75" s="38"/>
      <c r="D75" s="38" t="s">
        <v>3399</v>
      </c>
      <c r="E75" s="38"/>
      <c r="F75" s="38"/>
      <c r="G75" s="38"/>
      <c r="H75" s="38" t="s">
        <v>3400</v>
      </c>
      <c r="I75" s="38" t="s">
        <v>3489</v>
      </c>
      <c r="J75" s="38"/>
      <c r="K75" s="38">
        <v>700</v>
      </c>
      <c r="L75" s="38">
        <v>2.79</v>
      </c>
      <c r="M75" s="38"/>
      <c r="N75" s="38">
        <v>71.599999999999994</v>
      </c>
      <c r="O75" s="38">
        <v>1.72</v>
      </c>
      <c r="P75" s="38">
        <v>1.76</v>
      </c>
      <c r="Q75" s="38">
        <v>22.2</v>
      </c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>
        <v>201</v>
      </c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</row>
    <row r="76" spans="1:54">
      <c r="A76" s="38" t="s">
        <v>3498</v>
      </c>
      <c r="B76" s="38" t="s">
        <v>3455</v>
      </c>
      <c r="C76" s="38"/>
      <c r="D76" s="38" t="s">
        <v>3399</v>
      </c>
      <c r="E76" s="38"/>
      <c r="F76" s="38"/>
      <c r="G76" s="38"/>
      <c r="H76" s="38" t="s">
        <v>3400</v>
      </c>
      <c r="I76" s="38" t="s">
        <v>3499</v>
      </c>
      <c r="J76" s="38"/>
      <c r="K76" s="38">
        <v>700</v>
      </c>
      <c r="L76" s="38">
        <v>6.4</v>
      </c>
      <c r="M76" s="38"/>
      <c r="N76" s="38">
        <v>58.1</v>
      </c>
      <c r="O76" s="38">
        <v>0.41</v>
      </c>
      <c r="P76" s="38">
        <v>4.16</v>
      </c>
      <c r="Q76" s="38">
        <v>31.66</v>
      </c>
      <c r="R76" s="38">
        <v>6.8</v>
      </c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>
        <v>66.959999999999994</v>
      </c>
      <c r="AO76" s="38"/>
      <c r="AP76" s="38"/>
      <c r="AQ76" s="38">
        <v>2.0299999999999998</v>
      </c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</row>
    <row r="77" spans="1:54">
      <c r="A77" s="38" t="s">
        <v>3500</v>
      </c>
      <c r="B77" s="38" t="s">
        <v>1700</v>
      </c>
      <c r="C77" s="38"/>
      <c r="D77" s="38" t="s">
        <v>3399</v>
      </c>
      <c r="E77" s="38"/>
      <c r="F77" s="38"/>
      <c r="G77" s="38"/>
      <c r="H77" s="38" t="s">
        <v>3400</v>
      </c>
      <c r="I77" s="38" t="s">
        <v>3499</v>
      </c>
      <c r="J77" s="38"/>
      <c r="K77" s="38">
        <v>700</v>
      </c>
      <c r="L77" s="38">
        <v>64</v>
      </c>
      <c r="M77" s="38"/>
      <c r="N77" s="38">
        <v>15.6</v>
      </c>
      <c r="O77" s="38">
        <v>0.78</v>
      </c>
      <c r="P77" s="38">
        <v>0.83</v>
      </c>
      <c r="Q77" s="38">
        <v>4.37</v>
      </c>
      <c r="R77" s="38">
        <v>10.9</v>
      </c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>
        <v>24.45</v>
      </c>
      <c r="AO77" s="38"/>
      <c r="AP77" s="38"/>
      <c r="AQ77" s="38">
        <v>21.77</v>
      </c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</row>
    <row r="78" spans="1:54">
      <c r="A78" s="38" t="s">
        <v>3501</v>
      </c>
      <c r="B78" s="38" t="s">
        <v>3449</v>
      </c>
      <c r="C78" s="38"/>
      <c r="D78" s="38" t="s">
        <v>3399</v>
      </c>
      <c r="E78" s="38"/>
      <c r="F78" s="38"/>
      <c r="G78" s="38"/>
      <c r="H78" s="38" t="s">
        <v>3400</v>
      </c>
      <c r="I78" s="38" t="s">
        <v>3499</v>
      </c>
      <c r="J78" s="38"/>
      <c r="K78" s="38">
        <v>900</v>
      </c>
      <c r="L78" s="38">
        <v>40.4</v>
      </c>
      <c r="M78" s="38"/>
      <c r="N78" s="38">
        <v>55.3</v>
      </c>
      <c r="O78" s="38">
        <v>0.47</v>
      </c>
      <c r="P78" s="38">
        <v>0.89</v>
      </c>
      <c r="Q78" s="38">
        <v>1.55</v>
      </c>
      <c r="R78" s="38">
        <v>9.6999999999999993</v>
      </c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>
        <v>33.4</v>
      </c>
      <c r="AO78" s="38"/>
      <c r="AP78" s="38"/>
      <c r="AQ78" s="38">
        <v>227.1</v>
      </c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</row>
    <row r="79" spans="1:54">
      <c r="A79" s="38" t="s">
        <v>3502</v>
      </c>
      <c r="B79" s="38" t="s">
        <v>3455</v>
      </c>
      <c r="C79" s="38"/>
      <c r="D79" s="38" t="s">
        <v>3399</v>
      </c>
      <c r="E79" s="38"/>
      <c r="F79" s="38"/>
      <c r="G79" s="38"/>
      <c r="H79" s="38" t="s">
        <v>3400</v>
      </c>
      <c r="I79" s="38" t="s">
        <v>3499</v>
      </c>
      <c r="J79" s="38"/>
      <c r="K79" s="38">
        <v>650</v>
      </c>
      <c r="L79" s="38">
        <v>2.4</v>
      </c>
      <c r="M79" s="38"/>
      <c r="N79" s="38">
        <v>68.2</v>
      </c>
      <c r="O79" s="38">
        <v>0.51</v>
      </c>
      <c r="P79" s="38">
        <v>3.66</v>
      </c>
      <c r="Q79" s="38">
        <v>26.82</v>
      </c>
      <c r="R79" s="38">
        <v>7.5</v>
      </c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>
        <v>26.21</v>
      </c>
      <c r="AO79" s="38"/>
      <c r="AP79" s="38"/>
      <c r="AQ79" s="38">
        <v>25.15</v>
      </c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</row>
    <row r="80" spans="1:54">
      <c r="A80" s="38" t="s">
        <v>3503</v>
      </c>
      <c r="B80" s="38" t="s">
        <v>3455</v>
      </c>
      <c r="C80" s="38"/>
      <c r="D80" s="38" t="s">
        <v>3399</v>
      </c>
      <c r="E80" s="38"/>
      <c r="F80" s="38"/>
      <c r="G80" s="38"/>
      <c r="H80" s="38" t="s">
        <v>3400</v>
      </c>
      <c r="I80" s="38" t="s">
        <v>3499</v>
      </c>
      <c r="J80" s="38"/>
      <c r="K80" s="38">
        <v>510</v>
      </c>
      <c r="L80" s="38">
        <v>3</v>
      </c>
      <c r="M80" s="38"/>
      <c r="N80" s="38">
        <v>83.9</v>
      </c>
      <c r="O80" s="38">
        <v>0.36</v>
      </c>
      <c r="P80" s="38">
        <v>1.88</v>
      </c>
      <c r="Q80" s="38">
        <v>19.82</v>
      </c>
      <c r="R80" s="38">
        <v>7.3</v>
      </c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>
        <v>12</v>
      </c>
      <c r="AO80" s="38"/>
      <c r="AP80" s="38"/>
      <c r="AQ80" s="38">
        <v>165.8</v>
      </c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</row>
    <row r="81" spans="1:54">
      <c r="A81" s="38" t="s">
        <v>3504</v>
      </c>
      <c r="B81" s="38" t="s">
        <v>3455</v>
      </c>
      <c r="C81" s="38"/>
      <c r="D81" s="38" t="s">
        <v>3399</v>
      </c>
      <c r="E81" s="38"/>
      <c r="F81" s="38"/>
      <c r="G81" s="38"/>
      <c r="H81" s="38" t="s">
        <v>3400</v>
      </c>
      <c r="I81" s="38" t="s">
        <v>3499</v>
      </c>
      <c r="J81" s="38"/>
      <c r="K81" s="38">
        <v>410</v>
      </c>
      <c r="L81" s="38">
        <v>2.6</v>
      </c>
      <c r="M81" s="38"/>
      <c r="N81" s="38">
        <v>65.7</v>
      </c>
      <c r="O81" s="38">
        <v>0.21</v>
      </c>
      <c r="P81" s="38">
        <v>4.38</v>
      </c>
      <c r="Q81" s="38">
        <v>23.52</v>
      </c>
      <c r="R81" s="38">
        <v>7.1</v>
      </c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>
        <v>10</v>
      </c>
      <c r="AO81" s="38"/>
      <c r="AP81" s="38"/>
      <c r="AQ81" s="38">
        <v>2.82</v>
      </c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</row>
    <row r="82" spans="1:54">
      <c r="A82" s="38" t="s">
        <v>3505</v>
      </c>
      <c r="B82" s="38" t="s">
        <v>3455</v>
      </c>
      <c r="C82" s="38"/>
      <c r="D82" s="38" t="s">
        <v>3399</v>
      </c>
      <c r="E82" s="38"/>
      <c r="F82" s="38"/>
      <c r="G82" s="38"/>
      <c r="H82" s="38" t="s">
        <v>3400</v>
      </c>
      <c r="I82" s="38" t="s">
        <v>3499</v>
      </c>
      <c r="J82" s="38"/>
      <c r="K82" s="38">
        <v>600</v>
      </c>
      <c r="L82" s="38">
        <v>17</v>
      </c>
      <c r="M82" s="38"/>
      <c r="N82" s="38">
        <v>71.2</v>
      </c>
      <c r="O82" s="38">
        <v>0.91</v>
      </c>
      <c r="P82" s="38">
        <v>2.88</v>
      </c>
      <c r="Q82" s="38">
        <v>11.61</v>
      </c>
      <c r="R82" s="38">
        <v>7.9</v>
      </c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>
        <v>3.18</v>
      </c>
      <c r="AO82" s="38"/>
      <c r="AP82" s="38"/>
      <c r="AQ82" s="38">
        <v>4.97</v>
      </c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</row>
    <row r="83" spans="1:54">
      <c r="A83" s="38" t="s">
        <v>3506</v>
      </c>
      <c r="B83" s="38" t="s">
        <v>3471</v>
      </c>
      <c r="C83" s="38"/>
      <c r="D83" s="38" t="s">
        <v>3399</v>
      </c>
      <c r="E83" s="38"/>
      <c r="F83" s="38"/>
      <c r="G83" s="38"/>
      <c r="H83" s="38" t="s">
        <v>3400</v>
      </c>
      <c r="I83" s="38" t="s">
        <v>3499</v>
      </c>
      <c r="J83" s="38"/>
      <c r="K83" s="38">
        <v>520</v>
      </c>
      <c r="L83" s="38">
        <v>15.5</v>
      </c>
      <c r="M83" s="38"/>
      <c r="N83" s="38">
        <v>53.3</v>
      </c>
      <c r="O83" s="38">
        <v>1.96</v>
      </c>
      <c r="P83" s="38">
        <v>3.7</v>
      </c>
      <c r="Q83" s="38">
        <v>24.3</v>
      </c>
      <c r="R83" s="38">
        <v>6.8</v>
      </c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>
        <v>44.51</v>
      </c>
      <c r="AO83" s="38"/>
      <c r="AP83" s="38"/>
      <c r="AQ83" s="38">
        <v>95.9</v>
      </c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</row>
    <row r="84" spans="1:54">
      <c r="A84" s="38" t="s">
        <v>3507</v>
      </c>
      <c r="B84" s="38" t="s">
        <v>3471</v>
      </c>
      <c r="C84" s="38"/>
      <c r="D84" s="38" t="s">
        <v>3399</v>
      </c>
      <c r="E84" s="38"/>
      <c r="F84" s="38"/>
      <c r="G84" s="38"/>
      <c r="H84" s="38" t="s">
        <v>3400</v>
      </c>
      <c r="I84" s="38" t="s">
        <v>3499</v>
      </c>
      <c r="J84" s="38"/>
      <c r="K84" s="38">
        <v>520</v>
      </c>
      <c r="L84" s="38">
        <v>5</v>
      </c>
      <c r="M84" s="38"/>
      <c r="N84" s="38">
        <v>87.3</v>
      </c>
      <c r="O84" s="38">
        <v>0.59</v>
      </c>
      <c r="P84" s="38">
        <v>2.15</v>
      </c>
      <c r="Q84" s="38">
        <v>7.4</v>
      </c>
      <c r="R84" s="38">
        <v>9.1999999999999993</v>
      </c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>
        <v>9.1300000000000008</v>
      </c>
      <c r="AO84" s="38"/>
      <c r="AP84" s="38"/>
      <c r="AQ84" s="38">
        <v>164.1</v>
      </c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</row>
    <row r="85" spans="1:54">
      <c r="A85" s="38" t="s">
        <v>1708</v>
      </c>
      <c r="B85" s="38" t="s">
        <v>3471</v>
      </c>
      <c r="C85" s="38"/>
      <c r="D85" s="38" t="s">
        <v>3399</v>
      </c>
      <c r="E85" s="38"/>
      <c r="F85" s="38"/>
      <c r="G85" s="38"/>
      <c r="H85" s="38" t="s">
        <v>3400</v>
      </c>
      <c r="I85" s="38" t="s">
        <v>3499</v>
      </c>
      <c r="J85" s="38"/>
      <c r="K85" s="38"/>
      <c r="L85" s="38">
        <v>2.8</v>
      </c>
      <c r="M85" s="38"/>
      <c r="N85" s="38">
        <v>88</v>
      </c>
      <c r="O85" s="38">
        <v>0.44</v>
      </c>
      <c r="P85" s="38">
        <v>2.5499999999999998</v>
      </c>
      <c r="Q85" s="38">
        <v>14.81</v>
      </c>
      <c r="R85" s="38">
        <v>9.5</v>
      </c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>
        <v>14.87</v>
      </c>
      <c r="AO85" s="38"/>
      <c r="AP85" s="38"/>
      <c r="AQ85" s="38">
        <v>153.1</v>
      </c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</row>
    <row r="86" spans="1:54">
      <c r="A86" s="38" t="s">
        <v>3508</v>
      </c>
      <c r="B86" s="38" t="s">
        <v>3471</v>
      </c>
      <c r="C86" s="38"/>
      <c r="D86" s="38" t="s">
        <v>3399</v>
      </c>
      <c r="E86" s="38"/>
      <c r="F86" s="38"/>
      <c r="G86" s="38"/>
      <c r="H86" s="38" t="s">
        <v>3400</v>
      </c>
      <c r="I86" s="38" t="s">
        <v>3499</v>
      </c>
      <c r="J86" s="38"/>
      <c r="K86" s="38"/>
      <c r="L86" s="38">
        <v>5.5</v>
      </c>
      <c r="M86" s="38"/>
      <c r="N86" s="38">
        <v>85.4</v>
      </c>
      <c r="O86" s="38">
        <v>0.55000000000000004</v>
      </c>
      <c r="P86" s="38">
        <v>2.37</v>
      </c>
      <c r="Q86" s="38">
        <v>8.85</v>
      </c>
      <c r="R86" s="38">
        <v>8.8000000000000007</v>
      </c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>
        <v>3.61</v>
      </c>
      <c r="AO86" s="38"/>
      <c r="AP86" s="38"/>
      <c r="AQ86" s="38">
        <v>154.4</v>
      </c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</row>
    <row r="87" spans="1:54">
      <c r="A87" s="38" t="s">
        <v>3509</v>
      </c>
      <c r="B87" s="38" t="s">
        <v>3471</v>
      </c>
      <c r="C87" s="38"/>
      <c r="D87" s="38" t="s">
        <v>3399</v>
      </c>
      <c r="E87" s="38"/>
      <c r="F87" s="38"/>
      <c r="G87" s="38"/>
      <c r="H87" s="38" t="s">
        <v>3400</v>
      </c>
      <c r="I87" s="38" t="s">
        <v>3499</v>
      </c>
      <c r="J87" s="38"/>
      <c r="K87" s="38"/>
      <c r="L87" s="38">
        <v>4.2</v>
      </c>
      <c r="M87" s="38"/>
      <c r="N87" s="38">
        <v>82.5</v>
      </c>
      <c r="O87" s="38">
        <v>0.49</v>
      </c>
      <c r="P87" s="38">
        <v>1.64</v>
      </c>
      <c r="Q87" s="38">
        <v>5.61</v>
      </c>
      <c r="R87" s="38">
        <v>9.5</v>
      </c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>
        <v>16.47</v>
      </c>
      <c r="AO87" s="38"/>
      <c r="AP87" s="38"/>
      <c r="AQ87" s="38">
        <v>300</v>
      </c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</row>
    <row r="88" spans="1:54">
      <c r="A88" s="38" t="s">
        <v>3510</v>
      </c>
      <c r="B88" s="38" t="s">
        <v>1848</v>
      </c>
      <c r="C88" s="38"/>
      <c r="D88" s="38" t="s">
        <v>3399</v>
      </c>
      <c r="E88" s="38"/>
      <c r="F88" s="38"/>
      <c r="G88" s="38"/>
      <c r="H88" s="38" t="s">
        <v>3400</v>
      </c>
      <c r="I88" s="38" t="s">
        <v>3511</v>
      </c>
      <c r="J88" s="38"/>
      <c r="K88" s="38">
        <v>500</v>
      </c>
      <c r="L88" s="38">
        <v>15.2</v>
      </c>
      <c r="M88" s="38"/>
      <c r="N88" s="38">
        <v>37.799999999999997</v>
      </c>
      <c r="O88" s="38"/>
      <c r="P88" s="38"/>
      <c r="Q88" s="38"/>
      <c r="R88" s="38"/>
      <c r="S88" s="38">
        <v>3.8</v>
      </c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>
        <v>28</v>
      </c>
      <c r="AJ88" s="38"/>
      <c r="AK88" s="38"/>
      <c r="AL88" s="38">
        <v>1527</v>
      </c>
      <c r="AM88" s="38"/>
      <c r="AN88" s="38"/>
      <c r="AO88" s="38"/>
      <c r="AP88" s="38">
        <v>47</v>
      </c>
      <c r="AQ88" s="38"/>
      <c r="AR88" s="38"/>
      <c r="AS88" s="38"/>
      <c r="AT88" s="38">
        <v>564</v>
      </c>
      <c r="AU88" s="38">
        <v>15651</v>
      </c>
      <c r="AV88" s="38">
        <v>11715</v>
      </c>
      <c r="AW88" s="38">
        <v>37789</v>
      </c>
      <c r="AX88" s="38"/>
      <c r="AY88" s="38">
        <v>699</v>
      </c>
      <c r="AZ88" s="38"/>
      <c r="BA88" s="38"/>
      <c r="BB88" s="38"/>
    </row>
    <row r="89" spans="1:54">
      <c r="A89" s="38" t="s">
        <v>3512</v>
      </c>
      <c r="B89" s="38" t="s">
        <v>3409</v>
      </c>
      <c r="C89" s="38"/>
      <c r="D89" s="38" t="s">
        <v>3399</v>
      </c>
      <c r="E89" s="38"/>
      <c r="F89" s="38"/>
      <c r="G89" s="38"/>
      <c r="H89" s="38" t="s">
        <v>3400</v>
      </c>
      <c r="I89" s="38" t="s">
        <v>3511</v>
      </c>
      <c r="J89" s="38"/>
      <c r="K89" s="38">
        <v>500</v>
      </c>
      <c r="L89" s="38">
        <v>41.2</v>
      </c>
      <c r="M89" s="38"/>
      <c r="N89" s="38">
        <v>23.7</v>
      </c>
      <c r="O89" s="38"/>
      <c r="P89" s="38"/>
      <c r="Q89" s="38"/>
      <c r="R89" s="38"/>
      <c r="S89" s="38">
        <v>0.5</v>
      </c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>
        <v>71</v>
      </c>
      <c r="AJ89" s="38"/>
      <c r="AK89" s="38"/>
      <c r="AL89" s="38">
        <v>532</v>
      </c>
      <c r="AM89" s="38"/>
      <c r="AN89" s="38"/>
      <c r="AO89" s="38"/>
      <c r="AP89" s="38">
        <v>35.1</v>
      </c>
      <c r="AQ89" s="38"/>
      <c r="AR89" s="38"/>
      <c r="AS89" s="38"/>
      <c r="AT89" s="38">
        <v>1161</v>
      </c>
      <c r="AU89" s="38">
        <v>9712</v>
      </c>
      <c r="AV89" s="38">
        <v>2953</v>
      </c>
      <c r="AW89" s="38">
        <v>5354</v>
      </c>
      <c r="AX89" s="38"/>
      <c r="AY89" s="38">
        <v>516</v>
      </c>
      <c r="AZ89" s="38"/>
      <c r="BA89" s="38"/>
      <c r="BB89" s="38"/>
    </row>
    <row r="90" spans="1:54">
      <c r="A90" s="38" t="s">
        <v>3513</v>
      </c>
      <c r="B90" s="38" t="s">
        <v>1700</v>
      </c>
      <c r="C90" s="38"/>
      <c r="D90" s="38" t="s">
        <v>3399</v>
      </c>
      <c r="E90" s="38"/>
      <c r="F90" s="38"/>
      <c r="G90" s="38"/>
      <c r="H90" s="38" t="s">
        <v>3400</v>
      </c>
      <c r="I90" s="38" t="s">
        <v>3511</v>
      </c>
      <c r="J90" s="38"/>
      <c r="K90" s="38">
        <v>300</v>
      </c>
      <c r="L90" s="38">
        <v>7.7</v>
      </c>
      <c r="M90" s="38">
        <v>60.6</v>
      </c>
      <c r="N90" s="38">
        <v>60.6</v>
      </c>
      <c r="O90" s="38">
        <v>1.3</v>
      </c>
      <c r="P90" s="38">
        <v>4.9000000000000004</v>
      </c>
      <c r="Q90" s="38">
        <v>26.6</v>
      </c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>
        <v>162</v>
      </c>
      <c r="AJ90" s="38"/>
      <c r="AK90" s="38"/>
      <c r="AL90" s="38">
        <v>2712</v>
      </c>
      <c r="AM90" s="38"/>
      <c r="AN90" s="38">
        <v>33.549999999999997</v>
      </c>
      <c r="AO90" s="38"/>
      <c r="AP90" s="38">
        <v>55.5</v>
      </c>
      <c r="AQ90" s="38"/>
      <c r="AR90" s="38"/>
      <c r="AS90" s="38"/>
      <c r="AT90" s="38">
        <v>3014</v>
      </c>
      <c r="AU90" s="38">
        <v>149.9</v>
      </c>
      <c r="AV90" s="38">
        <v>97.2</v>
      </c>
      <c r="AW90" s="38">
        <v>264.3</v>
      </c>
      <c r="AX90" s="38"/>
      <c r="AY90" s="38">
        <v>376</v>
      </c>
      <c r="AZ90" s="38"/>
      <c r="BA90" s="38"/>
      <c r="BB90" s="38"/>
    </row>
    <row r="91" spans="1:54">
      <c r="A91" s="38" t="s">
        <v>3514</v>
      </c>
      <c r="B91" s="38" t="s">
        <v>1700</v>
      </c>
      <c r="C91" s="38"/>
      <c r="D91" s="38" t="s">
        <v>3399</v>
      </c>
      <c r="E91" s="38"/>
      <c r="F91" s="38"/>
      <c r="G91" s="38"/>
      <c r="H91" s="38" t="s">
        <v>3400</v>
      </c>
      <c r="I91" s="38" t="s">
        <v>3511</v>
      </c>
      <c r="J91" s="38"/>
      <c r="K91" s="38">
        <v>350</v>
      </c>
      <c r="L91" s="38">
        <v>8.3000000000000007</v>
      </c>
      <c r="M91" s="38">
        <v>66.3</v>
      </c>
      <c r="N91" s="38">
        <v>66.3</v>
      </c>
      <c r="O91" s="38">
        <v>1.3</v>
      </c>
      <c r="P91" s="38">
        <v>4</v>
      </c>
      <c r="Q91" s="38">
        <v>23.8</v>
      </c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>
        <v>133</v>
      </c>
      <c r="AJ91" s="38"/>
      <c r="AK91" s="38"/>
      <c r="AL91" s="38">
        <v>3062</v>
      </c>
      <c r="AM91" s="38"/>
      <c r="AN91" s="38"/>
      <c r="AO91" s="38"/>
      <c r="AP91" s="38">
        <v>58.7</v>
      </c>
      <c r="AQ91" s="38"/>
      <c r="AR91" s="38"/>
      <c r="AS91" s="38"/>
      <c r="AT91" s="38">
        <v>2644</v>
      </c>
      <c r="AU91" s="38">
        <v>10518</v>
      </c>
      <c r="AV91" s="38">
        <v>4277</v>
      </c>
      <c r="AW91" s="38">
        <v>24389</v>
      </c>
      <c r="AX91" s="38"/>
      <c r="AY91" s="38">
        <v>322</v>
      </c>
      <c r="AZ91" s="38"/>
      <c r="BA91" s="38"/>
      <c r="BB91" s="38"/>
    </row>
    <row r="92" spans="1:54">
      <c r="A92" s="38" t="s">
        <v>3515</v>
      </c>
      <c r="B92" s="38" t="s">
        <v>1700</v>
      </c>
      <c r="C92" s="38"/>
      <c r="D92" s="38" t="s">
        <v>3399</v>
      </c>
      <c r="E92" s="38"/>
      <c r="F92" s="38"/>
      <c r="G92" s="38"/>
      <c r="H92" s="38" t="s">
        <v>3400</v>
      </c>
      <c r="I92" s="38" t="s">
        <v>3511</v>
      </c>
      <c r="J92" s="38"/>
      <c r="K92" s="38">
        <v>400</v>
      </c>
      <c r="L92" s="38">
        <v>9.4</v>
      </c>
      <c r="M92" s="38">
        <v>67.900000000000006</v>
      </c>
      <c r="N92" s="38">
        <v>68.5</v>
      </c>
      <c r="O92" s="38">
        <v>1.2</v>
      </c>
      <c r="P92" s="38">
        <v>3.5</v>
      </c>
      <c r="Q92" s="38">
        <v>17.399999999999999</v>
      </c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>
        <v>165</v>
      </c>
      <c r="AJ92" s="38"/>
      <c r="AK92" s="38"/>
      <c r="AL92" s="38">
        <v>3089</v>
      </c>
      <c r="AM92" s="38"/>
      <c r="AN92" s="38">
        <v>36.729999999999997</v>
      </c>
      <c r="AO92" s="38"/>
      <c r="AP92" s="38">
        <v>37</v>
      </c>
      <c r="AQ92" s="38"/>
      <c r="AR92" s="38"/>
      <c r="AS92" s="38"/>
      <c r="AT92" s="38">
        <v>3119</v>
      </c>
      <c r="AU92" s="38">
        <v>10088</v>
      </c>
      <c r="AV92" s="38">
        <v>4841</v>
      </c>
      <c r="AW92" s="38">
        <v>28939</v>
      </c>
      <c r="AX92" s="38"/>
      <c r="AY92" s="38">
        <v>256</v>
      </c>
      <c r="AZ92" s="38"/>
      <c r="BA92" s="38"/>
      <c r="BB92" s="38"/>
    </row>
    <row r="93" spans="1:54">
      <c r="A93" s="38" t="s">
        <v>3516</v>
      </c>
      <c r="B93" s="38" t="s">
        <v>1700</v>
      </c>
      <c r="C93" s="38"/>
      <c r="D93" s="38" t="s">
        <v>3399</v>
      </c>
      <c r="E93" s="38"/>
      <c r="F93" s="38"/>
      <c r="G93" s="38"/>
      <c r="H93" s="38" t="s">
        <v>3400</v>
      </c>
      <c r="I93" s="38" t="s">
        <v>3511</v>
      </c>
      <c r="J93" s="38"/>
      <c r="K93" s="38">
        <v>450</v>
      </c>
      <c r="L93" s="38">
        <v>9.3000000000000007</v>
      </c>
      <c r="M93" s="38">
        <v>71.5</v>
      </c>
      <c r="N93" s="38">
        <v>71.5</v>
      </c>
      <c r="O93" s="38">
        <v>1.1000000000000001</v>
      </c>
      <c r="P93" s="38">
        <v>3.3</v>
      </c>
      <c r="Q93" s="38">
        <v>15.6</v>
      </c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>
        <v>138</v>
      </c>
      <c r="AJ93" s="38"/>
      <c r="AK93" s="38"/>
      <c r="AL93" s="38">
        <v>2927</v>
      </c>
      <c r="AM93" s="38"/>
      <c r="AN93" s="38"/>
      <c r="AO93" s="38"/>
      <c r="AP93" s="38">
        <v>46.2</v>
      </c>
      <c r="AQ93" s="38"/>
      <c r="AR93" s="38"/>
      <c r="AS93" s="38"/>
      <c r="AT93" s="38">
        <v>2508</v>
      </c>
      <c r="AU93" s="38">
        <v>8450</v>
      </c>
      <c r="AV93" s="38">
        <v>4314</v>
      </c>
      <c r="AW93" s="38">
        <v>30405</v>
      </c>
      <c r="AX93" s="38"/>
      <c r="AY93" s="38">
        <v>176</v>
      </c>
      <c r="AZ93" s="38"/>
      <c r="BA93" s="38"/>
      <c r="BB93" s="38"/>
    </row>
    <row r="94" spans="1:54">
      <c r="A94" s="38" t="s">
        <v>3517</v>
      </c>
      <c r="B94" s="38" t="s">
        <v>1700</v>
      </c>
      <c r="C94" s="38"/>
      <c r="D94" s="38" t="s">
        <v>3399</v>
      </c>
      <c r="E94" s="38"/>
      <c r="F94" s="38"/>
      <c r="G94" s="38"/>
      <c r="H94" s="38" t="s">
        <v>3400</v>
      </c>
      <c r="I94" s="38" t="s">
        <v>3511</v>
      </c>
      <c r="J94" s="38"/>
      <c r="K94" s="38">
        <v>500</v>
      </c>
      <c r="L94" s="38">
        <v>10.4</v>
      </c>
      <c r="M94" s="38">
        <v>74.099999999999994</v>
      </c>
      <c r="N94" s="38">
        <v>74.099999999999994</v>
      </c>
      <c r="O94" s="38">
        <v>1.1000000000000001</v>
      </c>
      <c r="P94" s="38">
        <v>2.6</v>
      </c>
      <c r="Q94" s="38">
        <v>17.399999999999999</v>
      </c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>
        <v>167</v>
      </c>
      <c r="AJ94" s="38"/>
      <c r="AK94" s="38"/>
      <c r="AL94" s="38">
        <v>3518</v>
      </c>
      <c r="AM94" s="38"/>
      <c r="AN94" s="38">
        <v>26.44</v>
      </c>
      <c r="AO94" s="38"/>
      <c r="AP94" s="38">
        <v>30.5</v>
      </c>
      <c r="AQ94" s="38"/>
      <c r="AR94" s="38"/>
      <c r="AS94" s="38"/>
      <c r="AT94" s="38">
        <v>3115</v>
      </c>
      <c r="AU94" s="38">
        <v>9432</v>
      </c>
      <c r="AV94" s="38">
        <v>4925</v>
      </c>
      <c r="AW94" s="38">
        <v>33477</v>
      </c>
      <c r="AX94" s="38"/>
      <c r="AY94" s="38">
        <v>267</v>
      </c>
      <c r="AZ94" s="38"/>
      <c r="BA94" s="38"/>
      <c r="BB94" s="38"/>
    </row>
    <row r="95" spans="1:54">
      <c r="A95" s="38" t="s">
        <v>3518</v>
      </c>
      <c r="B95" s="38" t="s">
        <v>1700</v>
      </c>
      <c r="C95" s="38"/>
      <c r="D95" s="38" t="s">
        <v>3399</v>
      </c>
      <c r="E95" s="38"/>
      <c r="F95" s="38"/>
      <c r="G95" s="38"/>
      <c r="H95" s="38" t="s">
        <v>3400</v>
      </c>
      <c r="I95" s="38" t="s">
        <v>3511</v>
      </c>
      <c r="J95" s="38"/>
      <c r="K95" s="38">
        <v>550</v>
      </c>
      <c r="L95" s="38">
        <v>10.9</v>
      </c>
      <c r="M95" s="38">
        <v>74.3</v>
      </c>
      <c r="N95" s="38">
        <v>74.3</v>
      </c>
      <c r="O95" s="38">
        <v>1.1000000000000001</v>
      </c>
      <c r="P95" s="38">
        <v>2.2999999999999998</v>
      </c>
      <c r="Q95" s="38">
        <v>13.4</v>
      </c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>
        <v>320</v>
      </c>
      <c r="AJ95" s="38"/>
      <c r="AK95" s="38"/>
      <c r="AL95" s="38">
        <v>3156</v>
      </c>
      <c r="AM95" s="38"/>
      <c r="AN95" s="38"/>
      <c r="AO95" s="38"/>
      <c r="AP95" s="38">
        <v>39</v>
      </c>
      <c r="AQ95" s="38"/>
      <c r="AR95" s="38"/>
      <c r="AS95" s="38"/>
      <c r="AT95" s="38">
        <v>3064</v>
      </c>
      <c r="AU95" s="38">
        <v>11109</v>
      </c>
      <c r="AV95" s="38">
        <v>5218</v>
      </c>
      <c r="AW95" s="38">
        <v>32808</v>
      </c>
      <c r="AX95" s="38"/>
      <c r="AY95" s="38">
        <v>417</v>
      </c>
      <c r="AZ95" s="38"/>
      <c r="BA95" s="38"/>
      <c r="BB95" s="38"/>
    </row>
    <row r="96" spans="1:54">
      <c r="A96" s="38" t="s">
        <v>3519</v>
      </c>
      <c r="B96" s="38" t="s">
        <v>1700</v>
      </c>
      <c r="C96" s="38"/>
      <c r="D96" s="38" t="s">
        <v>3399</v>
      </c>
      <c r="E96" s="38"/>
      <c r="F96" s="38"/>
      <c r="G96" s="38"/>
      <c r="H96" s="38" t="s">
        <v>3400</v>
      </c>
      <c r="I96" s="38" t="s">
        <v>3511</v>
      </c>
      <c r="J96" s="38"/>
      <c r="K96" s="38">
        <v>600</v>
      </c>
      <c r="L96" s="38">
        <v>10.6</v>
      </c>
      <c r="M96" s="38">
        <v>76</v>
      </c>
      <c r="N96" s="38">
        <v>76</v>
      </c>
      <c r="O96" s="38">
        <v>0.8</v>
      </c>
      <c r="P96" s="38">
        <v>1.8</v>
      </c>
      <c r="Q96" s="38">
        <v>14.3</v>
      </c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>
        <v>193</v>
      </c>
      <c r="AJ96" s="38"/>
      <c r="AK96" s="38"/>
      <c r="AL96" s="38">
        <v>2937</v>
      </c>
      <c r="AM96" s="38"/>
      <c r="AN96" s="38">
        <v>33.549999999999997</v>
      </c>
      <c r="AO96" s="38"/>
      <c r="AP96" s="38">
        <v>30</v>
      </c>
      <c r="AQ96" s="38"/>
      <c r="AR96" s="38"/>
      <c r="AS96" s="38"/>
      <c r="AT96" s="38">
        <v>2952</v>
      </c>
      <c r="AU96" s="38">
        <v>9386</v>
      </c>
      <c r="AV96" s="38">
        <v>5071</v>
      </c>
      <c r="AW96" s="38">
        <v>35820</v>
      </c>
      <c r="AX96" s="38"/>
      <c r="AY96" s="38">
        <v>311</v>
      </c>
      <c r="AZ96" s="38"/>
      <c r="BA96" s="38"/>
      <c r="BB96" s="38"/>
    </row>
    <row r="97" spans="1:54">
      <c r="A97" s="38" t="s">
        <v>3520</v>
      </c>
      <c r="B97" s="38" t="s">
        <v>1848</v>
      </c>
      <c r="C97" s="38"/>
      <c r="D97" s="38" t="s">
        <v>3399</v>
      </c>
      <c r="E97" s="38"/>
      <c r="F97" s="38"/>
      <c r="G97" s="38"/>
      <c r="H97" s="38" t="s">
        <v>3400</v>
      </c>
      <c r="I97" s="38" t="s">
        <v>3511</v>
      </c>
      <c r="J97" s="38"/>
      <c r="K97" s="38">
        <v>800</v>
      </c>
      <c r="L97" s="38">
        <v>60.8</v>
      </c>
      <c r="M97" s="38"/>
      <c r="N97" s="38"/>
      <c r="O97" s="38"/>
      <c r="P97" s="38"/>
      <c r="Q97" s="38"/>
      <c r="R97" s="38"/>
      <c r="S97" s="38">
        <v>0.3</v>
      </c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>
        <v>29</v>
      </c>
      <c r="AJ97" s="38"/>
      <c r="AK97" s="38"/>
      <c r="AL97" s="38">
        <v>597</v>
      </c>
      <c r="AM97" s="38"/>
      <c r="AN97" s="38"/>
      <c r="AO97" s="38"/>
      <c r="AP97" s="38">
        <v>23.2</v>
      </c>
      <c r="AQ97" s="38"/>
      <c r="AR97" s="38"/>
      <c r="AS97" s="38"/>
      <c r="AT97" s="38">
        <v>442</v>
      </c>
      <c r="AU97" s="38">
        <v>1637</v>
      </c>
      <c r="AV97" s="38">
        <v>835</v>
      </c>
      <c r="AW97" s="38">
        <v>6703</v>
      </c>
      <c r="AX97" s="38"/>
      <c r="AY97" s="38">
        <v>29</v>
      </c>
      <c r="AZ97" s="38"/>
      <c r="BA97" s="38"/>
      <c r="BB97" s="38"/>
    </row>
    <row r="98" spans="1:54">
      <c r="A98" s="38" t="s">
        <v>3521</v>
      </c>
      <c r="B98" s="38" t="s">
        <v>3455</v>
      </c>
      <c r="C98" s="38"/>
      <c r="D98" s="38" t="s">
        <v>3399</v>
      </c>
      <c r="E98" s="38"/>
      <c r="F98" s="38"/>
      <c r="G98" s="38"/>
      <c r="H98" s="38" t="s">
        <v>3400</v>
      </c>
      <c r="I98" s="38" t="s">
        <v>3511</v>
      </c>
      <c r="J98" s="38"/>
      <c r="K98" s="38">
        <v>750</v>
      </c>
      <c r="L98" s="38">
        <v>4</v>
      </c>
      <c r="M98" s="38"/>
      <c r="N98" s="38"/>
      <c r="O98" s="38"/>
      <c r="P98" s="38"/>
      <c r="Q98" s="38"/>
      <c r="R98" s="38"/>
      <c r="S98" s="38">
        <v>0.5</v>
      </c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>
        <v>23</v>
      </c>
      <c r="AJ98" s="38"/>
      <c r="AK98" s="38"/>
      <c r="AL98" s="38">
        <v>417</v>
      </c>
      <c r="AM98" s="38"/>
      <c r="AN98" s="38"/>
      <c r="AO98" s="38"/>
      <c r="AP98" s="38">
        <v>18.7</v>
      </c>
      <c r="AQ98" s="38"/>
      <c r="AR98" s="38"/>
      <c r="AS98" s="38"/>
      <c r="AT98" s="38">
        <v>447</v>
      </c>
      <c r="AU98" s="38">
        <v>4702</v>
      </c>
      <c r="AV98" s="38">
        <v>1445</v>
      </c>
      <c r="AW98" s="38">
        <v>5391</v>
      </c>
      <c r="AX98" s="38"/>
      <c r="AY98" s="38">
        <v>224</v>
      </c>
      <c r="AZ98" s="38"/>
      <c r="BA98" s="38"/>
      <c r="BB98" s="38"/>
    </row>
    <row r="99" spans="1:54">
      <c r="A99" s="38" t="s">
        <v>3522</v>
      </c>
      <c r="B99" s="38" t="s">
        <v>1700</v>
      </c>
      <c r="C99" s="38"/>
      <c r="D99" s="38" t="s">
        <v>3399</v>
      </c>
      <c r="E99" s="38"/>
      <c r="F99" s="38"/>
      <c r="G99" s="38"/>
      <c r="H99" s="38" t="s">
        <v>3400</v>
      </c>
      <c r="I99" s="38" t="s">
        <v>3511</v>
      </c>
      <c r="J99" s="38"/>
      <c r="K99" s="38">
        <v>500</v>
      </c>
      <c r="L99" s="38">
        <v>50.1</v>
      </c>
      <c r="M99" s="38"/>
      <c r="N99" s="38">
        <v>37.799999999999997</v>
      </c>
      <c r="O99" s="38">
        <v>2</v>
      </c>
      <c r="P99" s="38"/>
      <c r="Q99" s="38"/>
      <c r="R99" s="38">
        <v>10.3</v>
      </c>
      <c r="S99" s="38">
        <v>0.8</v>
      </c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>
        <v>172</v>
      </c>
      <c r="AJ99" s="38"/>
      <c r="AK99" s="38"/>
      <c r="AL99" s="38">
        <v>1219</v>
      </c>
      <c r="AM99" s="38"/>
      <c r="AN99" s="38"/>
      <c r="AO99" s="38"/>
      <c r="AP99" s="38">
        <v>33</v>
      </c>
      <c r="AQ99" s="38"/>
      <c r="AR99" s="38"/>
      <c r="AS99" s="38"/>
      <c r="AT99" s="38">
        <v>6011</v>
      </c>
      <c r="AU99" s="38">
        <v>38388</v>
      </c>
      <c r="AV99" s="38">
        <v>12534</v>
      </c>
      <c r="AW99" s="38">
        <v>12824</v>
      </c>
      <c r="AX99" s="38"/>
      <c r="AY99" s="38">
        <v>9119</v>
      </c>
      <c r="AZ99" s="38"/>
      <c r="BA99" s="38"/>
      <c r="BB99" s="38"/>
    </row>
    <row r="100" spans="1:54">
      <c r="A100" s="38" t="s">
        <v>3523</v>
      </c>
      <c r="B100" s="38" t="s">
        <v>1848</v>
      </c>
      <c r="C100" s="38"/>
      <c r="D100" s="38" t="s">
        <v>3399</v>
      </c>
      <c r="E100" s="38"/>
      <c r="F100" s="38"/>
      <c r="G100" s="38"/>
      <c r="H100" s="38" t="s">
        <v>3400</v>
      </c>
      <c r="I100" s="38" t="s">
        <v>3511</v>
      </c>
      <c r="J100" s="38"/>
      <c r="K100" s="38">
        <v>500</v>
      </c>
      <c r="L100" s="38">
        <v>58.5</v>
      </c>
      <c r="M100" s="38"/>
      <c r="N100" s="38">
        <v>74</v>
      </c>
      <c r="O100" s="38">
        <v>0.6</v>
      </c>
      <c r="P100" s="38"/>
      <c r="Q100" s="38"/>
      <c r="R100" s="38">
        <v>9.8000000000000007</v>
      </c>
      <c r="S100" s="38">
        <v>0.5</v>
      </c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>
        <v>25.7</v>
      </c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</row>
    <row r="101" spans="1:54">
      <c r="A101" s="38" t="s">
        <v>3524</v>
      </c>
      <c r="B101" s="38" t="s">
        <v>3424</v>
      </c>
      <c r="C101" s="38"/>
      <c r="D101" s="38" t="s">
        <v>3399</v>
      </c>
      <c r="E101" s="38"/>
      <c r="F101" s="38"/>
      <c r="G101" s="38"/>
      <c r="H101" s="38" t="s">
        <v>3400</v>
      </c>
      <c r="I101" s="38" t="s">
        <v>3511</v>
      </c>
      <c r="J101" s="38"/>
      <c r="K101" s="38">
        <v>300</v>
      </c>
      <c r="L101" s="38">
        <v>10.7</v>
      </c>
      <c r="M101" s="38">
        <v>59.9</v>
      </c>
      <c r="N101" s="38">
        <v>59.9</v>
      </c>
      <c r="O101" s="38">
        <v>7.3</v>
      </c>
      <c r="P101" s="38">
        <v>4.5</v>
      </c>
      <c r="Q101" s="38">
        <v>24.8</v>
      </c>
      <c r="R101" s="38">
        <v>7.3</v>
      </c>
      <c r="S101" s="38">
        <v>1.7</v>
      </c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>
        <v>132</v>
      </c>
      <c r="AJ101" s="38"/>
      <c r="AK101" s="38"/>
      <c r="AL101" s="38">
        <v>492</v>
      </c>
      <c r="AM101" s="38"/>
      <c r="AN101" s="38">
        <v>75.28</v>
      </c>
      <c r="AO101" s="38"/>
      <c r="AP101" s="38">
        <v>51.9</v>
      </c>
      <c r="AQ101" s="38"/>
      <c r="AR101" s="38"/>
      <c r="AS101" s="38"/>
      <c r="AT101" s="38">
        <v>1369</v>
      </c>
      <c r="AU101" s="38">
        <v>6480</v>
      </c>
      <c r="AV101" s="38">
        <v>5883</v>
      </c>
      <c r="AW101" s="38">
        <v>17052</v>
      </c>
      <c r="AX101" s="38"/>
      <c r="AY101" s="38">
        <v>963</v>
      </c>
      <c r="AZ101" s="38"/>
      <c r="BA101" s="38"/>
      <c r="BB101" s="38"/>
    </row>
    <row r="102" spans="1:54">
      <c r="A102" s="38" t="s">
        <v>3525</v>
      </c>
      <c r="B102" s="38" t="s">
        <v>3424</v>
      </c>
      <c r="C102" s="38"/>
      <c r="D102" s="38" t="s">
        <v>3399</v>
      </c>
      <c r="E102" s="38"/>
      <c r="F102" s="38"/>
      <c r="G102" s="38"/>
      <c r="H102" s="38" t="s">
        <v>3400</v>
      </c>
      <c r="I102" s="38" t="s">
        <v>3511</v>
      </c>
      <c r="J102" s="38"/>
      <c r="K102" s="38">
        <v>350</v>
      </c>
      <c r="L102" s="38">
        <v>11.4</v>
      </c>
      <c r="M102" s="38">
        <v>65.2</v>
      </c>
      <c r="N102" s="38">
        <v>65.2</v>
      </c>
      <c r="O102" s="38">
        <v>1.2</v>
      </c>
      <c r="P102" s="38">
        <v>3.8</v>
      </c>
      <c r="Q102" s="38">
        <v>23.2</v>
      </c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>
        <v>66</v>
      </c>
      <c r="AJ102" s="38"/>
      <c r="AK102" s="38"/>
      <c r="AL102" s="38">
        <v>854</v>
      </c>
      <c r="AM102" s="38"/>
      <c r="AN102" s="38"/>
      <c r="AO102" s="38"/>
      <c r="AP102" s="38">
        <v>48.9</v>
      </c>
      <c r="AQ102" s="38"/>
      <c r="AR102" s="38"/>
      <c r="AS102" s="38"/>
      <c r="AT102" s="38">
        <v>1889</v>
      </c>
      <c r="AU102" s="38">
        <v>6136</v>
      </c>
      <c r="AV102" s="38">
        <v>6307</v>
      </c>
      <c r="AW102" s="38">
        <v>21486</v>
      </c>
      <c r="AX102" s="38"/>
      <c r="AY102" s="38">
        <v>558</v>
      </c>
      <c r="AZ102" s="38"/>
      <c r="BA102" s="38"/>
      <c r="BB102" s="38"/>
    </row>
    <row r="103" spans="1:54">
      <c r="A103" s="38" t="s">
        <v>3526</v>
      </c>
      <c r="B103" s="38" t="s">
        <v>3424</v>
      </c>
      <c r="C103" s="38"/>
      <c r="D103" s="38" t="s">
        <v>3399</v>
      </c>
      <c r="E103" s="38"/>
      <c r="F103" s="38"/>
      <c r="G103" s="38"/>
      <c r="H103" s="38" t="s">
        <v>3400</v>
      </c>
      <c r="I103" s="38" t="s">
        <v>3511</v>
      </c>
      <c r="J103" s="38"/>
      <c r="K103" s="38">
        <v>400</v>
      </c>
      <c r="L103" s="38">
        <v>12.9</v>
      </c>
      <c r="M103" s="38">
        <v>65.2</v>
      </c>
      <c r="N103" s="38">
        <v>65.2</v>
      </c>
      <c r="O103" s="38">
        <v>1.1000000000000001</v>
      </c>
      <c r="P103" s="38">
        <v>3.3</v>
      </c>
      <c r="Q103" s="38">
        <v>20.100000000000001</v>
      </c>
      <c r="R103" s="38">
        <v>9.1999999999999993</v>
      </c>
      <c r="S103" s="38">
        <v>1.7</v>
      </c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>
        <v>49</v>
      </c>
      <c r="AJ103" s="38"/>
      <c r="AK103" s="38"/>
      <c r="AL103" s="38">
        <v>904</v>
      </c>
      <c r="AM103" s="38"/>
      <c r="AN103" s="38">
        <v>79.62</v>
      </c>
      <c r="AO103" s="38"/>
      <c r="AP103" s="38">
        <v>44.7</v>
      </c>
      <c r="AQ103" s="38"/>
      <c r="AR103" s="38"/>
      <c r="AS103" s="38"/>
      <c r="AT103" s="38">
        <v>1812</v>
      </c>
      <c r="AU103" s="38">
        <v>7254</v>
      </c>
      <c r="AV103" s="38">
        <v>6583</v>
      </c>
      <c r="AW103" s="38">
        <v>20234</v>
      </c>
      <c r="AX103" s="38"/>
      <c r="AY103" s="38">
        <v>897</v>
      </c>
      <c r="AZ103" s="38"/>
      <c r="BA103" s="38"/>
      <c r="BB103" s="38"/>
    </row>
    <row r="104" spans="1:54">
      <c r="A104" s="38" t="s">
        <v>3527</v>
      </c>
      <c r="B104" s="38" t="s">
        <v>3424</v>
      </c>
      <c r="C104" s="38"/>
      <c r="D104" s="38" t="s">
        <v>3399</v>
      </c>
      <c r="E104" s="38"/>
      <c r="F104" s="38"/>
      <c r="G104" s="38"/>
      <c r="H104" s="38" t="s">
        <v>3400</v>
      </c>
      <c r="I104" s="38" t="s">
        <v>3511</v>
      </c>
      <c r="J104" s="38"/>
      <c r="K104" s="38">
        <v>450</v>
      </c>
      <c r="L104" s="38">
        <v>12.5</v>
      </c>
      <c r="M104" s="38">
        <v>68.3</v>
      </c>
      <c r="N104" s="38">
        <v>68.3</v>
      </c>
      <c r="O104" s="38">
        <v>1.1000000000000001</v>
      </c>
      <c r="P104" s="38">
        <v>2.7</v>
      </c>
      <c r="Q104" s="38">
        <v>16.399999999999999</v>
      </c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>
        <v>64</v>
      </c>
      <c r="AJ104" s="38"/>
      <c r="AK104" s="38"/>
      <c r="AL104" s="38">
        <v>1112</v>
      </c>
      <c r="AM104" s="38"/>
      <c r="AN104" s="38"/>
      <c r="AO104" s="38"/>
      <c r="AP104" s="38">
        <v>42.7</v>
      </c>
      <c r="AQ104" s="38"/>
      <c r="AR104" s="38"/>
      <c r="AS104" s="38"/>
      <c r="AT104" s="38">
        <v>2148</v>
      </c>
      <c r="AU104" s="38">
        <v>7317</v>
      </c>
      <c r="AV104" s="38">
        <v>8031</v>
      </c>
      <c r="AW104" s="38">
        <v>25707</v>
      </c>
      <c r="AX104" s="38"/>
      <c r="AY104" s="38">
        <v>815</v>
      </c>
      <c r="AZ104" s="38"/>
      <c r="BA104" s="38"/>
      <c r="BB104" s="38"/>
    </row>
    <row r="105" spans="1:54">
      <c r="A105" s="38" t="s">
        <v>3528</v>
      </c>
      <c r="B105" s="38" t="s">
        <v>3424</v>
      </c>
      <c r="C105" s="38"/>
      <c r="D105" s="38" t="s">
        <v>3399</v>
      </c>
      <c r="E105" s="38"/>
      <c r="F105" s="38"/>
      <c r="G105" s="38"/>
      <c r="H105" s="38" t="s">
        <v>3400</v>
      </c>
      <c r="I105" s="38" t="s">
        <v>3511</v>
      </c>
      <c r="J105" s="38"/>
      <c r="K105" s="38">
        <v>500</v>
      </c>
      <c r="L105" s="38">
        <v>17.600000000000001</v>
      </c>
      <c r="M105" s="38">
        <v>70.3</v>
      </c>
      <c r="N105" s="38">
        <v>70.3</v>
      </c>
      <c r="O105" s="38">
        <v>1.1000000000000001</v>
      </c>
      <c r="P105" s="38">
        <v>1.9</v>
      </c>
      <c r="Q105" s="38">
        <v>10.7</v>
      </c>
      <c r="R105" s="38">
        <v>9.9</v>
      </c>
      <c r="S105" s="38">
        <v>1.9</v>
      </c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>
        <v>72</v>
      </c>
      <c r="AJ105" s="38"/>
      <c r="AK105" s="38"/>
      <c r="AL105" s="38">
        <v>1384</v>
      </c>
      <c r="AM105" s="38"/>
      <c r="AN105" s="38">
        <v>51.66</v>
      </c>
      <c r="AO105" s="38"/>
      <c r="AP105" s="38">
        <v>31.1</v>
      </c>
      <c r="AQ105" s="38"/>
      <c r="AR105" s="38"/>
      <c r="AS105" s="38"/>
      <c r="AT105" s="38">
        <v>1852</v>
      </c>
      <c r="AU105" s="38">
        <v>11699</v>
      </c>
      <c r="AV105" s="38">
        <v>9510</v>
      </c>
      <c r="AW105" s="38">
        <v>24817</v>
      </c>
      <c r="AX105" s="38"/>
      <c r="AY105" s="38">
        <v>1063</v>
      </c>
      <c r="AZ105" s="38"/>
      <c r="BA105" s="38"/>
      <c r="BB105" s="38"/>
    </row>
    <row r="106" spans="1:54">
      <c r="A106" s="38" t="s">
        <v>3529</v>
      </c>
      <c r="B106" s="38" t="s">
        <v>3424</v>
      </c>
      <c r="C106" s="38"/>
      <c r="D106" s="38" t="s">
        <v>3399</v>
      </c>
      <c r="E106" s="38"/>
      <c r="F106" s="38"/>
      <c r="G106" s="38"/>
      <c r="H106" s="38" t="s">
        <v>3400</v>
      </c>
      <c r="I106" s="38" t="s">
        <v>3511</v>
      </c>
      <c r="J106" s="38"/>
      <c r="K106" s="38">
        <v>550</v>
      </c>
      <c r="L106" s="38">
        <v>14</v>
      </c>
      <c r="M106" s="38">
        <v>72.2</v>
      </c>
      <c r="N106" s="38">
        <v>72.2</v>
      </c>
      <c r="O106" s="38">
        <v>1</v>
      </c>
      <c r="P106" s="38">
        <v>2.2999999999999998</v>
      </c>
      <c r="Q106" s="38">
        <v>12.3</v>
      </c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>
        <v>82</v>
      </c>
      <c r="AJ106" s="38"/>
      <c r="AK106" s="38"/>
      <c r="AL106" s="38">
        <v>778</v>
      </c>
      <c r="AM106" s="38"/>
      <c r="AN106" s="38"/>
      <c r="AO106" s="38"/>
      <c r="AP106" s="38">
        <v>37.299999999999997</v>
      </c>
      <c r="AQ106" s="38"/>
      <c r="AR106" s="38"/>
      <c r="AS106" s="38"/>
      <c r="AT106" s="38">
        <v>2093</v>
      </c>
      <c r="AU106" s="38">
        <v>9804</v>
      </c>
      <c r="AV106" s="38">
        <v>8891</v>
      </c>
      <c r="AW106" s="38">
        <v>23929</v>
      </c>
      <c r="AX106" s="38"/>
      <c r="AY106" s="38">
        <v>778</v>
      </c>
      <c r="AZ106" s="38"/>
      <c r="BA106" s="38"/>
      <c r="BB106" s="38"/>
    </row>
    <row r="107" spans="1:54">
      <c r="A107" s="38" t="s">
        <v>3530</v>
      </c>
      <c r="B107" s="38" t="s">
        <v>3424</v>
      </c>
      <c r="C107" s="38"/>
      <c r="D107" s="38" t="s">
        <v>3399</v>
      </c>
      <c r="E107" s="38"/>
      <c r="F107" s="38"/>
      <c r="G107" s="38"/>
      <c r="H107" s="38" t="s">
        <v>3400</v>
      </c>
      <c r="I107" s="38" t="s">
        <v>3511</v>
      </c>
      <c r="J107" s="38"/>
      <c r="K107" s="38">
        <v>600</v>
      </c>
      <c r="L107" s="38">
        <v>16.7</v>
      </c>
      <c r="M107" s="38">
        <v>68.7</v>
      </c>
      <c r="N107" s="38">
        <v>70.7</v>
      </c>
      <c r="O107" s="38">
        <v>1.1000000000000001</v>
      </c>
      <c r="P107" s="38">
        <v>2.2999999999999998</v>
      </c>
      <c r="Q107" s="38">
        <v>9.3000000000000007</v>
      </c>
      <c r="R107" s="38">
        <v>10</v>
      </c>
      <c r="S107" s="38">
        <v>2</v>
      </c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>
        <v>70</v>
      </c>
      <c r="AJ107" s="38"/>
      <c r="AK107" s="38"/>
      <c r="AL107" s="38">
        <v>1539</v>
      </c>
      <c r="AM107" s="38"/>
      <c r="AN107" s="38">
        <v>38.54</v>
      </c>
      <c r="AO107" s="38"/>
      <c r="AP107" s="38">
        <v>23.5</v>
      </c>
      <c r="AQ107" s="38"/>
      <c r="AR107" s="38"/>
      <c r="AS107" s="38"/>
      <c r="AT107" s="38">
        <v>2114</v>
      </c>
      <c r="AU107" s="38">
        <v>9383</v>
      </c>
      <c r="AV107" s="38">
        <v>8582</v>
      </c>
      <c r="AW107" s="38">
        <v>24616</v>
      </c>
      <c r="AX107" s="38"/>
      <c r="AY107" s="38">
        <v>1362</v>
      </c>
      <c r="AZ107" s="38"/>
      <c r="BA107" s="38"/>
      <c r="BB107" s="38"/>
    </row>
    <row r="108" spans="1:54">
      <c r="A108" s="38" t="s">
        <v>3531</v>
      </c>
      <c r="B108" s="38" t="s">
        <v>1700</v>
      </c>
      <c r="C108" s="38"/>
      <c r="D108" s="38" t="s">
        <v>3399</v>
      </c>
      <c r="E108" s="38"/>
      <c r="F108" s="38"/>
      <c r="G108" s="38"/>
      <c r="H108" s="38" t="s">
        <v>3400</v>
      </c>
      <c r="I108" s="38" t="s">
        <v>3511</v>
      </c>
      <c r="J108" s="38"/>
      <c r="K108" s="38">
        <v>300</v>
      </c>
      <c r="L108" s="38">
        <v>10.1</v>
      </c>
      <c r="M108" s="38">
        <v>61.5</v>
      </c>
      <c r="N108" s="38">
        <v>61.5</v>
      </c>
      <c r="O108" s="38">
        <v>1.6</v>
      </c>
      <c r="P108" s="38">
        <v>4.5</v>
      </c>
      <c r="Q108" s="38">
        <v>22.6</v>
      </c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>
        <v>90</v>
      </c>
      <c r="AJ108" s="38"/>
      <c r="AK108" s="38"/>
      <c r="AL108" s="38">
        <v>3270</v>
      </c>
      <c r="AM108" s="38"/>
      <c r="AN108" s="38">
        <v>28.64</v>
      </c>
      <c r="AO108" s="38"/>
      <c r="AP108" s="38">
        <v>45.4</v>
      </c>
      <c r="AQ108" s="38"/>
      <c r="AR108" s="38"/>
      <c r="AS108" s="38"/>
      <c r="AT108" s="38">
        <v>1152</v>
      </c>
      <c r="AU108" s="38">
        <v>11094</v>
      </c>
      <c r="AV108" s="38">
        <v>3934</v>
      </c>
      <c r="AW108" s="38">
        <v>8986</v>
      </c>
      <c r="AX108" s="38"/>
      <c r="AY108" s="38">
        <v>208</v>
      </c>
      <c r="AZ108" s="38"/>
      <c r="BA108" s="38"/>
      <c r="BB108" s="38"/>
    </row>
    <row r="109" spans="1:54">
      <c r="A109" s="38" t="s">
        <v>3532</v>
      </c>
      <c r="B109" s="38" t="s">
        <v>1700</v>
      </c>
      <c r="C109" s="38"/>
      <c r="D109" s="38" t="s">
        <v>3399</v>
      </c>
      <c r="E109" s="38"/>
      <c r="F109" s="38"/>
      <c r="G109" s="38"/>
      <c r="H109" s="38" t="s">
        <v>3400</v>
      </c>
      <c r="I109" s="38" t="s">
        <v>3511</v>
      </c>
      <c r="J109" s="38"/>
      <c r="K109" s="38">
        <v>350</v>
      </c>
      <c r="L109" s="38">
        <v>10.199999999999999</v>
      </c>
      <c r="M109" s="38">
        <v>63.2</v>
      </c>
      <c r="N109" s="38">
        <v>64.099999999999994</v>
      </c>
      <c r="O109" s="38">
        <v>1.8</v>
      </c>
      <c r="P109" s="38">
        <v>4.0999999999999996</v>
      </c>
      <c r="Q109" s="38">
        <v>19.8</v>
      </c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>
        <v>98</v>
      </c>
      <c r="AJ109" s="38"/>
      <c r="AK109" s="38"/>
      <c r="AL109" s="38">
        <v>3698</v>
      </c>
      <c r="AM109" s="38"/>
      <c r="AN109" s="38"/>
      <c r="AO109" s="38"/>
      <c r="AP109" s="38">
        <v>58.4</v>
      </c>
      <c r="AQ109" s="38"/>
      <c r="AR109" s="38"/>
      <c r="AS109" s="38"/>
      <c r="AT109" s="38">
        <v>1810</v>
      </c>
      <c r="AU109" s="38">
        <v>10859</v>
      </c>
      <c r="AV109" s="38">
        <v>4278</v>
      </c>
      <c r="AW109" s="38">
        <v>10074</v>
      </c>
      <c r="AX109" s="38"/>
      <c r="AY109" s="38">
        <v>317</v>
      </c>
      <c r="AZ109" s="38"/>
      <c r="BA109" s="38"/>
      <c r="BB109" s="38"/>
    </row>
    <row r="110" spans="1:54">
      <c r="A110" s="38" t="s">
        <v>3533</v>
      </c>
      <c r="B110" s="38" t="s">
        <v>1700</v>
      </c>
      <c r="C110" s="38"/>
      <c r="D110" s="38" t="s">
        <v>3399</v>
      </c>
      <c r="E110" s="38"/>
      <c r="F110" s="38"/>
      <c r="G110" s="38"/>
      <c r="H110" s="38" t="s">
        <v>3400</v>
      </c>
      <c r="I110" s="38" t="s">
        <v>3534</v>
      </c>
      <c r="J110" s="38"/>
      <c r="K110" s="38">
        <v>400</v>
      </c>
      <c r="L110" s="38">
        <v>11.5</v>
      </c>
      <c r="M110" s="38">
        <v>66</v>
      </c>
      <c r="N110" s="38">
        <v>67.099999999999994</v>
      </c>
      <c r="O110" s="38">
        <v>1.4</v>
      </c>
      <c r="P110" s="38">
        <v>3.3</v>
      </c>
      <c r="Q110" s="38">
        <v>16.8</v>
      </c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>
        <v>87</v>
      </c>
      <c r="AJ110" s="38"/>
      <c r="AK110" s="38"/>
      <c r="AL110" s="38">
        <v>3569</v>
      </c>
      <c r="AM110" s="38"/>
      <c r="AN110" s="38">
        <v>17.53</v>
      </c>
      <c r="AO110" s="38"/>
      <c r="AP110" s="38">
        <v>39.1</v>
      </c>
      <c r="AQ110" s="38"/>
      <c r="AR110" s="38"/>
      <c r="AS110" s="38"/>
      <c r="AT110" s="38">
        <v>1466</v>
      </c>
      <c r="AU110" s="38">
        <v>12808</v>
      </c>
      <c r="AV110" s="38">
        <v>4258</v>
      </c>
      <c r="AW110" s="38">
        <v>10345</v>
      </c>
      <c r="AX110" s="38"/>
      <c r="AY110" s="38">
        <v>305</v>
      </c>
      <c r="AZ110" s="38"/>
      <c r="BA110" s="38"/>
      <c r="BB110" s="38"/>
    </row>
    <row r="111" spans="1:54">
      <c r="A111" s="38" t="s">
        <v>3535</v>
      </c>
      <c r="B111" s="38" t="s">
        <v>1700</v>
      </c>
      <c r="C111" s="38"/>
      <c r="D111" s="38" t="s">
        <v>3399</v>
      </c>
      <c r="E111" s="38"/>
      <c r="F111" s="38"/>
      <c r="G111" s="38"/>
      <c r="H111" s="38" t="s">
        <v>3400</v>
      </c>
      <c r="I111" s="38" t="s">
        <v>3511</v>
      </c>
      <c r="J111" s="38"/>
      <c r="K111" s="38">
        <v>450</v>
      </c>
      <c r="L111" s="38">
        <v>11.7</v>
      </c>
      <c r="M111" s="38">
        <v>69.099999999999994</v>
      </c>
      <c r="N111" s="38">
        <v>70.099999999999994</v>
      </c>
      <c r="O111" s="38">
        <v>1.5</v>
      </c>
      <c r="P111" s="38">
        <v>3.1</v>
      </c>
      <c r="Q111" s="38">
        <v>13.6</v>
      </c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>
        <v>121</v>
      </c>
      <c r="AJ111" s="38"/>
      <c r="AK111" s="38"/>
      <c r="AL111" s="38">
        <v>4009</v>
      </c>
      <c r="AM111" s="38"/>
      <c r="AN111" s="38"/>
      <c r="AO111" s="38"/>
      <c r="AP111" s="38">
        <v>42.1</v>
      </c>
      <c r="AQ111" s="38"/>
      <c r="AR111" s="38"/>
      <c r="AS111" s="38"/>
      <c r="AT111" s="38">
        <v>2001</v>
      </c>
      <c r="AU111" s="38">
        <v>13473</v>
      </c>
      <c r="AV111" s="38">
        <v>5068</v>
      </c>
      <c r="AW111" s="38">
        <v>11756</v>
      </c>
      <c r="AX111" s="38"/>
      <c r="AY111" s="38">
        <v>349</v>
      </c>
      <c r="AZ111" s="38"/>
      <c r="BA111" s="38"/>
      <c r="BB111" s="38"/>
    </row>
    <row r="112" spans="1:54">
      <c r="A112" s="38" t="s">
        <v>3536</v>
      </c>
      <c r="B112" s="38" t="s">
        <v>1700</v>
      </c>
      <c r="C112" s="38"/>
      <c r="D112" s="38" t="s">
        <v>3399</v>
      </c>
      <c r="E112" s="38"/>
      <c r="F112" s="38"/>
      <c r="G112" s="38"/>
      <c r="H112" s="38" t="s">
        <v>3400</v>
      </c>
      <c r="I112" s="38" t="s">
        <v>3511</v>
      </c>
      <c r="J112" s="38"/>
      <c r="K112" s="38">
        <v>500</v>
      </c>
      <c r="L112" s="38">
        <v>12.4</v>
      </c>
      <c r="M112" s="38">
        <v>72.5</v>
      </c>
      <c r="N112" s="38">
        <v>72.5</v>
      </c>
      <c r="O112" s="38">
        <v>1.4</v>
      </c>
      <c r="P112" s="38">
        <v>2.6</v>
      </c>
      <c r="Q112" s="38">
        <v>12.9</v>
      </c>
      <c r="R112" s="38"/>
      <c r="S112" s="38">
        <v>0.6</v>
      </c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>
        <v>80</v>
      </c>
      <c r="AJ112" s="38"/>
      <c r="AK112" s="38"/>
      <c r="AL112" s="38">
        <v>2223</v>
      </c>
      <c r="AM112" s="38"/>
      <c r="AN112" s="38">
        <v>11.21</v>
      </c>
      <c r="AO112" s="38"/>
      <c r="AP112" s="38">
        <v>33.9</v>
      </c>
      <c r="AQ112" s="38"/>
      <c r="AR112" s="38"/>
      <c r="AS112" s="38"/>
      <c r="AT112" s="38">
        <v>1754</v>
      </c>
      <c r="AU112" s="38">
        <v>12569</v>
      </c>
      <c r="AV112" s="38">
        <v>4610</v>
      </c>
      <c r="AW112" s="38">
        <v>9630</v>
      </c>
      <c r="AX112" s="38"/>
      <c r="AY112" s="38">
        <v>396</v>
      </c>
      <c r="AZ112" s="38"/>
      <c r="BA112" s="38"/>
      <c r="BB112" s="38"/>
    </row>
    <row r="113" spans="1:54">
      <c r="A113" s="38" t="s">
        <v>3537</v>
      </c>
      <c r="B113" s="38" t="s">
        <v>1700</v>
      </c>
      <c r="C113" s="38"/>
      <c r="D113" s="38" t="s">
        <v>3399</v>
      </c>
      <c r="E113" s="38"/>
      <c r="F113" s="38"/>
      <c r="G113" s="38"/>
      <c r="H113" s="38" t="s">
        <v>3400</v>
      </c>
      <c r="I113" s="38" t="s">
        <v>3511</v>
      </c>
      <c r="J113" s="38"/>
      <c r="K113" s="38">
        <v>550</v>
      </c>
      <c r="L113" s="38">
        <v>13.4</v>
      </c>
      <c r="M113" s="38">
        <v>71.400000000000006</v>
      </c>
      <c r="N113" s="38">
        <v>72.3</v>
      </c>
      <c r="O113" s="38">
        <v>1.5</v>
      </c>
      <c r="P113" s="38">
        <v>2.2999999999999998</v>
      </c>
      <c r="Q113" s="38">
        <v>10.4</v>
      </c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>
        <v>142</v>
      </c>
      <c r="AJ113" s="38"/>
      <c r="AK113" s="38"/>
      <c r="AL113" s="38">
        <v>4424</v>
      </c>
      <c r="AM113" s="38"/>
      <c r="AN113" s="38"/>
      <c r="AO113" s="38"/>
      <c r="AP113" s="38">
        <v>41.8</v>
      </c>
      <c r="AQ113" s="38"/>
      <c r="AR113" s="38"/>
      <c r="AS113" s="38"/>
      <c r="AT113" s="38">
        <v>2358</v>
      </c>
      <c r="AU113" s="38">
        <v>25702</v>
      </c>
      <c r="AV113" s="38">
        <v>6357</v>
      </c>
      <c r="AW113" s="38">
        <v>13388</v>
      </c>
      <c r="AX113" s="38"/>
      <c r="AY113" s="38">
        <v>754</v>
      </c>
      <c r="AZ113" s="38"/>
      <c r="BA113" s="38"/>
      <c r="BB113" s="38"/>
    </row>
    <row r="114" spans="1:54">
      <c r="A114" s="38" t="s">
        <v>3538</v>
      </c>
      <c r="B114" s="38" t="s">
        <v>1700</v>
      </c>
      <c r="C114" s="38"/>
      <c r="D114" s="38" t="s">
        <v>3399</v>
      </c>
      <c r="E114" s="38"/>
      <c r="F114" s="38"/>
      <c r="G114" s="38"/>
      <c r="H114" s="38" t="s">
        <v>3400</v>
      </c>
      <c r="I114" s="38" t="s">
        <v>3511</v>
      </c>
      <c r="J114" s="38"/>
      <c r="K114" s="38">
        <v>600</v>
      </c>
      <c r="L114" s="38">
        <v>12.6</v>
      </c>
      <c r="M114" s="38">
        <v>75.2</v>
      </c>
      <c r="N114" s="38">
        <v>75.2</v>
      </c>
      <c r="O114" s="38">
        <v>1.3</v>
      </c>
      <c r="P114" s="38">
        <v>2</v>
      </c>
      <c r="Q114" s="38">
        <v>11.6</v>
      </c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>
        <v>114</v>
      </c>
      <c r="AJ114" s="38"/>
      <c r="AK114" s="38"/>
      <c r="AL114" s="38">
        <v>4538</v>
      </c>
      <c r="AM114" s="38"/>
      <c r="AN114" s="38">
        <v>9.68</v>
      </c>
      <c r="AO114" s="38"/>
      <c r="AP114" s="38">
        <v>30.7</v>
      </c>
      <c r="AQ114" s="38"/>
      <c r="AR114" s="38"/>
      <c r="AS114" s="38"/>
      <c r="AT114" s="38">
        <v>2433</v>
      </c>
      <c r="AU114" s="38">
        <v>13997</v>
      </c>
      <c r="AV114" s="38">
        <v>5366</v>
      </c>
      <c r="AW114" s="38">
        <v>13236</v>
      </c>
      <c r="AX114" s="38"/>
      <c r="AY114" s="38">
        <v>398</v>
      </c>
      <c r="AZ114" s="38"/>
      <c r="BA114" s="38"/>
      <c r="BB114" s="38"/>
    </row>
    <row r="115" spans="1:54">
      <c r="A115" s="38" t="s">
        <v>3539</v>
      </c>
      <c r="B115" s="38" t="s">
        <v>1700</v>
      </c>
      <c r="C115" s="38"/>
      <c r="D115" s="38" t="s">
        <v>3399</v>
      </c>
      <c r="E115" s="38"/>
      <c r="F115" s="38"/>
      <c r="G115" s="38"/>
      <c r="H115" s="38" t="s">
        <v>3400</v>
      </c>
      <c r="I115" s="38" t="s">
        <v>3511</v>
      </c>
      <c r="J115" s="38"/>
      <c r="K115" s="38">
        <v>300</v>
      </c>
      <c r="L115" s="38">
        <v>39.200000000000003</v>
      </c>
      <c r="M115" s="38"/>
      <c r="N115" s="38">
        <v>56.1</v>
      </c>
      <c r="O115" s="38">
        <v>2.7</v>
      </c>
      <c r="P115" s="38"/>
      <c r="Q115" s="38"/>
      <c r="R115" s="38">
        <v>9</v>
      </c>
      <c r="S115" s="38">
        <v>0.6</v>
      </c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>
        <v>129</v>
      </c>
      <c r="AJ115" s="38"/>
      <c r="AK115" s="38"/>
      <c r="AL115" s="38">
        <v>3808</v>
      </c>
      <c r="AM115" s="38"/>
      <c r="AN115" s="38"/>
      <c r="AO115" s="38"/>
      <c r="AP115" s="38">
        <v>57.6</v>
      </c>
      <c r="AQ115" s="38"/>
      <c r="AR115" s="38"/>
      <c r="AS115" s="38"/>
      <c r="AT115" s="38">
        <v>5391</v>
      </c>
      <c r="AU115" s="38">
        <v>20185</v>
      </c>
      <c r="AV115" s="38">
        <v>8757</v>
      </c>
      <c r="AW115" s="38">
        <v>14954</v>
      </c>
      <c r="AX115" s="38"/>
      <c r="AY115" s="38">
        <v>1710</v>
      </c>
      <c r="AZ115" s="38"/>
      <c r="BA115" s="38"/>
      <c r="BB115" s="38"/>
    </row>
    <row r="116" spans="1:54">
      <c r="A116" s="38" t="s">
        <v>3540</v>
      </c>
      <c r="B116" s="38" t="s">
        <v>1700</v>
      </c>
      <c r="C116" s="38"/>
      <c r="D116" s="38" t="s">
        <v>3399</v>
      </c>
      <c r="E116" s="38"/>
      <c r="F116" s="38"/>
      <c r="G116" s="38"/>
      <c r="H116" s="38" t="s">
        <v>3400</v>
      </c>
      <c r="I116" s="38" t="s">
        <v>3511</v>
      </c>
      <c r="J116" s="38"/>
      <c r="K116" s="38">
        <v>350</v>
      </c>
      <c r="L116" s="38">
        <v>12.7</v>
      </c>
      <c r="M116" s="38"/>
      <c r="N116" s="38">
        <v>57.7</v>
      </c>
      <c r="O116" s="38">
        <v>2.4</v>
      </c>
      <c r="P116" s="38"/>
      <c r="Q116" s="38"/>
      <c r="R116" s="38">
        <v>9.1999999999999993</v>
      </c>
      <c r="S116" s="38">
        <v>1.8</v>
      </c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>
        <v>55.6</v>
      </c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</row>
    <row r="117" spans="1:54">
      <c r="A117" s="38" t="s">
        <v>3541</v>
      </c>
      <c r="B117" s="38" t="s">
        <v>1700</v>
      </c>
      <c r="C117" s="38"/>
      <c r="D117" s="38" t="s">
        <v>3399</v>
      </c>
      <c r="E117" s="38"/>
      <c r="F117" s="38"/>
      <c r="G117" s="38"/>
      <c r="H117" s="38" t="s">
        <v>3400</v>
      </c>
      <c r="I117" s="38" t="s">
        <v>3511</v>
      </c>
      <c r="J117" s="38"/>
      <c r="K117" s="38">
        <v>400</v>
      </c>
      <c r="L117" s="38">
        <v>14.5</v>
      </c>
      <c r="M117" s="38"/>
      <c r="N117" s="38">
        <v>63.8</v>
      </c>
      <c r="O117" s="38">
        <v>2.4</v>
      </c>
      <c r="P117" s="38"/>
      <c r="Q117" s="38"/>
      <c r="R117" s="38">
        <v>9.3000000000000007</v>
      </c>
      <c r="S117" s="38">
        <v>0.6</v>
      </c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>
        <v>131</v>
      </c>
      <c r="AJ117" s="38"/>
      <c r="AK117" s="38"/>
      <c r="AL117" s="38">
        <v>4405</v>
      </c>
      <c r="AM117" s="38"/>
      <c r="AN117" s="38"/>
      <c r="AO117" s="38"/>
      <c r="AP117" s="38">
        <v>58.6</v>
      </c>
      <c r="AQ117" s="38"/>
      <c r="AR117" s="38"/>
      <c r="AS117" s="38"/>
      <c r="AT117" s="38">
        <v>6446</v>
      </c>
      <c r="AU117" s="38">
        <v>22552</v>
      </c>
      <c r="AV117" s="38">
        <v>9733</v>
      </c>
      <c r="AW117" s="38">
        <v>16604</v>
      </c>
      <c r="AX117" s="38"/>
      <c r="AY117" s="38">
        <v>1656</v>
      </c>
      <c r="AZ117" s="38"/>
      <c r="BA117" s="38"/>
      <c r="BB117" s="38"/>
    </row>
    <row r="118" spans="1:54">
      <c r="A118" s="38" t="s">
        <v>3542</v>
      </c>
      <c r="B118" s="38" t="s">
        <v>1700</v>
      </c>
      <c r="C118" s="38"/>
      <c r="D118" s="38" t="s">
        <v>3399</v>
      </c>
      <c r="E118" s="38"/>
      <c r="F118" s="38"/>
      <c r="G118" s="38"/>
      <c r="H118" s="38" t="s">
        <v>3400</v>
      </c>
      <c r="I118" s="38" t="s">
        <v>3511</v>
      </c>
      <c r="J118" s="38"/>
      <c r="K118" s="38">
        <v>450</v>
      </c>
      <c r="L118" s="38">
        <v>17.8</v>
      </c>
      <c r="M118" s="38"/>
      <c r="N118" s="38">
        <v>60.4</v>
      </c>
      <c r="O118" s="38">
        <v>2.5</v>
      </c>
      <c r="P118" s="38"/>
      <c r="Q118" s="38"/>
      <c r="R118" s="38">
        <v>10.199999999999999</v>
      </c>
      <c r="S118" s="38">
        <v>1.9</v>
      </c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>
        <v>41.5</v>
      </c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</row>
    <row r="119" spans="1:54">
      <c r="A119" s="38" t="s">
        <v>3543</v>
      </c>
      <c r="B119" s="38" t="s">
        <v>1700</v>
      </c>
      <c r="C119" s="38"/>
      <c r="D119" s="38" t="s">
        <v>3399</v>
      </c>
      <c r="E119" s="38"/>
      <c r="F119" s="38"/>
      <c r="G119" s="38"/>
      <c r="H119" s="38" t="s">
        <v>3400</v>
      </c>
      <c r="I119" s="38" t="s">
        <v>3511</v>
      </c>
      <c r="J119" s="38"/>
      <c r="K119" s="38">
        <v>500</v>
      </c>
      <c r="L119" s="38">
        <v>14.7</v>
      </c>
      <c r="M119" s="38"/>
      <c r="N119" s="38">
        <v>59.4</v>
      </c>
      <c r="O119" s="38">
        <v>2.6</v>
      </c>
      <c r="P119" s="38"/>
      <c r="Q119" s="38"/>
      <c r="R119" s="38">
        <v>9.6999999999999993</v>
      </c>
      <c r="S119" s="38">
        <v>0.6</v>
      </c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>
        <v>224</v>
      </c>
      <c r="AJ119" s="38"/>
      <c r="AK119" s="38"/>
      <c r="AL119" s="38">
        <v>3861</v>
      </c>
      <c r="AM119" s="38"/>
      <c r="AN119" s="38"/>
      <c r="AO119" s="38"/>
      <c r="AP119" s="38">
        <v>42.7</v>
      </c>
      <c r="AQ119" s="38"/>
      <c r="AR119" s="38"/>
      <c r="AS119" s="38"/>
      <c r="AT119" s="38">
        <v>5649</v>
      </c>
      <c r="AU119" s="38">
        <v>18505</v>
      </c>
      <c r="AV119" s="38">
        <v>8498</v>
      </c>
      <c r="AW119" s="38">
        <v>14937</v>
      </c>
      <c r="AX119" s="38"/>
      <c r="AY119" s="38">
        <v>2371</v>
      </c>
      <c r="AZ119" s="38"/>
      <c r="BA119" s="38"/>
      <c r="BB119" s="38"/>
    </row>
    <row r="120" spans="1:54">
      <c r="A120" s="38" t="s">
        <v>3544</v>
      </c>
      <c r="B120" s="38" t="s">
        <v>1700</v>
      </c>
      <c r="C120" s="38"/>
      <c r="D120" s="38" t="s">
        <v>3399</v>
      </c>
      <c r="E120" s="38"/>
      <c r="F120" s="38"/>
      <c r="G120" s="38"/>
      <c r="H120" s="38" t="s">
        <v>3400</v>
      </c>
      <c r="I120" s="38" t="s">
        <v>3534</v>
      </c>
      <c r="J120" s="38"/>
      <c r="K120" s="38">
        <v>550</v>
      </c>
      <c r="L120" s="38">
        <v>17.3</v>
      </c>
      <c r="M120" s="38"/>
      <c r="N120" s="38">
        <v>60.9</v>
      </c>
      <c r="O120" s="38">
        <v>2.2000000000000002</v>
      </c>
      <c r="P120" s="38"/>
      <c r="Q120" s="38"/>
      <c r="R120" s="38">
        <v>10</v>
      </c>
      <c r="S120" s="38">
        <v>1.9</v>
      </c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>
        <v>41.8</v>
      </c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</row>
    <row r="121" spans="1:54">
      <c r="A121" s="38" t="s">
        <v>3545</v>
      </c>
      <c r="B121" s="38" t="s">
        <v>1700</v>
      </c>
      <c r="C121" s="38"/>
      <c r="D121" s="38" t="s">
        <v>3399</v>
      </c>
      <c r="E121" s="38"/>
      <c r="F121" s="38"/>
      <c r="G121" s="38"/>
      <c r="H121" s="38" t="s">
        <v>3400</v>
      </c>
      <c r="I121" s="38" t="s">
        <v>3511</v>
      </c>
      <c r="J121" s="38"/>
      <c r="K121" s="38">
        <v>600</v>
      </c>
      <c r="L121" s="38">
        <v>18.8</v>
      </c>
      <c r="M121" s="38"/>
      <c r="N121" s="38">
        <v>62.8</v>
      </c>
      <c r="O121" s="38">
        <v>2.2000000000000002</v>
      </c>
      <c r="P121" s="38"/>
      <c r="Q121" s="38"/>
      <c r="R121" s="38">
        <v>10</v>
      </c>
      <c r="S121" s="38">
        <v>0.7</v>
      </c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>
        <v>200</v>
      </c>
      <c r="AJ121" s="38"/>
      <c r="AK121" s="38"/>
      <c r="AL121" s="38">
        <v>5051</v>
      </c>
      <c r="AM121" s="38"/>
      <c r="AN121" s="38"/>
      <c r="AO121" s="38"/>
      <c r="AP121" s="38">
        <v>39.4</v>
      </c>
      <c r="AQ121" s="38"/>
      <c r="AR121" s="38"/>
      <c r="AS121" s="38"/>
      <c r="AT121" s="38">
        <v>8269</v>
      </c>
      <c r="AU121" s="38">
        <v>26518</v>
      </c>
      <c r="AV121" s="38">
        <v>11744</v>
      </c>
      <c r="AW121" s="38">
        <v>20852</v>
      </c>
      <c r="AX121" s="38"/>
      <c r="AY121" s="38">
        <v>2356</v>
      </c>
      <c r="AZ121" s="38"/>
      <c r="BA121" s="38"/>
      <c r="BB121" s="38"/>
    </row>
    <row r="122" spans="1:54">
      <c r="A122" s="38" t="s">
        <v>3546</v>
      </c>
      <c r="B122" s="38" t="s">
        <v>3455</v>
      </c>
      <c r="C122" s="38"/>
      <c r="D122" s="38" t="s">
        <v>3399</v>
      </c>
      <c r="E122" s="38"/>
      <c r="F122" s="38"/>
      <c r="G122" s="38"/>
      <c r="H122" s="38" t="s">
        <v>3400</v>
      </c>
      <c r="I122" s="38" t="s">
        <v>3511</v>
      </c>
      <c r="J122" s="38"/>
      <c r="K122" s="38">
        <v>500</v>
      </c>
      <c r="L122" s="38">
        <v>5.6</v>
      </c>
      <c r="M122" s="38"/>
      <c r="N122" s="38"/>
      <c r="O122" s="38"/>
      <c r="P122" s="38"/>
      <c r="Q122" s="38"/>
      <c r="R122" s="38"/>
      <c r="S122" s="38">
        <v>0.1</v>
      </c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>
        <v>34</v>
      </c>
      <c r="AJ122" s="38"/>
      <c r="AK122" s="38"/>
      <c r="AL122" s="38">
        <v>371</v>
      </c>
      <c r="AM122" s="38"/>
      <c r="AN122" s="38"/>
      <c r="AO122" s="38"/>
      <c r="AP122" s="38">
        <v>45.5</v>
      </c>
      <c r="AQ122" s="38"/>
      <c r="AR122" s="38"/>
      <c r="AS122" s="38"/>
      <c r="AT122" s="38">
        <v>56</v>
      </c>
      <c r="AU122" s="38">
        <v>3749</v>
      </c>
      <c r="AV122" s="38">
        <v>779</v>
      </c>
      <c r="AW122" s="38">
        <v>1103</v>
      </c>
      <c r="AX122" s="38"/>
      <c r="AY122" s="38">
        <v>114</v>
      </c>
      <c r="AZ122" s="38"/>
      <c r="BA122" s="38"/>
      <c r="BB122" s="38"/>
    </row>
    <row r="123" spans="1:54">
      <c r="A123" s="38" t="s">
        <v>3547</v>
      </c>
      <c r="B123" s="38" t="s">
        <v>1848</v>
      </c>
      <c r="C123" s="38"/>
      <c r="D123" s="38" t="s">
        <v>3399</v>
      </c>
      <c r="E123" s="38"/>
      <c r="F123" s="38"/>
      <c r="G123" s="38"/>
      <c r="H123" s="38" t="s">
        <v>3400</v>
      </c>
      <c r="I123" s="38" t="s">
        <v>3511</v>
      </c>
      <c r="J123" s="38"/>
      <c r="K123" s="38">
        <v>480</v>
      </c>
      <c r="L123" s="38">
        <v>6.8</v>
      </c>
      <c r="M123" s="38"/>
      <c r="N123" s="38"/>
      <c r="O123" s="38"/>
      <c r="P123" s="38"/>
      <c r="Q123" s="38"/>
      <c r="R123" s="38"/>
      <c r="S123" s="38">
        <v>0.5</v>
      </c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>
        <v>36</v>
      </c>
      <c r="AJ123" s="38"/>
      <c r="AK123" s="38"/>
      <c r="AL123" s="38">
        <v>576</v>
      </c>
      <c r="AM123" s="38"/>
      <c r="AN123" s="38"/>
      <c r="AO123" s="38"/>
      <c r="AP123" s="38">
        <v>45.6</v>
      </c>
      <c r="AQ123" s="38"/>
      <c r="AR123" s="38"/>
      <c r="AS123" s="38"/>
      <c r="AT123" s="38">
        <v>1986</v>
      </c>
      <c r="AU123" s="38">
        <v>4741</v>
      </c>
      <c r="AV123" s="38">
        <v>2478</v>
      </c>
      <c r="AW123" s="38">
        <v>16266</v>
      </c>
      <c r="AX123" s="38"/>
      <c r="AY123" s="38">
        <v>1039</v>
      </c>
      <c r="AZ123" s="38"/>
      <c r="BA123" s="38"/>
      <c r="BB123" s="38"/>
    </row>
    <row r="124" spans="1:54">
      <c r="A124" s="38" t="s">
        <v>3548</v>
      </c>
      <c r="B124" s="38" t="s">
        <v>1848</v>
      </c>
      <c r="C124" s="38"/>
      <c r="D124" s="38" t="s">
        <v>3399</v>
      </c>
      <c r="E124" s="38"/>
      <c r="F124" s="38"/>
      <c r="G124" s="38"/>
      <c r="H124" s="38" t="s">
        <v>3400</v>
      </c>
      <c r="I124" s="38" t="s">
        <v>3511</v>
      </c>
      <c r="J124" s="38"/>
      <c r="K124" s="38">
        <v>300</v>
      </c>
      <c r="L124" s="38">
        <v>23.3</v>
      </c>
      <c r="M124" s="38">
        <v>53.6</v>
      </c>
      <c r="N124" s="38">
        <v>65.3</v>
      </c>
      <c r="O124" s="38">
        <v>5.3</v>
      </c>
      <c r="P124" s="38"/>
      <c r="Q124" s="38"/>
      <c r="R124" s="38">
        <v>7.6</v>
      </c>
      <c r="S124" s="38">
        <v>1.8</v>
      </c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>
        <v>49</v>
      </c>
      <c r="AJ124" s="38"/>
      <c r="AK124" s="38"/>
      <c r="AL124" s="38">
        <v>9852</v>
      </c>
      <c r="AM124" s="38"/>
      <c r="AN124" s="38"/>
      <c r="AO124" s="38"/>
      <c r="AP124" s="38">
        <v>45.4</v>
      </c>
      <c r="AQ124" s="38"/>
      <c r="AR124" s="38"/>
      <c r="AS124" s="38"/>
      <c r="AT124" s="38">
        <v>5874</v>
      </c>
      <c r="AU124" s="38">
        <v>28177</v>
      </c>
      <c r="AV124" s="38">
        <v>3337</v>
      </c>
      <c r="AW124" s="38">
        <v>13018</v>
      </c>
      <c r="AX124" s="38"/>
      <c r="AY124" s="38">
        <v>2258</v>
      </c>
      <c r="AZ124" s="38"/>
      <c r="BA124" s="38"/>
      <c r="BB124" s="38"/>
    </row>
    <row r="125" spans="1:54">
      <c r="A125" s="38" t="s">
        <v>3549</v>
      </c>
      <c r="B125" s="38" t="s">
        <v>1848</v>
      </c>
      <c r="C125" s="38"/>
      <c r="D125" s="38" t="s">
        <v>3399</v>
      </c>
      <c r="E125" s="38"/>
      <c r="F125" s="38"/>
      <c r="G125" s="38"/>
      <c r="H125" s="38" t="s">
        <v>3400</v>
      </c>
      <c r="I125" s="38" t="s">
        <v>3511</v>
      </c>
      <c r="J125" s="38"/>
      <c r="K125" s="38">
        <v>400</v>
      </c>
      <c r="L125" s="38">
        <v>46</v>
      </c>
      <c r="M125" s="38">
        <v>39.200000000000003</v>
      </c>
      <c r="N125" s="38">
        <v>52.4</v>
      </c>
      <c r="O125" s="38">
        <v>3.4</v>
      </c>
      <c r="P125" s="38"/>
      <c r="Q125" s="38"/>
      <c r="R125" s="38">
        <v>8.6</v>
      </c>
      <c r="S125" s="38">
        <v>1.8</v>
      </c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>
        <v>39</v>
      </c>
      <c r="AJ125" s="38"/>
      <c r="AK125" s="38"/>
      <c r="AL125" s="38">
        <v>9008</v>
      </c>
      <c r="AM125" s="38"/>
      <c r="AN125" s="38"/>
      <c r="AO125" s="38"/>
      <c r="AP125" s="38">
        <v>35.700000000000003</v>
      </c>
      <c r="AQ125" s="38"/>
      <c r="AR125" s="38"/>
      <c r="AS125" s="38"/>
      <c r="AT125" s="38">
        <v>5007</v>
      </c>
      <c r="AU125" s="38">
        <v>51745</v>
      </c>
      <c r="AV125" s="38">
        <v>5341</v>
      </c>
      <c r="AW125" s="38">
        <v>14557</v>
      </c>
      <c r="AX125" s="38"/>
      <c r="AY125" s="38">
        <v>4431</v>
      </c>
      <c r="AZ125" s="38"/>
      <c r="BA125" s="38"/>
      <c r="BB125" s="38"/>
    </row>
    <row r="126" spans="1:54">
      <c r="A126" s="38" t="s">
        <v>3550</v>
      </c>
      <c r="B126" s="38" t="s">
        <v>1848</v>
      </c>
      <c r="C126" s="38"/>
      <c r="D126" s="38" t="s">
        <v>3399</v>
      </c>
      <c r="E126" s="38"/>
      <c r="F126" s="38"/>
      <c r="G126" s="38"/>
      <c r="H126" s="38" t="s">
        <v>3400</v>
      </c>
      <c r="I126" s="38" t="s">
        <v>3511</v>
      </c>
      <c r="J126" s="38"/>
      <c r="K126" s="38">
        <v>500</v>
      </c>
      <c r="L126" s="38">
        <v>52.7</v>
      </c>
      <c r="M126" s="38">
        <v>42</v>
      </c>
      <c r="N126" s="38">
        <v>42</v>
      </c>
      <c r="O126" s="38">
        <v>2.8</v>
      </c>
      <c r="P126" s="38"/>
      <c r="Q126" s="38"/>
      <c r="R126" s="38">
        <v>9.6999999999999993</v>
      </c>
      <c r="S126" s="38">
        <v>1.8</v>
      </c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>
        <v>64</v>
      </c>
      <c r="AJ126" s="38"/>
      <c r="AK126" s="38"/>
      <c r="AL126" s="38">
        <v>13703</v>
      </c>
      <c r="AM126" s="38"/>
      <c r="AN126" s="38"/>
      <c r="AO126" s="38"/>
      <c r="AP126" s="38">
        <v>33.700000000000003</v>
      </c>
      <c r="AQ126" s="38"/>
      <c r="AR126" s="38"/>
      <c r="AS126" s="38"/>
      <c r="AT126" s="38">
        <v>7524</v>
      </c>
      <c r="AU126" s="38">
        <v>53779</v>
      </c>
      <c r="AV126" s="38">
        <v>4461</v>
      </c>
      <c r="AW126" s="38">
        <v>21340</v>
      </c>
      <c r="AX126" s="38"/>
      <c r="AY126" s="38">
        <v>2427</v>
      </c>
      <c r="AZ126" s="38"/>
      <c r="BA126" s="38"/>
      <c r="BB126" s="38"/>
    </row>
    <row r="127" spans="1:54">
      <c r="A127" s="38" t="s">
        <v>3551</v>
      </c>
      <c r="B127" s="38" t="s">
        <v>1848</v>
      </c>
      <c r="C127" s="38"/>
      <c r="D127" s="38" t="s">
        <v>3399</v>
      </c>
      <c r="E127" s="38"/>
      <c r="F127" s="38"/>
      <c r="G127" s="38"/>
      <c r="H127" s="38" t="s">
        <v>3400</v>
      </c>
      <c r="I127" s="38" t="s">
        <v>3511</v>
      </c>
      <c r="J127" s="38"/>
      <c r="K127" s="38">
        <v>600</v>
      </c>
      <c r="L127" s="38">
        <v>52</v>
      </c>
      <c r="M127" s="38">
        <v>32</v>
      </c>
      <c r="N127" s="38">
        <v>32</v>
      </c>
      <c r="O127" s="38">
        <v>1.2</v>
      </c>
      <c r="P127" s="38"/>
      <c r="Q127" s="38"/>
      <c r="R127" s="38">
        <v>10.8</v>
      </c>
      <c r="S127" s="38">
        <v>2.5</v>
      </c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>
        <v>64</v>
      </c>
      <c r="AJ127" s="38"/>
      <c r="AK127" s="38"/>
      <c r="AL127" s="38">
        <v>14503</v>
      </c>
      <c r="AM127" s="38"/>
      <c r="AN127" s="38"/>
      <c r="AO127" s="38"/>
      <c r="AP127" s="38">
        <v>34.5</v>
      </c>
      <c r="AQ127" s="38"/>
      <c r="AR127" s="38"/>
      <c r="AS127" s="38"/>
      <c r="AT127" s="38">
        <v>8150</v>
      </c>
      <c r="AU127" s="38">
        <v>73534</v>
      </c>
      <c r="AV127" s="38">
        <v>6567</v>
      </c>
      <c r="AW127" s="38">
        <v>27949</v>
      </c>
      <c r="AX127" s="38"/>
      <c r="AY127" s="38">
        <v>5063</v>
      </c>
      <c r="AZ127" s="38"/>
      <c r="BA127" s="38"/>
      <c r="BB127" s="38"/>
    </row>
    <row r="128" spans="1:54">
      <c r="A128" s="38" t="s">
        <v>3552</v>
      </c>
      <c r="B128" s="38" t="s">
        <v>1700</v>
      </c>
      <c r="C128" s="38"/>
      <c r="D128" s="38" t="s">
        <v>3399</v>
      </c>
      <c r="E128" s="38"/>
      <c r="F128" s="38"/>
      <c r="G128" s="38"/>
      <c r="H128" s="38" t="s">
        <v>3400</v>
      </c>
      <c r="I128" s="38" t="s">
        <v>3511</v>
      </c>
      <c r="J128" s="38"/>
      <c r="K128" s="38">
        <v>600</v>
      </c>
      <c r="L128" s="38">
        <v>58.4</v>
      </c>
      <c r="M128" s="38"/>
      <c r="N128" s="38"/>
      <c r="O128" s="38"/>
      <c r="P128" s="38"/>
      <c r="Q128" s="38"/>
      <c r="R128" s="38"/>
      <c r="S128" s="38">
        <v>7.5</v>
      </c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>
        <v>1193</v>
      </c>
      <c r="AJ128" s="38"/>
      <c r="AK128" s="38"/>
      <c r="AL128" s="38">
        <v>13460</v>
      </c>
      <c r="AM128" s="38"/>
      <c r="AN128" s="38"/>
      <c r="AO128" s="38"/>
      <c r="AP128" s="38">
        <v>37.700000000000003</v>
      </c>
      <c r="AQ128" s="38"/>
      <c r="AR128" s="38"/>
      <c r="AS128" s="38"/>
      <c r="AT128" s="38">
        <v>43344</v>
      </c>
      <c r="AU128" s="38">
        <v>76770</v>
      </c>
      <c r="AV128" s="38">
        <v>16906</v>
      </c>
      <c r="AW128" s="38">
        <v>70520</v>
      </c>
      <c r="AX128" s="38"/>
      <c r="AY128" s="38">
        <v>3180</v>
      </c>
      <c r="AZ128" s="38"/>
      <c r="BA128" s="38"/>
      <c r="BB128" s="38"/>
    </row>
    <row r="129" spans="1:54">
      <c r="A129" s="38" t="s">
        <v>3553</v>
      </c>
      <c r="B129" s="38" t="s">
        <v>3449</v>
      </c>
      <c r="C129" s="38"/>
      <c r="D129" s="38" t="s">
        <v>3399</v>
      </c>
      <c r="E129" s="38"/>
      <c r="F129" s="38"/>
      <c r="G129" s="38"/>
      <c r="H129" s="38" t="s">
        <v>3400</v>
      </c>
      <c r="I129" s="38" t="s">
        <v>3511</v>
      </c>
      <c r="J129" s="38"/>
      <c r="K129" s="38">
        <v>300</v>
      </c>
      <c r="L129" s="38">
        <v>2</v>
      </c>
      <c r="M129" s="38">
        <v>69.900000000000006</v>
      </c>
      <c r="N129" s="38">
        <v>69.900000000000006</v>
      </c>
      <c r="O129" s="38">
        <v>0.5</v>
      </c>
      <c r="P129" s="38">
        <v>3.9</v>
      </c>
      <c r="Q129" s="38">
        <v>23.7</v>
      </c>
      <c r="R129" s="38">
        <v>6.3</v>
      </c>
      <c r="S129" s="38">
        <v>1.5</v>
      </c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>
        <v>14</v>
      </c>
      <c r="AJ129" s="38"/>
      <c r="AK129" s="38"/>
      <c r="AL129" s="38">
        <v>471</v>
      </c>
      <c r="AM129" s="38"/>
      <c r="AN129" s="38">
        <v>5.89</v>
      </c>
      <c r="AO129" s="38"/>
      <c r="AP129" s="38">
        <v>48.8</v>
      </c>
      <c r="AQ129" s="38"/>
      <c r="AR129" s="38"/>
      <c r="AS129" s="38"/>
      <c r="AT129" s="38">
        <v>397</v>
      </c>
      <c r="AU129" s="38">
        <v>3726</v>
      </c>
      <c r="AV129" s="38">
        <v>790</v>
      </c>
      <c r="AW129" s="38">
        <v>5166</v>
      </c>
      <c r="AX129" s="38"/>
      <c r="AY129" s="38">
        <v>92</v>
      </c>
      <c r="AZ129" s="38"/>
      <c r="BA129" s="38"/>
      <c r="BB129" s="38"/>
    </row>
    <row r="130" spans="1:54">
      <c r="A130" s="38" t="s">
        <v>3554</v>
      </c>
      <c r="B130" s="38" t="s">
        <v>3449</v>
      </c>
      <c r="C130" s="38"/>
      <c r="D130" s="38" t="s">
        <v>3399</v>
      </c>
      <c r="E130" s="38"/>
      <c r="F130" s="38"/>
      <c r="G130" s="38"/>
      <c r="H130" s="38" t="s">
        <v>3400</v>
      </c>
      <c r="I130" s="38" t="s">
        <v>3511</v>
      </c>
      <c r="J130" s="38"/>
      <c r="K130" s="38">
        <v>350</v>
      </c>
      <c r="L130" s="38">
        <v>1.2</v>
      </c>
      <c r="M130" s="38">
        <v>73.099999999999994</v>
      </c>
      <c r="N130" s="38">
        <v>73.099999999999994</v>
      </c>
      <c r="O130" s="38">
        <v>0.5</v>
      </c>
      <c r="P130" s="38">
        <v>3.7</v>
      </c>
      <c r="Q130" s="38">
        <v>23.3</v>
      </c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>
        <v>13</v>
      </c>
      <c r="AJ130" s="38"/>
      <c r="AK130" s="38"/>
      <c r="AL130" s="38">
        <v>311</v>
      </c>
      <c r="AM130" s="38"/>
      <c r="AN130" s="38"/>
      <c r="AO130" s="38"/>
      <c r="AP130" s="38">
        <v>56.1</v>
      </c>
      <c r="AQ130" s="38"/>
      <c r="AR130" s="38"/>
      <c r="AS130" s="38"/>
      <c r="AT130" s="38">
        <v>279</v>
      </c>
      <c r="AU130" s="38">
        <v>2580</v>
      </c>
      <c r="AV130" s="38">
        <v>496</v>
      </c>
      <c r="AW130" s="38">
        <v>4142</v>
      </c>
      <c r="AX130" s="38"/>
      <c r="AY130" s="38">
        <v>57</v>
      </c>
      <c r="AZ130" s="38"/>
      <c r="BA130" s="38"/>
      <c r="BB130" s="38"/>
    </row>
    <row r="131" spans="1:54">
      <c r="A131" s="38" t="s">
        <v>3555</v>
      </c>
      <c r="B131" s="38" t="s">
        <v>3449</v>
      </c>
      <c r="C131" s="38"/>
      <c r="D131" s="38" t="s">
        <v>3399</v>
      </c>
      <c r="E131" s="38"/>
      <c r="F131" s="38"/>
      <c r="G131" s="38"/>
      <c r="H131" s="38" t="s">
        <v>3400</v>
      </c>
      <c r="I131" s="38" t="s">
        <v>3511</v>
      </c>
      <c r="J131" s="38"/>
      <c r="K131" s="38">
        <v>400</v>
      </c>
      <c r="L131" s="38">
        <v>1.7</v>
      </c>
      <c r="M131" s="38">
        <v>77.2</v>
      </c>
      <c r="N131" s="38">
        <v>77.2</v>
      </c>
      <c r="O131" s="38">
        <v>0.5</v>
      </c>
      <c r="P131" s="38">
        <v>3.3</v>
      </c>
      <c r="Q131" s="38">
        <v>18.7</v>
      </c>
      <c r="R131" s="38">
        <v>7.7</v>
      </c>
      <c r="S131" s="38">
        <v>1.4</v>
      </c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>
        <v>10</v>
      </c>
      <c r="AJ131" s="38"/>
      <c r="AK131" s="38"/>
      <c r="AL131" s="38">
        <v>488</v>
      </c>
      <c r="AM131" s="38"/>
      <c r="AN131" s="38">
        <v>10.25</v>
      </c>
      <c r="AO131" s="38"/>
      <c r="AP131" s="38">
        <v>43.5</v>
      </c>
      <c r="AQ131" s="38"/>
      <c r="AR131" s="38"/>
      <c r="AS131" s="38"/>
      <c r="AT131" s="38">
        <v>298</v>
      </c>
      <c r="AU131" s="38">
        <v>2821</v>
      </c>
      <c r="AV131" s="38">
        <v>554</v>
      </c>
      <c r="AW131" s="38">
        <v>4285</v>
      </c>
      <c r="AX131" s="38"/>
      <c r="AY131" s="38">
        <v>29</v>
      </c>
      <c r="AZ131" s="38"/>
      <c r="BA131" s="38"/>
      <c r="BB131" s="38"/>
    </row>
    <row r="132" spans="1:54">
      <c r="A132" s="38" t="s">
        <v>3556</v>
      </c>
      <c r="B132" s="38" t="s">
        <v>3449</v>
      </c>
      <c r="C132" s="38"/>
      <c r="D132" s="38" t="s">
        <v>3399</v>
      </c>
      <c r="E132" s="38"/>
      <c r="F132" s="38"/>
      <c r="G132" s="38"/>
      <c r="H132" s="38" t="s">
        <v>3400</v>
      </c>
      <c r="I132" s="38" t="s">
        <v>3511</v>
      </c>
      <c r="J132" s="38"/>
      <c r="K132" s="38">
        <v>450</v>
      </c>
      <c r="L132" s="38">
        <v>1.3</v>
      </c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>
        <v>5</v>
      </c>
      <c r="AJ132" s="38"/>
      <c r="AK132" s="38"/>
      <c r="AL132" s="38">
        <v>244</v>
      </c>
      <c r="AM132" s="38"/>
      <c r="AN132" s="38"/>
      <c r="AO132" s="38"/>
      <c r="AP132" s="38">
        <v>47</v>
      </c>
      <c r="AQ132" s="38"/>
      <c r="AR132" s="38"/>
      <c r="AS132" s="38"/>
      <c r="AT132" s="38">
        <v>277</v>
      </c>
      <c r="AU132" s="38">
        <v>2598</v>
      </c>
      <c r="AV132" s="38">
        <v>490</v>
      </c>
      <c r="AW132" s="38">
        <v>4748</v>
      </c>
      <c r="AX132" s="38"/>
      <c r="AY132" s="38">
        <v>35</v>
      </c>
      <c r="AZ132" s="38"/>
      <c r="BA132" s="38"/>
      <c r="BB132" s="38"/>
    </row>
    <row r="133" spans="1:54">
      <c r="A133" s="38" t="s">
        <v>3557</v>
      </c>
      <c r="B133" s="38" t="s">
        <v>3449</v>
      </c>
      <c r="C133" s="38"/>
      <c r="D133" s="38" t="s">
        <v>3399</v>
      </c>
      <c r="E133" s="38"/>
      <c r="F133" s="38"/>
      <c r="G133" s="38"/>
      <c r="H133" s="38" t="s">
        <v>3400</v>
      </c>
      <c r="I133" s="38" t="s">
        <v>3511</v>
      </c>
      <c r="J133" s="38"/>
      <c r="K133" s="38">
        <v>500</v>
      </c>
      <c r="L133" s="38">
        <v>1.9</v>
      </c>
      <c r="M133" s="38">
        <v>79.400000000000006</v>
      </c>
      <c r="N133" s="38">
        <v>79.400000000000006</v>
      </c>
      <c r="O133" s="38">
        <v>0.5</v>
      </c>
      <c r="P133" s="38">
        <v>2.9</v>
      </c>
      <c r="Q133" s="38">
        <v>16.8</v>
      </c>
      <c r="R133" s="38">
        <v>8.6</v>
      </c>
      <c r="S133" s="38">
        <v>1.5</v>
      </c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>
        <v>12</v>
      </c>
      <c r="AJ133" s="38"/>
      <c r="AK133" s="38"/>
      <c r="AL133" s="38">
        <v>386</v>
      </c>
      <c r="AM133" s="38"/>
      <c r="AN133" s="38">
        <v>11.79</v>
      </c>
      <c r="AO133" s="38"/>
      <c r="AP133" s="38">
        <v>37.200000000000003</v>
      </c>
      <c r="AQ133" s="38"/>
      <c r="AR133" s="38"/>
      <c r="AS133" s="38"/>
      <c r="AT133" s="38">
        <v>348</v>
      </c>
      <c r="AU133" s="38">
        <v>2823</v>
      </c>
      <c r="AV133" s="38">
        <v>563</v>
      </c>
      <c r="AW133" s="38">
        <v>5121</v>
      </c>
      <c r="AX133" s="38"/>
      <c r="AY133" s="38">
        <v>51</v>
      </c>
      <c r="AZ133" s="38"/>
      <c r="BA133" s="38"/>
      <c r="BB133" s="38"/>
    </row>
    <row r="134" spans="1:54">
      <c r="A134" s="38" t="s">
        <v>3558</v>
      </c>
      <c r="B134" s="38" t="s">
        <v>3455</v>
      </c>
      <c r="C134" s="38"/>
      <c r="D134" s="38" t="s">
        <v>3399</v>
      </c>
      <c r="E134" s="38"/>
      <c r="F134" s="38"/>
      <c r="G134" s="38"/>
      <c r="H134" s="38" t="s">
        <v>3400</v>
      </c>
      <c r="I134" s="38" t="s">
        <v>3419</v>
      </c>
      <c r="J134" s="38"/>
      <c r="K134" s="38">
        <v>200</v>
      </c>
      <c r="L134" s="38"/>
      <c r="M134" s="38"/>
      <c r="N134" s="38">
        <v>51.8</v>
      </c>
      <c r="O134" s="38">
        <v>0.27</v>
      </c>
      <c r="P134" s="38">
        <v>6.2</v>
      </c>
      <c r="Q134" s="38">
        <v>39.6</v>
      </c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>
        <v>0.8</v>
      </c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</row>
    <row r="135" spans="1:54">
      <c r="A135" s="38" t="s">
        <v>3559</v>
      </c>
      <c r="B135" s="38" t="s">
        <v>3455</v>
      </c>
      <c r="C135" s="38"/>
      <c r="D135" s="38" t="s">
        <v>3399</v>
      </c>
      <c r="E135" s="38"/>
      <c r="F135" s="38"/>
      <c r="G135" s="38"/>
      <c r="H135" s="38" t="s">
        <v>3400</v>
      </c>
      <c r="I135" s="38" t="s">
        <v>3419</v>
      </c>
      <c r="J135" s="38"/>
      <c r="K135" s="38">
        <v>300</v>
      </c>
      <c r="L135" s="38"/>
      <c r="M135" s="38"/>
      <c r="N135" s="38">
        <v>63.8</v>
      </c>
      <c r="O135" s="38">
        <v>0.3</v>
      </c>
      <c r="P135" s="38">
        <v>5.2</v>
      </c>
      <c r="Q135" s="38">
        <v>28.3</v>
      </c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>
        <v>1.1299999999999999</v>
      </c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</row>
    <row r="136" spans="1:54">
      <c r="A136" s="38" t="s">
        <v>3560</v>
      </c>
      <c r="B136" s="38" t="s">
        <v>3455</v>
      </c>
      <c r="C136" s="38"/>
      <c r="D136" s="38" t="s">
        <v>3399</v>
      </c>
      <c r="E136" s="38"/>
      <c r="F136" s="38"/>
      <c r="G136" s="38"/>
      <c r="H136" s="38" t="s">
        <v>3400</v>
      </c>
      <c r="I136" s="38" t="s">
        <v>3419</v>
      </c>
      <c r="J136" s="38"/>
      <c r="K136" s="38">
        <v>350</v>
      </c>
      <c r="L136" s="38"/>
      <c r="M136" s="38"/>
      <c r="N136" s="38">
        <v>68.3</v>
      </c>
      <c r="O136" s="38">
        <v>0.4</v>
      </c>
      <c r="P136" s="38">
        <v>4.3</v>
      </c>
      <c r="Q136" s="38">
        <v>23.6</v>
      </c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>
        <v>2.0299999999999998</v>
      </c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</row>
    <row r="137" spans="1:54">
      <c r="A137" s="38" t="s">
        <v>3561</v>
      </c>
      <c r="B137" s="38" t="s">
        <v>3455</v>
      </c>
      <c r="C137" s="38"/>
      <c r="D137" s="38" t="s">
        <v>3399</v>
      </c>
      <c r="E137" s="38"/>
      <c r="F137" s="38"/>
      <c r="G137" s="38"/>
      <c r="H137" s="38" t="s">
        <v>3400</v>
      </c>
      <c r="I137" s="38" t="s">
        <v>3419</v>
      </c>
      <c r="J137" s="38"/>
      <c r="K137" s="38">
        <v>650</v>
      </c>
      <c r="L137" s="38"/>
      <c r="M137" s="38"/>
      <c r="N137" s="38">
        <v>83.8</v>
      </c>
      <c r="O137" s="38">
        <v>0.26</v>
      </c>
      <c r="P137" s="38">
        <v>3.0000000000000001E-3</v>
      </c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>
        <v>81.7</v>
      </c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</row>
    <row r="138" spans="1:54">
      <c r="A138" s="38" t="s">
        <v>3562</v>
      </c>
      <c r="B138" s="38" t="s">
        <v>3471</v>
      </c>
      <c r="C138" s="38"/>
      <c r="D138" s="38" t="s">
        <v>3399</v>
      </c>
      <c r="E138" s="38"/>
      <c r="F138" s="38"/>
      <c r="G138" s="38"/>
      <c r="H138" s="38" t="s">
        <v>3400</v>
      </c>
      <c r="I138" s="38" t="s">
        <v>3419</v>
      </c>
      <c r="J138" s="38"/>
      <c r="K138" s="38">
        <v>200</v>
      </c>
      <c r="L138" s="38"/>
      <c r="M138" s="38"/>
      <c r="N138" s="38">
        <v>47.2</v>
      </c>
      <c r="O138" s="38">
        <v>1.29</v>
      </c>
      <c r="P138" s="38">
        <v>6</v>
      </c>
      <c r="Q138" s="38">
        <v>39.299999999999997</v>
      </c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>
        <v>0.57999999999999996</v>
      </c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</row>
    <row r="139" spans="1:54">
      <c r="A139" s="38" t="s">
        <v>3563</v>
      </c>
      <c r="B139" s="38" t="s">
        <v>3471</v>
      </c>
      <c r="C139" s="38"/>
      <c r="D139" s="38" t="s">
        <v>3399</v>
      </c>
      <c r="E139" s="38"/>
      <c r="F139" s="38"/>
      <c r="G139" s="38"/>
      <c r="H139" s="38" t="s">
        <v>3400</v>
      </c>
      <c r="I139" s="38" t="s">
        <v>3419</v>
      </c>
      <c r="J139" s="38"/>
      <c r="K139" s="38">
        <v>300</v>
      </c>
      <c r="L139" s="38"/>
      <c r="M139" s="38"/>
      <c r="N139" s="38">
        <v>62.1</v>
      </c>
      <c r="O139" s="38">
        <v>1.6</v>
      </c>
      <c r="P139" s="38">
        <v>4.7</v>
      </c>
      <c r="Q139" s="38">
        <v>22.2</v>
      </c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>
        <v>1.28</v>
      </c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</row>
    <row r="140" spans="1:54">
      <c r="A140" s="38" t="s">
        <v>3564</v>
      </c>
      <c r="B140" s="38" t="s">
        <v>3471</v>
      </c>
      <c r="C140" s="38"/>
      <c r="D140" s="38" t="s">
        <v>3399</v>
      </c>
      <c r="E140" s="38"/>
      <c r="F140" s="38"/>
      <c r="G140" s="38"/>
      <c r="H140" s="38" t="s">
        <v>3400</v>
      </c>
      <c r="I140" s="38" t="s">
        <v>3419</v>
      </c>
      <c r="J140" s="38"/>
      <c r="K140" s="38">
        <v>350</v>
      </c>
      <c r="L140" s="38"/>
      <c r="M140" s="38"/>
      <c r="N140" s="38">
        <v>63.5</v>
      </c>
      <c r="O140" s="38">
        <v>1.7</v>
      </c>
      <c r="P140" s="38">
        <v>4.2</v>
      </c>
      <c r="Q140" s="38">
        <v>20.6</v>
      </c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>
        <v>1.82</v>
      </c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</row>
    <row r="141" spans="1:54">
      <c r="A141" s="38" t="s">
        <v>3565</v>
      </c>
      <c r="B141" s="38" t="s">
        <v>3471</v>
      </c>
      <c r="C141" s="38"/>
      <c r="D141" s="38" t="s">
        <v>3399</v>
      </c>
      <c r="E141" s="38"/>
      <c r="F141" s="38"/>
      <c r="G141" s="38"/>
      <c r="H141" s="38" t="s">
        <v>3400</v>
      </c>
      <c r="I141" s="38" t="s">
        <v>3419</v>
      </c>
      <c r="J141" s="38"/>
      <c r="K141" s="38">
        <v>650</v>
      </c>
      <c r="L141" s="38"/>
      <c r="M141" s="38"/>
      <c r="N141" s="38">
        <v>72.599999999999994</v>
      </c>
      <c r="O141" s="38">
        <v>1.47</v>
      </c>
      <c r="P141" s="38">
        <v>1.8</v>
      </c>
      <c r="Q141" s="38">
        <v>8.5</v>
      </c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>
        <v>107</v>
      </c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</row>
    <row r="142" spans="1:54">
      <c r="A142" s="38" t="s">
        <v>3566</v>
      </c>
      <c r="B142" s="38" t="s">
        <v>1848</v>
      </c>
      <c r="C142" s="38"/>
      <c r="D142" s="38" t="s">
        <v>3399</v>
      </c>
      <c r="E142" s="38"/>
      <c r="F142" s="38"/>
      <c r="G142" s="38"/>
      <c r="H142" s="38" t="s">
        <v>3400</v>
      </c>
      <c r="I142" s="38" t="s">
        <v>3425</v>
      </c>
      <c r="J142" s="38"/>
      <c r="K142" s="38">
        <v>850</v>
      </c>
      <c r="L142" s="38">
        <v>89.1</v>
      </c>
      <c r="M142" s="38"/>
      <c r="N142" s="38">
        <v>1.4</v>
      </c>
      <c r="O142" s="38">
        <v>0.1</v>
      </c>
      <c r="P142" s="38">
        <v>0.5</v>
      </c>
      <c r="Q142" s="38">
        <v>3</v>
      </c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>
        <v>4.78</v>
      </c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</row>
    <row r="143" spans="1:54">
      <c r="A143" s="38" t="s">
        <v>3567</v>
      </c>
      <c r="B143" s="38" t="s">
        <v>1848</v>
      </c>
      <c r="C143" s="38"/>
      <c r="D143" s="38" t="s">
        <v>3351</v>
      </c>
      <c r="E143" s="38" t="s">
        <v>3568</v>
      </c>
      <c r="F143" s="38" t="s">
        <v>3569</v>
      </c>
      <c r="G143" s="38" t="s">
        <v>3570</v>
      </c>
      <c r="H143" s="38" t="s">
        <v>3571</v>
      </c>
      <c r="I143" s="38" t="s">
        <v>3572</v>
      </c>
      <c r="J143" s="38">
        <v>4.7</v>
      </c>
      <c r="K143" s="38">
        <v>550</v>
      </c>
      <c r="L143" s="38"/>
      <c r="M143" s="38"/>
      <c r="N143" s="38">
        <v>9.9</v>
      </c>
      <c r="O143" s="38">
        <v>1.8</v>
      </c>
      <c r="P143" s="38"/>
      <c r="Q143" s="38"/>
      <c r="R143" s="38">
        <v>7.58</v>
      </c>
      <c r="S143" s="38"/>
      <c r="T143" s="38" t="s">
        <v>3573</v>
      </c>
      <c r="U143" s="38" t="s">
        <v>3574</v>
      </c>
      <c r="V143" s="38">
        <v>0.37</v>
      </c>
      <c r="W143" s="38" t="s">
        <v>3575</v>
      </c>
      <c r="X143" s="38" t="s">
        <v>3575</v>
      </c>
      <c r="Y143" s="38" t="s">
        <v>3576</v>
      </c>
      <c r="Z143" s="38" t="s">
        <v>3576</v>
      </c>
      <c r="AA143" s="38">
        <v>4</v>
      </c>
      <c r="AB143" s="38">
        <v>2</v>
      </c>
      <c r="AC143" s="38">
        <v>5</v>
      </c>
      <c r="AD143" s="38" t="s">
        <v>3576</v>
      </c>
      <c r="AE143" s="38" t="s">
        <v>3576</v>
      </c>
      <c r="AF143" s="38">
        <v>0.01</v>
      </c>
      <c r="AG143" s="38">
        <v>18</v>
      </c>
      <c r="AH143" s="38" t="s">
        <v>3577</v>
      </c>
      <c r="AI143" s="38">
        <v>152</v>
      </c>
      <c r="AJ143" s="38"/>
      <c r="AK143" s="38"/>
      <c r="AL143" s="38"/>
      <c r="AM143" s="38"/>
      <c r="AN143" s="38"/>
      <c r="AO143" s="38"/>
      <c r="AP143" s="38"/>
      <c r="AQ143" s="38">
        <v>85</v>
      </c>
      <c r="AR143" s="38"/>
      <c r="AS143" s="38"/>
      <c r="AT143" s="38">
        <v>133000</v>
      </c>
      <c r="AU143" s="38">
        <v>300000</v>
      </c>
      <c r="AV143" s="38">
        <v>6000</v>
      </c>
      <c r="AW143" s="38">
        <v>2000</v>
      </c>
      <c r="AX143" s="38">
        <v>24</v>
      </c>
      <c r="AY143" s="38">
        <v>63</v>
      </c>
      <c r="AZ143" s="38" t="s">
        <v>3578</v>
      </c>
      <c r="BA143" s="38"/>
      <c r="BB143" s="38"/>
    </row>
    <row r="144" spans="1:54">
      <c r="A144" s="38" t="s">
        <v>3579</v>
      </c>
      <c r="B144" s="38" t="s">
        <v>3449</v>
      </c>
      <c r="C144" s="38"/>
      <c r="D144" s="38" t="s">
        <v>3399</v>
      </c>
      <c r="E144" s="38"/>
      <c r="F144" s="38"/>
      <c r="G144" s="38"/>
      <c r="H144" s="38" t="s">
        <v>3400</v>
      </c>
      <c r="I144" s="38" t="s">
        <v>3511</v>
      </c>
      <c r="J144" s="38"/>
      <c r="K144" s="38">
        <v>550</v>
      </c>
      <c r="L144" s="38">
        <v>1.4</v>
      </c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>
        <v>12</v>
      </c>
      <c r="AJ144" s="38"/>
      <c r="AK144" s="38"/>
      <c r="AL144" s="38">
        <v>386</v>
      </c>
      <c r="AM144" s="38"/>
      <c r="AN144" s="38"/>
      <c r="AO144" s="38"/>
      <c r="AP144" s="38">
        <v>41.7</v>
      </c>
      <c r="AQ144" s="38"/>
      <c r="AR144" s="38"/>
      <c r="AS144" s="38"/>
      <c r="AT144" s="38">
        <v>348</v>
      </c>
      <c r="AU144" s="38">
        <v>2823</v>
      </c>
      <c r="AV144" s="38">
        <v>563</v>
      </c>
      <c r="AW144" s="38">
        <v>348</v>
      </c>
      <c r="AX144" s="38"/>
      <c r="AY144" s="38">
        <v>51</v>
      </c>
      <c r="AZ144" s="38"/>
      <c r="BA144" s="38"/>
      <c r="BB144" s="38"/>
    </row>
    <row r="145" spans="1:54">
      <c r="A145" s="38" t="s">
        <v>3580</v>
      </c>
      <c r="B145" s="38" t="s">
        <v>3449</v>
      </c>
      <c r="C145" s="38"/>
      <c r="D145" s="38" t="s">
        <v>3399</v>
      </c>
      <c r="E145" s="38"/>
      <c r="F145" s="38"/>
      <c r="G145" s="38"/>
      <c r="H145" s="38" t="s">
        <v>3400</v>
      </c>
      <c r="I145" s="38" t="s">
        <v>3511</v>
      </c>
      <c r="J145" s="38"/>
      <c r="K145" s="38">
        <v>600</v>
      </c>
      <c r="L145" s="38">
        <v>2.2000000000000002</v>
      </c>
      <c r="M145" s="38">
        <v>80.599999999999994</v>
      </c>
      <c r="N145" s="38">
        <v>80.599999999999994</v>
      </c>
      <c r="O145" s="38">
        <v>0.5</v>
      </c>
      <c r="P145" s="38">
        <v>3</v>
      </c>
      <c r="Q145" s="38">
        <v>14.5</v>
      </c>
      <c r="R145" s="38">
        <v>8.8000000000000007</v>
      </c>
      <c r="S145" s="38">
        <v>1.6</v>
      </c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>
        <v>20</v>
      </c>
      <c r="AJ145" s="38"/>
      <c r="AK145" s="38"/>
      <c r="AL145" s="38">
        <v>407</v>
      </c>
      <c r="AM145" s="38"/>
      <c r="AN145" s="38">
        <v>5.63</v>
      </c>
      <c r="AO145" s="38"/>
      <c r="AP145" s="38"/>
      <c r="AQ145" s="38"/>
      <c r="AR145" s="38"/>
      <c r="AS145" s="38"/>
      <c r="AT145" s="38">
        <v>329</v>
      </c>
      <c r="AU145" s="38">
        <v>3262</v>
      </c>
      <c r="AV145" s="38">
        <v>587</v>
      </c>
      <c r="AW145" s="38">
        <v>5162</v>
      </c>
      <c r="AX145" s="38"/>
      <c r="AY145" s="38">
        <v>42</v>
      </c>
      <c r="AZ145" s="38"/>
      <c r="BA145" s="38"/>
      <c r="BB145" s="38"/>
    </row>
    <row r="146" spans="1:54">
      <c r="A146" s="38" t="s">
        <v>3581</v>
      </c>
      <c r="B146" s="38" t="s">
        <v>3424</v>
      </c>
      <c r="C146" s="38"/>
      <c r="D146" s="38" t="s">
        <v>3399</v>
      </c>
      <c r="E146" s="38"/>
      <c r="F146" s="38"/>
      <c r="G146" s="38"/>
      <c r="H146" s="38" t="s">
        <v>3400</v>
      </c>
      <c r="I146" s="38" t="s">
        <v>3511</v>
      </c>
      <c r="J146" s="38"/>
      <c r="K146" s="38">
        <v>515</v>
      </c>
      <c r="L146" s="38"/>
      <c r="M146" s="38">
        <v>84.6</v>
      </c>
      <c r="N146" s="38">
        <v>84.6</v>
      </c>
      <c r="O146" s="38">
        <v>0.5</v>
      </c>
      <c r="P146" s="38">
        <v>2.7</v>
      </c>
      <c r="Q146" s="38">
        <v>11.5</v>
      </c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>
        <v>52</v>
      </c>
      <c r="AJ146" s="38"/>
      <c r="AK146" s="38"/>
      <c r="AL146" s="38">
        <v>413</v>
      </c>
      <c r="AM146" s="38"/>
      <c r="AN146" s="38"/>
      <c r="AO146" s="38"/>
      <c r="AP146" s="38">
        <v>28.3</v>
      </c>
      <c r="AQ146" s="38"/>
      <c r="AR146" s="38"/>
      <c r="AS146" s="38"/>
      <c r="AT146" s="38">
        <v>1769</v>
      </c>
      <c r="AU146" s="38">
        <v>11384</v>
      </c>
      <c r="AV146" s="38">
        <v>5059</v>
      </c>
      <c r="AW146" s="38">
        <v>10101</v>
      </c>
      <c r="AX146" s="38"/>
      <c r="AY146" s="38">
        <v>5709</v>
      </c>
      <c r="AZ146" s="38"/>
      <c r="BA146" s="38"/>
      <c r="BB146" s="38"/>
    </row>
    <row r="147" spans="1:54">
      <c r="A147" s="38" t="s">
        <v>3582</v>
      </c>
      <c r="B147" s="38" t="s">
        <v>3409</v>
      </c>
      <c r="C147" s="38"/>
      <c r="D147" s="38" t="s">
        <v>3399</v>
      </c>
      <c r="E147" s="38"/>
      <c r="F147" s="38"/>
      <c r="G147" s="38"/>
      <c r="H147" s="38" t="s">
        <v>3400</v>
      </c>
      <c r="I147" s="38" t="s">
        <v>3511</v>
      </c>
      <c r="J147" s="38"/>
      <c r="K147" s="38"/>
      <c r="L147" s="38">
        <v>8.8000000000000007</v>
      </c>
      <c r="M147" s="38"/>
      <c r="N147" s="38"/>
      <c r="O147" s="38"/>
      <c r="P147" s="38"/>
      <c r="Q147" s="38"/>
      <c r="R147" s="38"/>
      <c r="S147" s="38">
        <v>0.9</v>
      </c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>
        <v>19</v>
      </c>
      <c r="AJ147" s="38"/>
      <c r="AK147" s="38"/>
      <c r="AL147" s="38">
        <v>1539</v>
      </c>
      <c r="AM147" s="38"/>
      <c r="AN147" s="38"/>
      <c r="AO147" s="38"/>
      <c r="AP147" s="38">
        <v>23.5</v>
      </c>
      <c r="AQ147" s="38"/>
      <c r="AR147" s="38"/>
      <c r="AS147" s="38"/>
      <c r="AT147" s="38">
        <v>507</v>
      </c>
      <c r="AU147" s="38">
        <v>1317</v>
      </c>
      <c r="AV147" s="38">
        <v>1407</v>
      </c>
      <c r="AW147" s="38">
        <v>10794</v>
      </c>
      <c r="AX147" s="38"/>
      <c r="AY147" s="38">
        <v>6798</v>
      </c>
      <c r="AZ147" s="38"/>
      <c r="BA147" s="38"/>
      <c r="BB147" s="38"/>
    </row>
    <row r="148" spans="1:54">
      <c r="A148" s="38" t="s">
        <v>3583</v>
      </c>
      <c r="B148" s="38" t="s">
        <v>1848</v>
      </c>
      <c r="C148" s="38"/>
      <c r="D148" s="38" t="s">
        <v>3399</v>
      </c>
      <c r="E148" s="38"/>
      <c r="F148" s="38"/>
      <c r="G148" s="38"/>
      <c r="H148" s="38" t="s">
        <v>3400</v>
      </c>
      <c r="I148" s="38" t="s">
        <v>3511</v>
      </c>
      <c r="J148" s="38"/>
      <c r="K148" s="38">
        <v>500</v>
      </c>
      <c r="L148" s="38">
        <v>38.6</v>
      </c>
      <c r="M148" s="38">
        <v>87.9</v>
      </c>
      <c r="N148" s="38">
        <v>87.9</v>
      </c>
      <c r="O148" s="38">
        <v>0.5</v>
      </c>
      <c r="P148" s="38">
        <v>2.2999999999999998</v>
      </c>
      <c r="Q148" s="38">
        <v>10.9</v>
      </c>
      <c r="R148" s="38"/>
      <c r="S148" s="38">
        <v>0.1</v>
      </c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>
        <v>4</v>
      </c>
      <c r="AJ148" s="38"/>
      <c r="AK148" s="38"/>
      <c r="AL148" s="38">
        <v>208</v>
      </c>
      <c r="AM148" s="38"/>
      <c r="AN148" s="38"/>
      <c r="AO148" s="38"/>
      <c r="AP148" s="38">
        <v>31.6</v>
      </c>
      <c r="AQ148" s="38"/>
      <c r="AR148" s="38"/>
      <c r="AS148" s="38"/>
      <c r="AT148" s="38">
        <v>73</v>
      </c>
      <c r="AU148" s="38">
        <v>2912</v>
      </c>
      <c r="AV148" s="38">
        <v>255</v>
      </c>
      <c r="AW148" s="38">
        <v>1776</v>
      </c>
      <c r="AX148" s="38"/>
      <c r="AY148" s="38">
        <v>474</v>
      </c>
      <c r="AZ148" s="38"/>
      <c r="BA148" s="38"/>
      <c r="BB148" s="38"/>
    </row>
    <row r="149" spans="1:54">
      <c r="A149" s="38" t="s">
        <v>3584</v>
      </c>
      <c r="B149" s="38" t="s">
        <v>1848</v>
      </c>
      <c r="C149" s="38"/>
      <c r="D149" s="38" t="s">
        <v>3399</v>
      </c>
      <c r="E149" s="38"/>
      <c r="F149" s="38"/>
      <c r="G149" s="38"/>
      <c r="H149" s="38" t="s">
        <v>3400</v>
      </c>
      <c r="I149" s="38" t="s">
        <v>3511</v>
      </c>
      <c r="J149" s="38"/>
      <c r="K149" s="38">
        <v>500</v>
      </c>
      <c r="L149" s="38">
        <v>2.7</v>
      </c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>
        <v>58.3</v>
      </c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</row>
    <row r="150" spans="1:54">
      <c r="A150" s="38" t="s">
        <v>3585</v>
      </c>
      <c r="B150" s="38" t="s">
        <v>1848</v>
      </c>
      <c r="C150" s="38"/>
      <c r="D150" s="38" t="s">
        <v>3399</v>
      </c>
      <c r="E150" s="38"/>
      <c r="F150" s="38"/>
      <c r="G150" s="38"/>
      <c r="H150" s="38" t="s">
        <v>3400</v>
      </c>
      <c r="I150" s="38" t="s">
        <v>3586</v>
      </c>
      <c r="J150" s="38"/>
      <c r="K150" s="38">
        <v>500</v>
      </c>
      <c r="L150" s="38">
        <v>0.7</v>
      </c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>
        <v>70</v>
      </c>
      <c r="AQ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</row>
    <row r="151" spans="1:54">
      <c r="A151" s="38" t="s">
        <v>3587</v>
      </c>
      <c r="B151" s="38" t="s">
        <v>3424</v>
      </c>
      <c r="C151" s="38"/>
      <c r="D151" s="38" t="s">
        <v>3399</v>
      </c>
      <c r="E151" s="38"/>
      <c r="F151" s="38"/>
      <c r="G151" s="38"/>
      <c r="H151" s="38" t="s">
        <v>3400</v>
      </c>
      <c r="I151" s="38" t="s">
        <v>3586</v>
      </c>
      <c r="J151" s="38"/>
      <c r="K151" s="38">
        <v>600</v>
      </c>
      <c r="L151" s="38">
        <v>64.2</v>
      </c>
      <c r="M151" s="38"/>
      <c r="N151" s="38">
        <v>29.1</v>
      </c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>
        <v>25.7</v>
      </c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</row>
    <row r="152" spans="1:54">
      <c r="A152" s="38" t="s">
        <v>3588</v>
      </c>
      <c r="B152" s="38" t="s">
        <v>3471</v>
      </c>
      <c r="C152" s="38"/>
      <c r="D152" s="38" t="s">
        <v>3399</v>
      </c>
      <c r="E152" s="38"/>
      <c r="F152" s="38"/>
      <c r="G152" s="38"/>
      <c r="H152" s="38" t="s">
        <v>3400</v>
      </c>
      <c r="I152" s="38" t="s">
        <v>3586</v>
      </c>
      <c r="J152" s="38"/>
      <c r="K152" s="38">
        <v>300</v>
      </c>
      <c r="L152" s="38">
        <v>0.3</v>
      </c>
      <c r="M152" s="38">
        <v>63.9</v>
      </c>
      <c r="N152" s="38">
        <v>63.9</v>
      </c>
      <c r="O152" s="38">
        <v>0.1</v>
      </c>
      <c r="P152" s="38">
        <v>4.8</v>
      </c>
      <c r="Q152" s="38">
        <v>30.8</v>
      </c>
      <c r="R152" s="38">
        <v>4.2</v>
      </c>
      <c r="S152" s="38">
        <v>3.1</v>
      </c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>
        <v>5</v>
      </c>
      <c r="AJ152" s="38"/>
      <c r="AK152" s="38"/>
      <c r="AL152" s="38">
        <v>297</v>
      </c>
      <c r="AM152" s="38"/>
      <c r="AN152" s="38">
        <v>41.37</v>
      </c>
      <c r="AO152" s="38"/>
      <c r="AP152" s="38">
        <v>61.1</v>
      </c>
      <c r="AQ152" s="38"/>
      <c r="AR152" s="38"/>
      <c r="AS152" s="38"/>
      <c r="AT152" s="38">
        <v>6</v>
      </c>
      <c r="AU152" s="38">
        <v>752</v>
      </c>
      <c r="AV152" s="38">
        <v>46</v>
      </c>
      <c r="AW152" s="38">
        <v>725</v>
      </c>
      <c r="AX152" s="38"/>
      <c r="AY152" s="38">
        <v>5</v>
      </c>
      <c r="AZ152" s="38"/>
      <c r="BA152" s="38"/>
      <c r="BB152" s="38"/>
    </row>
    <row r="153" spans="1:54">
      <c r="A153" s="38" t="s">
        <v>3589</v>
      </c>
      <c r="B153" s="38" t="s">
        <v>3471</v>
      </c>
      <c r="C153" s="38"/>
      <c r="D153" s="38" t="s">
        <v>3399</v>
      </c>
      <c r="E153" s="38"/>
      <c r="F153" s="38"/>
      <c r="G153" s="38"/>
      <c r="H153" s="38" t="s">
        <v>3400</v>
      </c>
      <c r="I153" s="38" t="s">
        <v>3586</v>
      </c>
      <c r="J153" s="38"/>
      <c r="K153" s="38">
        <v>350</v>
      </c>
      <c r="L153" s="38">
        <v>1.1000000000000001</v>
      </c>
      <c r="M153" s="38">
        <v>74.8</v>
      </c>
      <c r="N153" s="38">
        <v>74.900000000000006</v>
      </c>
      <c r="O153" s="38">
        <v>0.2</v>
      </c>
      <c r="P153" s="38">
        <v>3.4</v>
      </c>
      <c r="Q153" s="38">
        <v>20.399999999999999</v>
      </c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>
        <v>109</v>
      </c>
      <c r="AJ153" s="38"/>
      <c r="AK153" s="38"/>
      <c r="AL153" s="38">
        <v>339</v>
      </c>
      <c r="AM153" s="38"/>
      <c r="AN153" s="38"/>
      <c r="AO153" s="38"/>
      <c r="AP153" s="38">
        <v>60.8</v>
      </c>
      <c r="AQ153" s="38"/>
      <c r="AR153" s="38"/>
      <c r="AS153" s="38"/>
      <c r="AT153" s="38">
        <v>11</v>
      </c>
      <c r="AU153" s="38">
        <v>1097</v>
      </c>
      <c r="AV153" s="38">
        <v>41</v>
      </c>
      <c r="AW153" s="38">
        <v>1147</v>
      </c>
      <c r="AX153" s="38"/>
      <c r="AY153" s="38">
        <v>1453</v>
      </c>
      <c r="AZ153" s="38"/>
      <c r="BA153" s="38"/>
      <c r="BB153" s="38"/>
    </row>
    <row r="154" spans="1:54">
      <c r="A154" s="38" t="s">
        <v>3590</v>
      </c>
      <c r="B154" s="38" t="s">
        <v>3471</v>
      </c>
      <c r="C154" s="38"/>
      <c r="D154" s="38" t="s">
        <v>3399</v>
      </c>
      <c r="E154" s="38"/>
      <c r="F154" s="38"/>
      <c r="G154" s="38"/>
      <c r="H154" s="38" t="s">
        <v>3400</v>
      </c>
      <c r="I154" s="38" t="s">
        <v>3586</v>
      </c>
      <c r="J154" s="38"/>
      <c r="K154" s="38">
        <v>400</v>
      </c>
      <c r="L154" s="38">
        <v>0.8</v>
      </c>
      <c r="M154" s="38">
        <v>75.5</v>
      </c>
      <c r="N154" s="38">
        <v>78.8</v>
      </c>
      <c r="O154" s="38">
        <v>0.2</v>
      </c>
      <c r="P154" s="38">
        <v>3.2</v>
      </c>
      <c r="Q154" s="38">
        <v>17.100000000000001</v>
      </c>
      <c r="R154" s="38">
        <v>4.5999999999999996</v>
      </c>
      <c r="S154" s="38">
        <v>2.8</v>
      </c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>
        <v>33</v>
      </c>
      <c r="AJ154" s="38"/>
      <c r="AK154" s="38"/>
      <c r="AL154" s="38">
        <v>321</v>
      </c>
      <c r="AM154" s="38"/>
      <c r="AN154" s="38">
        <v>26.05</v>
      </c>
      <c r="AO154" s="38"/>
      <c r="AP154" s="38">
        <v>40.9</v>
      </c>
      <c r="AQ154" s="38"/>
      <c r="AR154" s="38"/>
      <c r="AS154" s="38"/>
      <c r="AT154" s="38">
        <v>5</v>
      </c>
      <c r="AU154" s="38">
        <v>1061</v>
      </c>
      <c r="AV154" s="38">
        <v>61</v>
      </c>
      <c r="AW154" s="38">
        <v>1462</v>
      </c>
      <c r="AX154" s="38"/>
      <c r="AY154" s="38">
        <v>169</v>
      </c>
      <c r="AZ154" s="38"/>
      <c r="BA154" s="38"/>
      <c r="BB154" s="38"/>
    </row>
    <row r="155" spans="1:54">
      <c r="A155" s="38" t="s">
        <v>3591</v>
      </c>
      <c r="B155" s="38" t="s">
        <v>3471</v>
      </c>
      <c r="C155" s="38"/>
      <c r="D155" s="38" t="s">
        <v>3399</v>
      </c>
      <c r="E155" s="38"/>
      <c r="F155" s="38"/>
      <c r="G155" s="38"/>
      <c r="H155" s="38" t="s">
        <v>3400</v>
      </c>
      <c r="I155" s="38" t="s">
        <v>3586</v>
      </c>
      <c r="J155" s="38"/>
      <c r="K155" s="38">
        <v>450</v>
      </c>
      <c r="L155" s="38">
        <v>0.6</v>
      </c>
      <c r="M155" s="38">
        <v>83.7</v>
      </c>
      <c r="N155" s="38">
        <v>85.1</v>
      </c>
      <c r="O155" s="38">
        <v>0.2</v>
      </c>
      <c r="P155" s="38">
        <v>3</v>
      </c>
      <c r="Q155" s="38">
        <v>11.2</v>
      </c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>
        <v>23</v>
      </c>
      <c r="AJ155" s="38"/>
      <c r="AK155" s="38"/>
      <c r="AL155" s="38">
        <v>229</v>
      </c>
      <c r="AM155" s="38"/>
      <c r="AN155" s="38"/>
      <c r="AO155" s="38"/>
      <c r="AP155" s="38">
        <v>44.4</v>
      </c>
      <c r="AQ155" s="38"/>
      <c r="AR155" s="38"/>
      <c r="AS155" s="38"/>
      <c r="AT155" s="38">
        <v>43</v>
      </c>
      <c r="AU155" s="38">
        <v>1023</v>
      </c>
      <c r="AV155" s="38">
        <v>25</v>
      </c>
      <c r="AW155" s="38">
        <v>1664</v>
      </c>
      <c r="AX155" s="38"/>
      <c r="AY155" s="38">
        <v>162</v>
      </c>
      <c r="AZ155" s="38"/>
      <c r="BA155" s="38"/>
      <c r="BB155" s="38"/>
    </row>
    <row r="156" spans="1:54">
      <c r="A156" s="38" t="s">
        <v>3592</v>
      </c>
      <c r="B156" s="38" t="s">
        <v>3471</v>
      </c>
      <c r="C156" s="38"/>
      <c r="D156" s="38" t="s">
        <v>3399</v>
      </c>
      <c r="E156" s="38"/>
      <c r="F156" s="38"/>
      <c r="G156" s="38"/>
      <c r="H156" s="38" t="s">
        <v>3400</v>
      </c>
      <c r="I156" s="38" t="s">
        <v>3586</v>
      </c>
      <c r="J156" s="38"/>
      <c r="K156" s="38">
        <v>500</v>
      </c>
      <c r="L156" s="38">
        <v>3.7</v>
      </c>
      <c r="M156" s="38">
        <v>85.3</v>
      </c>
      <c r="N156" s="38">
        <v>85.3</v>
      </c>
      <c r="O156" s="38">
        <v>0.2</v>
      </c>
      <c r="P156" s="38">
        <v>2.6</v>
      </c>
      <c r="Q156" s="38">
        <v>9.6</v>
      </c>
      <c r="R156" s="38">
        <v>5.8</v>
      </c>
      <c r="S156" s="38">
        <v>3.8</v>
      </c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>
        <v>11</v>
      </c>
      <c r="AJ156" s="38"/>
      <c r="AK156" s="38"/>
      <c r="AL156" s="38">
        <v>330</v>
      </c>
      <c r="AM156" s="38"/>
      <c r="AN156" s="38">
        <v>14.72</v>
      </c>
      <c r="AO156" s="38"/>
      <c r="AP156" s="38">
        <v>30.7</v>
      </c>
      <c r="AQ156" s="38"/>
      <c r="AR156" s="38"/>
      <c r="AS156" s="38"/>
      <c r="AT156" s="38">
        <v>5</v>
      </c>
      <c r="AU156" s="38">
        <v>1538</v>
      </c>
      <c r="AV156" s="38">
        <v>57</v>
      </c>
      <c r="AW156" s="38">
        <v>1171</v>
      </c>
      <c r="AX156" s="38"/>
      <c r="AY156" s="38">
        <v>16</v>
      </c>
      <c r="AZ156" s="38"/>
      <c r="BA156" s="38"/>
      <c r="BB156" s="38"/>
    </row>
    <row r="157" spans="1:54">
      <c r="A157" s="38" t="s">
        <v>3593</v>
      </c>
      <c r="B157" s="38" t="s">
        <v>3471</v>
      </c>
      <c r="C157" s="38"/>
      <c r="D157" s="38" t="s">
        <v>3399</v>
      </c>
      <c r="E157" s="38"/>
      <c r="F157" s="38"/>
      <c r="G157" s="38"/>
      <c r="H157" s="38" t="s">
        <v>3400</v>
      </c>
      <c r="I157" s="38" t="s">
        <v>3586</v>
      </c>
      <c r="J157" s="38"/>
      <c r="K157" s="38">
        <v>550</v>
      </c>
      <c r="L157" s="38">
        <v>0.6</v>
      </c>
      <c r="M157" s="38">
        <v>87.9</v>
      </c>
      <c r="N157" s="38">
        <v>87.9</v>
      </c>
      <c r="O157" s="38">
        <v>0.2</v>
      </c>
      <c r="P157" s="38">
        <v>2.4</v>
      </c>
      <c r="Q157" s="38">
        <v>9</v>
      </c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>
        <v>15</v>
      </c>
      <c r="AJ157" s="38"/>
      <c r="AK157" s="38"/>
      <c r="AL157" s="38">
        <v>277</v>
      </c>
      <c r="AM157" s="38"/>
      <c r="AN157" s="38"/>
      <c r="AO157" s="38"/>
      <c r="AP157" s="38">
        <v>38.5</v>
      </c>
      <c r="AQ157" s="38"/>
      <c r="AR157" s="38"/>
      <c r="AS157" s="38"/>
      <c r="AT157" s="38">
        <v>29</v>
      </c>
      <c r="AU157" s="38">
        <v>1609</v>
      </c>
      <c r="AV157" s="38">
        <v>41</v>
      </c>
      <c r="AW157" s="38">
        <v>1274</v>
      </c>
      <c r="AX157" s="38"/>
      <c r="AY157" s="38">
        <v>323</v>
      </c>
      <c r="AZ157" s="38"/>
      <c r="BA157" s="38"/>
      <c r="BB157" s="38"/>
    </row>
    <row r="158" spans="1:54">
      <c r="A158" s="38" t="s">
        <v>3594</v>
      </c>
      <c r="B158" s="38" t="s">
        <v>3471</v>
      </c>
      <c r="C158" s="38"/>
      <c r="D158" s="38" t="s">
        <v>3399</v>
      </c>
      <c r="E158" s="38"/>
      <c r="F158" s="38"/>
      <c r="G158" s="38"/>
      <c r="H158" s="38" t="s">
        <v>3400</v>
      </c>
      <c r="I158" s="38" t="s">
        <v>3586</v>
      </c>
      <c r="J158" s="38"/>
      <c r="K158" s="38">
        <v>600</v>
      </c>
      <c r="L158" s="38">
        <v>1.3</v>
      </c>
      <c r="M158" s="38">
        <v>85.5</v>
      </c>
      <c r="N158" s="38">
        <v>87.6</v>
      </c>
      <c r="O158" s="38">
        <v>0.2</v>
      </c>
      <c r="P158" s="38">
        <v>2.5</v>
      </c>
      <c r="Q158" s="38">
        <v>8.5</v>
      </c>
      <c r="R158" s="38">
        <v>6.4</v>
      </c>
      <c r="S158" s="38">
        <v>4.3</v>
      </c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>
        <v>23</v>
      </c>
      <c r="AJ158" s="38"/>
      <c r="AK158" s="38"/>
      <c r="AL158" s="38">
        <v>52</v>
      </c>
      <c r="AM158" s="38"/>
      <c r="AN158" s="38">
        <v>12.58</v>
      </c>
      <c r="AO158" s="38"/>
      <c r="AP158" s="38">
        <v>27.5</v>
      </c>
      <c r="AQ158" s="38"/>
      <c r="AR158" s="38"/>
      <c r="AS158" s="38"/>
      <c r="AT158" s="38"/>
      <c r="AU158" s="38">
        <v>1210</v>
      </c>
      <c r="AV158" s="38">
        <v>100</v>
      </c>
      <c r="AW158" s="38">
        <v>2061</v>
      </c>
      <c r="AX158" s="38"/>
      <c r="AY158" s="38">
        <v>158</v>
      </c>
      <c r="AZ158" s="38"/>
      <c r="BA158" s="38"/>
      <c r="BB158" s="38"/>
    </row>
    <row r="159" spans="1:54">
      <c r="A159" s="38" t="s">
        <v>3595</v>
      </c>
      <c r="B159" s="38" t="s">
        <v>1848</v>
      </c>
      <c r="C159" s="38"/>
      <c r="D159" s="38" t="s">
        <v>3399</v>
      </c>
      <c r="E159" s="38"/>
      <c r="F159" s="38"/>
      <c r="G159" s="38"/>
      <c r="H159" s="38" t="s">
        <v>3400</v>
      </c>
      <c r="I159" s="38" t="s">
        <v>3586</v>
      </c>
      <c r="J159" s="38"/>
      <c r="K159" s="38">
        <v>300</v>
      </c>
      <c r="L159" s="38">
        <v>50.7</v>
      </c>
      <c r="M159" s="38">
        <v>14.3</v>
      </c>
      <c r="N159" s="38">
        <v>21.2</v>
      </c>
      <c r="O159" s="38">
        <v>0.3</v>
      </c>
      <c r="P159" s="38">
        <v>1</v>
      </c>
      <c r="Q159" s="38">
        <v>26.9</v>
      </c>
      <c r="R159" s="38">
        <v>7.8</v>
      </c>
      <c r="S159" s="38">
        <v>0.3</v>
      </c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>
        <v>26</v>
      </c>
      <c r="AJ159" s="38"/>
      <c r="AK159" s="38"/>
      <c r="AL159" s="38">
        <v>256</v>
      </c>
      <c r="AM159" s="38"/>
      <c r="AN159" s="38"/>
      <c r="AO159" s="38"/>
      <c r="AP159" s="38">
        <v>50.1</v>
      </c>
      <c r="AQ159" s="38"/>
      <c r="AR159" s="38"/>
      <c r="AS159" s="38"/>
      <c r="AT159" s="38">
        <v>827</v>
      </c>
      <c r="AU159" s="38">
        <v>258128</v>
      </c>
      <c r="AV159" s="38">
        <v>2428</v>
      </c>
      <c r="AW159" s="38">
        <v>827</v>
      </c>
      <c r="AX159" s="38"/>
      <c r="AY159" s="38">
        <v>4274</v>
      </c>
      <c r="AZ159" s="38"/>
      <c r="BA159" s="38"/>
      <c r="BB159" s="38"/>
    </row>
    <row r="160" spans="1:54">
      <c r="A160" s="38" t="s">
        <v>3596</v>
      </c>
      <c r="B160" s="38" t="s">
        <v>1848</v>
      </c>
      <c r="C160" s="38"/>
      <c r="D160" s="38" t="s">
        <v>3399</v>
      </c>
      <c r="E160" s="38"/>
      <c r="F160" s="38"/>
      <c r="G160" s="38"/>
      <c r="H160" s="38" t="s">
        <v>3400</v>
      </c>
      <c r="I160" s="38" t="s">
        <v>3586</v>
      </c>
      <c r="J160" s="38"/>
      <c r="K160" s="38">
        <v>400</v>
      </c>
      <c r="L160" s="38">
        <v>54.6</v>
      </c>
      <c r="M160" s="38">
        <v>11.1</v>
      </c>
      <c r="N160" s="38">
        <v>20</v>
      </c>
      <c r="O160" s="38">
        <v>0.3</v>
      </c>
      <c r="P160" s="38">
        <v>0.9</v>
      </c>
      <c r="Q160" s="38">
        <v>24.3</v>
      </c>
      <c r="R160" s="38">
        <v>8.3000000000000007</v>
      </c>
      <c r="S160" s="38">
        <v>0.2</v>
      </c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>
        <v>31</v>
      </c>
      <c r="AJ160" s="38"/>
      <c r="AK160" s="38"/>
      <c r="AL160" s="38">
        <v>453</v>
      </c>
      <c r="AM160" s="38"/>
      <c r="AN160" s="38"/>
      <c r="AO160" s="38"/>
      <c r="AP160" s="38">
        <v>44.2</v>
      </c>
      <c r="AQ160" s="38"/>
      <c r="AR160" s="38"/>
      <c r="AS160" s="38"/>
      <c r="AT160" s="38">
        <v>830</v>
      </c>
      <c r="AU160" s="38">
        <v>266234</v>
      </c>
      <c r="AV160" s="38">
        <v>2831</v>
      </c>
      <c r="AW160" s="38">
        <v>3279</v>
      </c>
      <c r="AX160" s="38"/>
      <c r="AY160" s="38">
        <v>4925</v>
      </c>
      <c r="AZ160" s="38"/>
      <c r="BA160" s="38"/>
      <c r="BB160" s="38"/>
    </row>
    <row r="161" spans="1:54">
      <c r="A161" s="38" t="s">
        <v>3597</v>
      </c>
      <c r="B161" s="38" t="s">
        <v>1848</v>
      </c>
      <c r="C161" s="38"/>
      <c r="D161" s="38" t="s">
        <v>3399</v>
      </c>
      <c r="E161" s="38"/>
      <c r="F161" s="38"/>
      <c r="G161" s="38"/>
      <c r="H161" s="38" t="s">
        <v>3400</v>
      </c>
      <c r="I161" s="38" t="s">
        <v>3586</v>
      </c>
      <c r="J161" s="38"/>
      <c r="K161" s="38">
        <v>500</v>
      </c>
      <c r="L161" s="38">
        <v>57.4</v>
      </c>
      <c r="M161" s="38">
        <v>9.9</v>
      </c>
      <c r="N161" s="38">
        <v>19.2</v>
      </c>
      <c r="O161" s="38">
        <v>0.2</v>
      </c>
      <c r="P161" s="38">
        <v>0.5</v>
      </c>
      <c r="Q161" s="38">
        <v>22.7</v>
      </c>
      <c r="R161" s="38">
        <v>9.4</v>
      </c>
      <c r="S161" s="38">
        <v>0.1</v>
      </c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>
        <v>34</v>
      </c>
      <c r="AJ161" s="38"/>
      <c r="AK161" s="38"/>
      <c r="AL161" s="38">
        <v>295</v>
      </c>
      <c r="AM161" s="38"/>
      <c r="AN161" s="38"/>
      <c r="AO161" s="38"/>
      <c r="AP161" s="38">
        <v>42.5</v>
      </c>
      <c r="AQ161" s="38"/>
      <c r="AR161" s="38"/>
      <c r="AS161" s="38"/>
      <c r="AT161" s="38">
        <v>818</v>
      </c>
      <c r="AU161" s="38">
        <v>289226</v>
      </c>
      <c r="AV161" s="38">
        <v>2739</v>
      </c>
      <c r="AW161" s="38">
        <v>3339</v>
      </c>
      <c r="AX161" s="38"/>
      <c r="AY161" s="38">
        <v>4794</v>
      </c>
      <c r="AZ161" s="38"/>
      <c r="BA161" s="38"/>
      <c r="BB161" s="38"/>
    </row>
    <row r="162" spans="1:54">
      <c r="A162" s="38" t="s">
        <v>3598</v>
      </c>
      <c r="B162" s="38" t="s">
        <v>1848</v>
      </c>
      <c r="C162" s="38"/>
      <c r="D162" s="38" t="s">
        <v>3399</v>
      </c>
      <c r="E162" s="38"/>
      <c r="F162" s="38"/>
      <c r="G162" s="38"/>
      <c r="H162" s="38" t="s">
        <v>3400</v>
      </c>
      <c r="I162" s="38" t="s">
        <v>3586</v>
      </c>
      <c r="J162" s="38"/>
      <c r="K162" s="38">
        <v>600</v>
      </c>
      <c r="L162" s="38">
        <v>59.1</v>
      </c>
      <c r="M162" s="38">
        <v>15.2</v>
      </c>
      <c r="N162" s="38">
        <v>19.2</v>
      </c>
      <c r="O162" s="38">
        <v>0.1</v>
      </c>
      <c r="P162" s="38">
        <v>0.4</v>
      </c>
      <c r="Q162" s="38">
        <v>21.2</v>
      </c>
      <c r="R162" s="38">
        <v>11.5</v>
      </c>
      <c r="S162" s="38">
        <v>0.2</v>
      </c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>
        <v>51</v>
      </c>
      <c r="AJ162" s="38"/>
      <c r="AK162" s="38"/>
      <c r="AL162" s="38">
        <v>370</v>
      </c>
      <c r="AM162" s="38"/>
      <c r="AN162" s="38"/>
      <c r="AO162" s="38"/>
      <c r="AP162" s="38">
        <v>41.1</v>
      </c>
      <c r="AQ162" s="38"/>
      <c r="AR162" s="38"/>
      <c r="AS162" s="38"/>
      <c r="AT162" s="38">
        <v>937</v>
      </c>
      <c r="AU162" s="38">
        <v>311232</v>
      </c>
      <c r="AV162" s="38">
        <v>2940</v>
      </c>
      <c r="AW162" s="38">
        <v>3848</v>
      </c>
      <c r="AX162" s="38"/>
      <c r="AY162" s="38">
        <v>6037</v>
      </c>
      <c r="AZ162" s="38"/>
      <c r="BA162" s="38"/>
      <c r="BB162" s="38"/>
    </row>
    <row r="163" spans="1:54">
      <c r="A163" s="38" t="s">
        <v>3599</v>
      </c>
      <c r="B163" s="38" t="s">
        <v>3455</v>
      </c>
      <c r="C163" s="38"/>
      <c r="D163" s="38" t="s">
        <v>3399</v>
      </c>
      <c r="E163" s="38"/>
      <c r="F163" s="38"/>
      <c r="G163" s="38"/>
      <c r="H163" s="38" t="s">
        <v>3400</v>
      </c>
      <c r="I163" s="38" t="s">
        <v>3586</v>
      </c>
      <c r="J163" s="38"/>
      <c r="K163" s="38">
        <v>300</v>
      </c>
      <c r="L163" s="38">
        <v>1.5</v>
      </c>
      <c r="M163" s="38">
        <v>67.2</v>
      </c>
      <c r="N163" s="38">
        <v>67.2</v>
      </c>
      <c r="O163" s="38">
        <v>0.1</v>
      </c>
      <c r="P163" s="38">
        <v>4.9000000000000004</v>
      </c>
      <c r="Q163" s="38">
        <v>31.5</v>
      </c>
      <c r="R163" s="38">
        <v>6.7</v>
      </c>
      <c r="S163" s="38">
        <v>0.3</v>
      </c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>
        <v>23</v>
      </c>
      <c r="AJ163" s="38"/>
      <c r="AK163" s="38"/>
      <c r="AL163" s="38">
        <v>327</v>
      </c>
      <c r="AM163" s="38"/>
      <c r="AN163" s="38">
        <v>28.85</v>
      </c>
      <c r="AO163" s="38"/>
      <c r="AP163" s="38">
        <v>55.3</v>
      </c>
      <c r="AQ163" s="38"/>
      <c r="AR163" s="38"/>
      <c r="AS163" s="38"/>
      <c r="AT163" s="38">
        <v>255</v>
      </c>
      <c r="AU163" s="38">
        <v>2927</v>
      </c>
      <c r="AV163" s="38">
        <v>680</v>
      </c>
      <c r="AW163" s="38">
        <v>692</v>
      </c>
      <c r="AX163" s="38"/>
      <c r="AY163" s="38">
        <v>149</v>
      </c>
      <c r="AZ163" s="38"/>
      <c r="BA163" s="38"/>
      <c r="BB163" s="38"/>
    </row>
    <row r="164" spans="1:54">
      <c r="A164" s="38" t="s">
        <v>3600</v>
      </c>
      <c r="B164" s="38" t="s">
        <v>3455</v>
      </c>
      <c r="C164" s="38"/>
      <c r="D164" s="38" t="s">
        <v>3399</v>
      </c>
      <c r="E164" s="38"/>
      <c r="F164" s="38"/>
      <c r="G164" s="38"/>
      <c r="H164" s="38" t="s">
        <v>3400</v>
      </c>
      <c r="I164" s="38" t="s">
        <v>3586</v>
      </c>
      <c r="J164" s="38"/>
      <c r="K164" s="38">
        <v>350</v>
      </c>
      <c r="L164" s="38">
        <v>0.6</v>
      </c>
      <c r="M164" s="38">
        <v>70.7</v>
      </c>
      <c r="N164" s="38">
        <v>70.7</v>
      </c>
      <c r="O164" s="38">
        <v>0.1</v>
      </c>
      <c r="P164" s="38">
        <v>4.4000000000000004</v>
      </c>
      <c r="Q164" s="38">
        <v>25.2</v>
      </c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>
        <v>21</v>
      </c>
      <c r="AJ164" s="38"/>
      <c r="AK164" s="38"/>
      <c r="AL164" s="38">
        <v>134</v>
      </c>
      <c r="AM164" s="38"/>
      <c r="AN164" s="38"/>
      <c r="AO164" s="38"/>
      <c r="AP164" s="38">
        <v>56.3</v>
      </c>
      <c r="AQ164" s="38"/>
      <c r="AR164" s="38"/>
      <c r="AS164" s="38"/>
      <c r="AT164" s="38">
        <v>49</v>
      </c>
      <c r="AU164" s="38">
        <v>1940</v>
      </c>
      <c r="AV164" s="38">
        <v>389</v>
      </c>
      <c r="AW164" s="38">
        <v>387</v>
      </c>
      <c r="AX164" s="38"/>
      <c r="AY164" s="38">
        <v>40</v>
      </c>
      <c r="AZ164" s="38"/>
      <c r="BA164" s="38"/>
      <c r="BB164" s="38"/>
    </row>
    <row r="165" spans="1:54">
      <c r="A165" s="38" t="s">
        <v>3601</v>
      </c>
      <c r="B165" s="38" t="s">
        <v>3455</v>
      </c>
      <c r="C165" s="38"/>
      <c r="D165" s="38" t="s">
        <v>3399</v>
      </c>
      <c r="E165" s="38"/>
      <c r="F165" s="38"/>
      <c r="G165" s="38"/>
      <c r="H165" s="38" t="s">
        <v>3400</v>
      </c>
      <c r="I165" s="38" t="s">
        <v>3586</v>
      </c>
      <c r="J165" s="38"/>
      <c r="K165" s="38">
        <v>400</v>
      </c>
      <c r="L165" s="38">
        <v>1.1000000000000001</v>
      </c>
      <c r="M165" s="38">
        <v>76.3</v>
      </c>
      <c r="N165" s="38">
        <v>76.3</v>
      </c>
      <c r="O165" s="38">
        <v>0.1</v>
      </c>
      <c r="P165" s="38">
        <v>3.7</v>
      </c>
      <c r="Q165" s="38">
        <v>20.8</v>
      </c>
      <c r="R165" s="38">
        <v>4.5999999999999996</v>
      </c>
      <c r="S165" s="38">
        <v>0.1</v>
      </c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>
        <v>66</v>
      </c>
      <c r="AJ165" s="38"/>
      <c r="AK165" s="38"/>
      <c r="AL165" s="38">
        <v>351</v>
      </c>
      <c r="AM165" s="38"/>
      <c r="AN165" s="38">
        <v>30.36</v>
      </c>
      <c r="AO165" s="38"/>
      <c r="AP165" s="38">
        <v>45.5</v>
      </c>
      <c r="AQ165" s="38"/>
      <c r="AR165" s="38"/>
      <c r="AS165" s="38"/>
      <c r="AT165" s="38">
        <v>35</v>
      </c>
      <c r="AU165" s="38">
        <v>2247</v>
      </c>
      <c r="AV165" s="38">
        <v>482</v>
      </c>
      <c r="AW165" s="38">
        <v>373</v>
      </c>
      <c r="AX165" s="38"/>
      <c r="AY165" s="38">
        <v>40</v>
      </c>
      <c r="AZ165" s="38"/>
      <c r="BA165" s="38"/>
      <c r="BB165" s="38"/>
    </row>
    <row r="166" spans="1:54">
      <c r="A166" s="38" t="s">
        <v>3602</v>
      </c>
      <c r="B166" s="38" t="s">
        <v>3455</v>
      </c>
      <c r="C166" s="38"/>
      <c r="D166" s="38" t="s">
        <v>3399</v>
      </c>
      <c r="E166" s="38"/>
      <c r="F166" s="38"/>
      <c r="G166" s="38"/>
      <c r="H166" s="38" t="s">
        <v>3400</v>
      </c>
      <c r="I166" s="38" t="s">
        <v>3586</v>
      </c>
      <c r="J166" s="38"/>
      <c r="K166" s="38">
        <v>450</v>
      </c>
      <c r="L166" s="38">
        <v>1.5</v>
      </c>
      <c r="M166" s="38">
        <v>80.5</v>
      </c>
      <c r="N166" s="38">
        <v>80.5</v>
      </c>
      <c r="O166" s="38">
        <v>0.1</v>
      </c>
      <c r="P166" s="38">
        <v>3.1</v>
      </c>
      <c r="Q166" s="38">
        <v>14.8</v>
      </c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>
        <v>45</v>
      </c>
      <c r="AJ166" s="38"/>
      <c r="AK166" s="38"/>
      <c r="AL166" s="38">
        <v>93</v>
      </c>
      <c r="AM166" s="38"/>
      <c r="AN166" s="38"/>
      <c r="AO166" s="38"/>
      <c r="AP166" s="38">
        <v>48.8</v>
      </c>
      <c r="AQ166" s="38"/>
      <c r="AR166" s="38"/>
      <c r="AS166" s="38"/>
      <c r="AT166" s="38"/>
      <c r="AU166" s="38">
        <v>2194</v>
      </c>
      <c r="AV166" s="38">
        <v>667</v>
      </c>
      <c r="AW166" s="38">
        <v>996</v>
      </c>
      <c r="AX166" s="38"/>
      <c r="AY166" s="38">
        <v>418</v>
      </c>
      <c r="AZ166" s="38"/>
      <c r="BA166" s="38"/>
      <c r="BB166" s="38"/>
    </row>
    <row r="167" spans="1:54">
      <c r="A167" s="38" t="s">
        <v>3603</v>
      </c>
      <c r="B167" s="38" t="s">
        <v>3455</v>
      </c>
      <c r="C167" s="38"/>
      <c r="D167" s="38" t="s">
        <v>3399</v>
      </c>
      <c r="E167" s="38"/>
      <c r="F167" s="38"/>
      <c r="G167" s="38"/>
      <c r="H167" s="38" t="s">
        <v>3400</v>
      </c>
      <c r="I167" s="38" t="s">
        <v>3586</v>
      </c>
      <c r="J167" s="38"/>
      <c r="K167" s="38">
        <v>500</v>
      </c>
      <c r="L167" s="38">
        <v>1</v>
      </c>
      <c r="M167" s="38">
        <v>81.8</v>
      </c>
      <c r="N167" s="38">
        <v>83.4</v>
      </c>
      <c r="O167" s="38">
        <v>0.1</v>
      </c>
      <c r="P167" s="38">
        <v>2.9</v>
      </c>
      <c r="Q167" s="38">
        <v>12.6</v>
      </c>
      <c r="R167" s="38">
        <v>5.6</v>
      </c>
      <c r="S167" s="38">
        <v>0.1</v>
      </c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>
        <v>44</v>
      </c>
      <c r="AJ167" s="38"/>
      <c r="AK167" s="38"/>
      <c r="AL167" s="38">
        <v>332</v>
      </c>
      <c r="AM167" s="38"/>
      <c r="AN167" s="38">
        <v>23.97</v>
      </c>
      <c r="AO167" s="38"/>
      <c r="AP167" s="38">
        <v>37</v>
      </c>
      <c r="AQ167" s="38"/>
      <c r="AR167" s="38"/>
      <c r="AS167" s="38"/>
      <c r="AT167" s="38">
        <v>1</v>
      </c>
      <c r="AU167" s="38">
        <v>2741</v>
      </c>
      <c r="AV167" s="38">
        <v>796</v>
      </c>
      <c r="AW167" s="38">
        <v>682</v>
      </c>
      <c r="AX167" s="38"/>
      <c r="AY167" s="38">
        <v>69</v>
      </c>
      <c r="AZ167" s="38"/>
      <c r="BA167" s="38"/>
      <c r="BB167" s="38"/>
    </row>
    <row r="168" spans="1:54">
      <c r="A168" s="38" t="s">
        <v>3604</v>
      </c>
      <c r="B168" s="38" t="s">
        <v>3455</v>
      </c>
      <c r="C168" s="38"/>
      <c r="D168" s="38" t="s">
        <v>3399</v>
      </c>
      <c r="E168" s="38"/>
      <c r="F168" s="38"/>
      <c r="G168" s="38"/>
      <c r="H168" s="38" t="s">
        <v>3400</v>
      </c>
      <c r="I168" s="38" t="s">
        <v>3586</v>
      </c>
      <c r="J168" s="38"/>
      <c r="K168" s="38">
        <v>550</v>
      </c>
      <c r="L168" s="38">
        <v>0.8</v>
      </c>
      <c r="M168" s="38">
        <v>86.8</v>
      </c>
      <c r="N168" s="38">
        <v>86.8</v>
      </c>
      <c r="O168" s="38">
        <v>0.1</v>
      </c>
      <c r="P168" s="38">
        <v>2.7</v>
      </c>
      <c r="Q168" s="38">
        <v>11.2</v>
      </c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>
        <v>38</v>
      </c>
      <c r="AJ168" s="38"/>
      <c r="AK168" s="38"/>
      <c r="AL168" s="38">
        <v>110</v>
      </c>
      <c r="AM168" s="38"/>
      <c r="AN168" s="38"/>
      <c r="AO168" s="38"/>
      <c r="AP168" s="38">
        <v>40.200000000000003</v>
      </c>
      <c r="AQ168" s="38"/>
      <c r="AR168" s="38"/>
      <c r="AS168" s="38"/>
      <c r="AT168" s="38"/>
      <c r="AU168" s="38">
        <v>2255</v>
      </c>
      <c r="AV168" s="38">
        <v>707</v>
      </c>
      <c r="AW168" s="38">
        <v>734</v>
      </c>
      <c r="AX168" s="38"/>
      <c r="AY168" s="38">
        <v>110</v>
      </c>
      <c r="AZ168" s="38"/>
      <c r="BA168" s="38"/>
      <c r="BB168" s="38"/>
    </row>
    <row r="169" spans="1:54">
      <c r="A169" s="38" t="s">
        <v>3605</v>
      </c>
      <c r="B169" s="38" t="s">
        <v>3455</v>
      </c>
      <c r="C169" s="38"/>
      <c r="D169" s="38" t="s">
        <v>3399</v>
      </c>
      <c r="E169" s="38"/>
      <c r="F169" s="38"/>
      <c r="G169" s="38"/>
      <c r="H169" s="38" t="s">
        <v>3400</v>
      </c>
      <c r="I169" s="38" t="s">
        <v>3586</v>
      </c>
      <c r="J169" s="38"/>
      <c r="K169" s="38">
        <v>600</v>
      </c>
      <c r="L169" s="38">
        <v>1.1000000000000001</v>
      </c>
      <c r="M169" s="38">
        <v>91.1</v>
      </c>
      <c r="N169" s="38">
        <v>91.1</v>
      </c>
      <c r="O169" s="38">
        <v>0.1</v>
      </c>
      <c r="P169" s="38">
        <v>2.2999999999999998</v>
      </c>
      <c r="Q169" s="38">
        <v>9.5</v>
      </c>
      <c r="R169" s="38">
        <v>6</v>
      </c>
      <c r="S169" s="38">
        <v>0.1</v>
      </c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>
        <v>60</v>
      </c>
      <c r="AJ169" s="38"/>
      <c r="AK169" s="38"/>
      <c r="AL169" s="38">
        <v>320</v>
      </c>
      <c r="AM169" s="38"/>
      <c r="AN169" s="38">
        <v>15.38</v>
      </c>
      <c r="AO169" s="38"/>
      <c r="AP169" s="38">
        <v>27.7</v>
      </c>
      <c r="AQ169" s="38"/>
      <c r="AR169" s="38"/>
      <c r="AS169" s="38"/>
      <c r="AT169" s="38">
        <v>14</v>
      </c>
      <c r="AU169" s="38">
        <v>2167</v>
      </c>
      <c r="AV169" s="38">
        <v>604</v>
      </c>
      <c r="AW169" s="38">
        <v>775</v>
      </c>
      <c r="AX169" s="38"/>
      <c r="AY169" s="38">
        <v>820</v>
      </c>
      <c r="AZ169" s="38"/>
      <c r="BA169" s="38"/>
      <c r="BB169" s="38"/>
    </row>
    <row r="170" spans="1:54">
      <c r="A170" s="38" t="s">
        <v>3606</v>
      </c>
      <c r="B170" s="38" t="s">
        <v>1700</v>
      </c>
      <c r="C170" s="38"/>
      <c r="D170" s="38" t="s">
        <v>3399</v>
      </c>
      <c r="E170" s="38"/>
      <c r="F170" s="38"/>
      <c r="G170" s="38"/>
      <c r="H170" s="38" t="s">
        <v>3400</v>
      </c>
      <c r="I170" s="38" t="s">
        <v>3586</v>
      </c>
      <c r="J170" s="38"/>
      <c r="K170" s="38">
        <v>300</v>
      </c>
      <c r="L170" s="38">
        <v>46.7</v>
      </c>
      <c r="M170" s="38">
        <v>24.1</v>
      </c>
      <c r="N170" s="38">
        <v>31.9</v>
      </c>
      <c r="O170" s="38">
        <v>2.2999999999999998</v>
      </c>
      <c r="P170" s="38">
        <v>2.2000000000000002</v>
      </c>
      <c r="Q170" s="38">
        <v>16.899999999999999</v>
      </c>
      <c r="R170" s="38">
        <v>8.1</v>
      </c>
      <c r="S170" s="38">
        <v>4.3</v>
      </c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>
        <v>515</v>
      </c>
      <c r="AJ170" s="38"/>
      <c r="AK170" s="38"/>
      <c r="AL170" s="38">
        <v>3868</v>
      </c>
      <c r="AM170" s="38"/>
      <c r="AN170" s="38">
        <v>36.24</v>
      </c>
      <c r="AO170" s="38"/>
      <c r="AP170" s="38">
        <v>46.8</v>
      </c>
      <c r="AQ170" s="38"/>
      <c r="AR170" s="38"/>
      <c r="AS170" s="38"/>
      <c r="AT170" s="38">
        <v>26414</v>
      </c>
      <c r="AU170" s="38">
        <v>157531</v>
      </c>
      <c r="AV170" s="38">
        <v>8914</v>
      </c>
      <c r="AW170" s="38">
        <v>40013</v>
      </c>
      <c r="AX170" s="38"/>
      <c r="AY170" s="38">
        <v>1779</v>
      </c>
      <c r="AZ170" s="38"/>
      <c r="BA170" s="38"/>
      <c r="BB170" s="38"/>
    </row>
    <row r="171" spans="1:54">
      <c r="A171" s="38" t="s">
        <v>3607</v>
      </c>
      <c r="B171" s="38" t="s">
        <v>1700</v>
      </c>
      <c r="C171" s="38"/>
      <c r="D171" s="38" t="s">
        <v>3399</v>
      </c>
      <c r="E171" s="38"/>
      <c r="F171" s="38"/>
      <c r="G171" s="38"/>
      <c r="H171" s="38" t="s">
        <v>3400</v>
      </c>
      <c r="I171" s="38" t="s">
        <v>3586</v>
      </c>
      <c r="J171" s="38"/>
      <c r="K171" s="38">
        <v>350</v>
      </c>
      <c r="L171" s="38">
        <v>51.2</v>
      </c>
      <c r="M171" s="38">
        <v>18.7</v>
      </c>
      <c r="N171" s="38">
        <v>30.6</v>
      </c>
      <c r="O171" s="38">
        <v>2</v>
      </c>
      <c r="P171" s="38">
        <v>1.4</v>
      </c>
      <c r="Q171" s="38">
        <v>14.8</v>
      </c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>
        <v>394</v>
      </c>
      <c r="AJ171" s="38"/>
      <c r="AK171" s="38"/>
      <c r="AL171" s="38">
        <v>4218</v>
      </c>
      <c r="AM171" s="38"/>
      <c r="AN171" s="38"/>
      <c r="AO171" s="38"/>
      <c r="AP171" s="38">
        <v>47.2</v>
      </c>
      <c r="AQ171" s="38"/>
      <c r="AR171" s="38"/>
      <c r="AS171" s="38"/>
      <c r="AT171" s="38">
        <v>21256</v>
      </c>
      <c r="AU171" s="38">
        <v>215648</v>
      </c>
      <c r="AV171" s="38">
        <v>7309</v>
      </c>
      <c r="AW171" s="38">
        <v>31751</v>
      </c>
      <c r="AX171" s="38"/>
      <c r="AY171" s="38">
        <v>1464</v>
      </c>
      <c r="AZ171" s="38"/>
      <c r="BA171" s="38"/>
      <c r="BB171" s="38"/>
    </row>
    <row r="172" spans="1:54">
      <c r="A172" s="38" t="s">
        <v>3608</v>
      </c>
      <c r="B172" s="38" t="s">
        <v>1700</v>
      </c>
      <c r="C172" s="38"/>
      <c r="D172" s="38" t="s">
        <v>3399</v>
      </c>
      <c r="E172" s="38"/>
      <c r="F172" s="38"/>
      <c r="G172" s="38"/>
      <c r="H172" s="38" t="s">
        <v>3400</v>
      </c>
      <c r="I172" s="38" t="s">
        <v>3586</v>
      </c>
      <c r="J172" s="38"/>
      <c r="K172" s="38">
        <v>400</v>
      </c>
      <c r="L172" s="38">
        <v>51.7</v>
      </c>
      <c r="M172" s="38">
        <v>11.9</v>
      </c>
      <c r="N172" s="38">
        <v>32.1</v>
      </c>
      <c r="O172" s="38">
        <v>1.2</v>
      </c>
      <c r="P172" s="38">
        <v>0.7</v>
      </c>
      <c r="Q172" s="38">
        <v>14.3</v>
      </c>
      <c r="R172" s="38">
        <v>9.8000000000000007</v>
      </c>
      <c r="S172" s="38">
        <v>3</v>
      </c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>
        <v>352</v>
      </c>
      <c r="AJ172" s="38"/>
      <c r="AK172" s="38"/>
      <c r="AL172" s="38">
        <v>3209</v>
      </c>
      <c r="AM172" s="38"/>
      <c r="AN172" s="38">
        <v>16.55</v>
      </c>
      <c r="AO172" s="38"/>
      <c r="AP172" s="38">
        <v>43.8</v>
      </c>
      <c r="AQ172" s="38"/>
      <c r="AR172" s="38"/>
      <c r="AS172" s="38"/>
      <c r="AT172" s="38">
        <v>17957</v>
      </c>
      <c r="AU172" s="38">
        <v>265729</v>
      </c>
      <c r="AV172" s="38">
        <v>7164</v>
      </c>
      <c r="AW172" s="38">
        <v>28109</v>
      </c>
      <c r="AX172" s="38"/>
      <c r="AY172" s="38">
        <v>1276</v>
      </c>
      <c r="AZ172" s="38"/>
      <c r="BA172" s="38"/>
      <c r="BB172" s="38"/>
    </row>
    <row r="173" spans="1:54">
      <c r="A173" s="38" t="s">
        <v>3609</v>
      </c>
      <c r="B173" s="38" t="s">
        <v>1700</v>
      </c>
      <c r="C173" s="38"/>
      <c r="D173" s="38" t="s">
        <v>3399</v>
      </c>
      <c r="E173" s="38"/>
      <c r="F173" s="38"/>
      <c r="G173" s="38"/>
      <c r="H173" s="38" t="s">
        <v>3400</v>
      </c>
      <c r="I173" s="38" t="s">
        <v>3586</v>
      </c>
      <c r="J173" s="38"/>
      <c r="K173" s="38">
        <v>450</v>
      </c>
      <c r="L173" s="38">
        <v>53.6</v>
      </c>
      <c r="M173" s="38">
        <v>11.2</v>
      </c>
      <c r="N173" s="38">
        <v>35.4</v>
      </c>
      <c r="O173" s="38">
        <v>1.2</v>
      </c>
      <c r="P173" s="38">
        <v>0.5</v>
      </c>
      <c r="Q173" s="38">
        <v>9.3000000000000007</v>
      </c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>
        <v>311</v>
      </c>
      <c r="AJ173" s="38"/>
      <c r="AK173" s="38"/>
      <c r="AL173" s="38">
        <v>3695</v>
      </c>
      <c r="AM173" s="38"/>
      <c r="AN173" s="38"/>
      <c r="AO173" s="38"/>
      <c r="AP173" s="38">
        <v>46.2</v>
      </c>
      <c r="AQ173" s="38"/>
      <c r="AR173" s="38"/>
      <c r="AS173" s="38"/>
      <c r="AT173" s="38">
        <v>17329</v>
      </c>
      <c r="AU173" s="38">
        <v>267804</v>
      </c>
      <c r="AV173" s="38">
        <v>6388</v>
      </c>
      <c r="AW173" s="38">
        <v>27400</v>
      </c>
      <c r="AX173" s="38"/>
      <c r="AY173" s="38">
        <v>1069</v>
      </c>
      <c r="AZ173" s="38"/>
      <c r="BA173" s="38"/>
      <c r="BB173" s="38"/>
    </row>
    <row r="174" spans="1:54">
      <c r="A174" s="38" t="s">
        <v>3610</v>
      </c>
      <c r="B174" s="38" t="s">
        <v>1700</v>
      </c>
      <c r="C174" s="38"/>
      <c r="D174" s="38" t="s">
        <v>3399</v>
      </c>
      <c r="E174" s="38"/>
      <c r="F174" s="38"/>
      <c r="G174" s="38"/>
      <c r="H174" s="38" t="s">
        <v>3400</v>
      </c>
      <c r="I174" s="38" t="s">
        <v>3586</v>
      </c>
      <c r="J174" s="38"/>
      <c r="K174" s="38">
        <v>500</v>
      </c>
      <c r="L174" s="38">
        <v>52.6</v>
      </c>
      <c r="M174" s="38">
        <v>16.8</v>
      </c>
      <c r="N174" s="38">
        <v>27.8</v>
      </c>
      <c r="O174" s="38">
        <v>1.1000000000000001</v>
      </c>
      <c r="P174" s="38">
        <v>0.5</v>
      </c>
      <c r="Q174" s="38">
        <v>17.899999999999999</v>
      </c>
      <c r="R174" s="38">
        <v>10.6</v>
      </c>
      <c r="S174" s="38">
        <v>3.8</v>
      </c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>
        <v>601</v>
      </c>
      <c r="AJ174" s="38"/>
      <c r="AK174" s="38"/>
      <c r="AL174" s="38">
        <v>4537</v>
      </c>
      <c r="AM174" s="38"/>
      <c r="AN174" s="38">
        <v>7.78</v>
      </c>
      <c r="AO174" s="38"/>
      <c r="AP174" s="38">
        <v>43.2</v>
      </c>
      <c r="AQ174" s="38"/>
      <c r="AR174" s="38"/>
      <c r="AS174" s="38"/>
      <c r="AT174" s="38">
        <v>30555</v>
      </c>
      <c r="AU174" s="38">
        <v>204205</v>
      </c>
      <c r="AV174" s="38">
        <v>10436</v>
      </c>
      <c r="AW174" s="38">
        <v>48616</v>
      </c>
      <c r="AX174" s="38"/>
      <c r="AY174" s="38">
        <v>2034</v>
      </c>
      <c r="AZ174" s="38"/>
      <c r="BA174" s="38"/>
      <c r="BB174" s="38"/>
    </row>
    <row r="175" spans="1:54">
      <c r="A175" s="38" t="s">
        <v>3611</v>
      </c>
      <c r="B175" s="38" t="s">
        <v>1700</v>
      </c>
      <c r="C175" s="38"/>
      <c r="D175" s="38" t="s">
        <v>3399</v>
      </c>
      <c r="E175" s="38"/>
      <c r="F175" s="38"/>
      <c r="G175" s="38"/>
      <c r="H175" s="38" t="s">
        <v>3400</v>
      </c>
      <c r="I175" s="38" t="s">
        <v>3586</v>
      </c>
      <c r="J175" s="38"/>
      <c r="K175" s="38">
        <v>550</v>
      </c>
      <c r="L175" s="38">
        <v>54.9</v>
      </c>
      <c r="M175" s="38">
        <v>14.1</v>
      </c>
      <c r="N175" s="38">
        <v>28.1</v>
      </c>
      <c r="O175" s="38">
        <v>1.1000000000000001</v>
      </c>
      <c r="P175" s="38">
        <v>0.3</v>
      </c>
      <c r="Q175" s="38">
        <v>15.6</v>
      </c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>
        <v>451</v>
      </c>
      <c r="AJ175" s="38"/>
      <c r="AK175" s="38"/>
      <c r="AL175" s="38">
        <v>4048</v>
      </c>
      <c r="AM175" s="38"/>
      <c r="AN175" s="38"/>
      <c r="AO175" s="38"/>
      <c r="AP175" s="38">
        <v>44.6</v>
      </c>
      <c r="AQ175" s="38"/>
      <c r="AR175" s="38"/>
      <c r="AS175" s="38"/>
      <c r="AT175" s="38">
        <v>20147</v>
      </c>
      <c r="AU175" s="38">
        <v>252608</v>
      </c>
      <c r="AV175" s="38">
        <v>7277</v>
      </c>
      <c r="AW175" s="38">
        <v>32126</v>
      </c>
      <c r="AX175" s="38"/>
      <c r="AY175" s="38">
        <v>1513</v>
      </c>
      <c r="AZ175" s="38"/>
      <c r="BA175" s="38"/>
      <c r="BB175" s="38"/>
    </row>
    <row r="176" spans="1:54">
      <c r="A176" s="38" t="s">
        <v>3612</v>
      </c>
      <c r="B176" s="38" t="s">
        <v>1700</v>
      </c>
      <c r="C176" s="38"/>
      <c r="D176" s="38" t="s">
        <v>3399</v>
      </c>
      <c r="E176" s="38"/>
      <c r="F176" s="38"/>
      <c r="G176" s="38"/>
      <c r="H176" s="38" t="s">
        <v>3400</v>
      </c>
      <c r="I176" s="38" t="s">
        <v>3586</v>
      </c>
      <c r="J176" s="38"/>
      <c r="K176" s="38">
        <v>600</v>
      </c>
      <c r="L176" s="38">
        <v>55.8</v>
      </c>
      <c r="M176" s="38">
        <v>16.399999999999999</v>
      </c>
      <c r="N176" s="38">
        <v>28.7</v>
      </c>
      <c r="O176" s="38">
        <v>0.9</v>
      </c>
      <c r="P176" s="38">
        <v>0.4</v>
      </c>
      <c r="Q176" s="38">
        <v>14.3</v>
      </c>
      <c r="R176" s="38">
        <v>10.7</v>
      </c>
      <c r="S176" s="38">
        <v>3.7</v>
      </c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>
        <v>595</v>
      </c>
      <c r="AJ176" s="38"/>
      <c r="AK176" s="38"/>
      <c r="AL176" s="38">
        <v>3457</v>
      </c>
      <c r="AM176" s="38"/>
      <c r="AN176" s="38">
        <v>18.04</v>
      </c>
      <c r="AO176" s="38"/>
      <c r="AP176" s="38">
        <v>44.4</v>
      </c>
      <c r="AQ176" s="38"/>
      <c r="AR176" s="38"/>
      <c r="AS176" s="38"/>
      <c r="AT176" s="38">
        <v>23596</v>
      </c>
      <c r="AU176" s="38">
        <v>242788</v>
      </c>
      <c r="AV176" s="38">
        <v>8769</v>
      </c>
      <c r="AW176" s="38">
        <v>36775</v>
      </c>
      <c r="AX176" s="38"/>
      <c r="AY176" s="38">
        <v>1522</v>
      </c>
      <c r="AZ176" s="38"/>
      <c r="BA176" s="38"/>
      <c r="BB176" s="38"/>
    </row>
    <row r="177" spans="1:54">
      <c r="A177" s="38" t="s">
        <v>3613</v>
      </c>
      <c r="B177" s="38" t="s">
        <v>1700</v>
      </c>
      <c r="C177" s="38"/>
      <c r="D177" s="38" t="s">
        <v>3399</v>
      </c>
      <c r="E177" s="38"/>
      <c r="F177" s="38"/>
      <c r="G177" s="38"/>
      <c r="H177" s="38" t="s">
        <v>3400</v>
      </c>
      <c r="I177" s="38" t="s">
        <v>3586</v>
      </c>
      <c r="J177" s="38"/>
      <c r="K177" s="38">
        <v>500</v>
      </c>
      <c r="L177" s="38">
        <v>32</v>
      </c>
      <c r="M177" s="38"/>
      <c r="N177" s="38">
        <v>51.2</v>
      </c>
      <c r="O177" s="38">
        <v>2.1</v>
      </c>
      <c r="P177" s="38"/>
      <c r="Q177" s="38"/>
      <c r="R177" s="38">
        <v>10.7</v>
      </c>
      <c r="S177" s="38">
        <v>6</v>
      </c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>
        <v>33</v>
      </c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</row>
    <row r="178" spans="1:54">
      <c r="A178" s="38" t="s">
        <v>3614</v>
      </c>
      <c r="B178" s="38" t="s">
        <v>1848</v>
      </c>
      <c r="C178" s="38"/>
      <c r="D178" s="38" t="s">
        <v>3399</v>
      </c>
      <c r="E178" s="38"/>
      <c r="F178" s="38"/>
      <c r="G178" s="38"/>
      <c r="H178" s="38" t="s">
        <v>3400</v>
      </c>
      <c r="I178" s="38" t="s">
        <v>3586</v>
      </c>
      <c r="J178" s="38"/>
      <c r="K178" s="38">
        <v>220</v>
      </c>
      <c r="L178" s="38">
        <v>53.6</v>
      </c>
      <c r="M178" s="38"/>
      <c r="N178" s="38">
        <v>22.9</v>
      </c>
      <c r="O178" s="38">
        <v>2.1</v>
      </c>
      <c r="P178" s="38"/>
      <c r="Q178" s="38"/>
      <c r="R178" s="38"/>
      <c r="S178" s="38">
        <v>1</v>
      </c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>
        <v>124</v>
      </c>
      <c r="AJ178" s="38"/>
      <c r="AK178" s="38"/>
      <c r="AL178" s="38">
        <v>4680</v>
      </c>
      <c r="AM178" s="38"/>
      <c r="AN178" s="38"/>
      <c r="AO178" s="38"/>
      <c r="AP178" s="38">
        <v>37.700000000000003</v>
      </c>
      <c r="AQ178" s="38"/>
      <c r="AR178" s="38"/>
      <c r="AS178" s="38"/>
      <c r="AT178" s="38">
        <v>13527</v>
      </c>
      <c r="AU178" s="38">
        <v>44211</v>
      </c>
      <c r="AV178" s="38">
        <v>3465</v>
      </c>
      <c r="AW178" s="38">
        <v>7801</v>
      </c>
      <c r="AX178" s="38"/>
      <c r="AY178" s="38">
        <v>10993</v>
      </c>
      <c r="AZ178" s="38"/>
      <c r="BA178" s="38"/>
      <c r="BB178" s="38"/>
    </row>
    <row r="179" spans="1:54">
      <c r="A179" s="38" t="s">
        <v>3615</v>
      </c>
      <c r="B179" s="38" t="s">
        <v>1848</v>
      </c>
      <c r="C179" s="38"/>
      <c r="D179" s="38" t="s">
        <v>3399</v>
      </c>
      <c r="E179" s="38"/>
      <c r="F179" s="38"/>
      <c r="G179" s="38"/>
      <c r="H179" s="38" t="s">
        <v>3400</v>
      </c>
      <c r="I179" s="38" t="s">
        <v>3586</v>
      </c>
      <c r="J179" s="38"/>
      <c r="K179" s="38">
        <v>240</v>
      </c>
      <c r="L179" s="38">
        <v>70.099999999999994</v>
      </c>
      <c r="M179" s="38"/>
      <c r="N179" s="38">
        <v>17.7</v>
      </c>
      <c r="O179" s="38">
        <v>2</v>
      </c>
      <c r="P179" s="38"/>
      <c r="Q179" s="38"/>
      <c r="R179" s="38"/>
      <c r="S179" s="38">
        <v>0.8</v>
      </c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>
        <v>124</v>
      </c>
      <c r="AJ179" s="38"/>
      <c r="AK179" s="38"/>
      <c r="AL179" s="38">
        <v>4787</v>
      </c>
      <c r="AM179" s="38"/>
      <c r="AN179" s="38"/>
      <c r="AO179" s="38"/>
      <c r="AP179" s="38">
        <v>26.8</v>
      </c>
      <c r="AQ179" s="38"/>
      <c r="AR179" s="38"/>
      <c r="AS179" s="38"/>
      <c r="AT179" s="38">
        <v>14397</v>
      </c>
      <c r="AU179" s="38">
        <v>46554</v>
      </c>
      <c r="AV179" s="38">
        <v>3581</v>
      </c>
      <c r="AW179" s="38">
        <v>8037</v>
      </c>
      <c r="AX179" s="38"/>
      <c r="AY179" s="38">
        <v>11664</v>
      </c>
      <c r="AZ179" s="38"/>
      <c r="BA179" s="38"/>
      <c r="BB179" s="38"/>
    </row>
    <row r="180" spans="1:54">
      <c r="A180" s="38" t="s">
        <v>3616</v>
      </c>
      <c r="B180" s="38" t="s">
        <v>3409</v>
      </c>
      <c r="C180" s="38"/>
      <c r="D180" s="38" t="s">
        <v>3399</v>
      </c>
      <c r="E180" s="38"/>
      <c r="F180" s="38"/>
      <c r="G180" s="38"/>
      <c r="H180" s="38" t="s">
        <v>3400</v>
      </c>
      <c r="I180" s="38" t="s">
        <v>3586</v>
      </c>
      <c r="J180" s="38"/>
      <c r="K180" s="38">
        <v>500</v>
      </c>
      <c r="L180" s="38">
        <v>16.5</v>
      </c>
      <c r="M180" s="38"/>
      <c r="N180" s="38"/>
      <c r="O180" s="38"/>
      <c r="P180" s="38"/>
      <c r="Q180" s="38"/>
      <c r="R180" s="38"/>
      <c r="S180" s="38">
        <v>0.5</v>
      </c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>
        <v>156</v>
      </c>
      <c r="AJ180" s="38"/>
      <c r="AK180" s="38"/>
      <c r="AL180" s="38">
        <v>395</v>
      </c>
      <c r="AM180" s="38"/>
      <c r="AN180" s="38"/>
      <c r="AO180" s="38"/>
      <c r="AP180" s="38">
        <v>27.7</v>
      </c>
      <c r="AQ180" s="38"/>
      <c r="AR180" s="38"/>
      <c r="AS180" s="38"/>
      <c r="AT180" s="38">
        <v>1255</v>
      </c>
      <c r="AU180" s="38">
        <v>9600</v>
      </c>
      <c r="AV180" s="38">
        <v>3030</v>
      </c>
      <c r="AW180" s="38">
        <v>10801</v>
      </c>
      <c r="AX180" s="38"/>
      <c r="AY180" s="38">
        <v>10498</v>
      </c>
      <c r="AZ180" s="38"/>
      <c r="BA180" s="38"/>
      <c r="BB180" s="38"/>
    </row>
    <row r="181" spans="1:54">
      <c r="A181" s="38" t="s">
        <v>3617</v>
      </c>
      <c r="B181" s="38" t="s">
        <v>3455</v>
      </c>
      <c r="C181" s="38"/>
      <c r="D181" s="38" t="s">
        <v>3399</v>
      </c>
      <c r="E181" s="38"/>
      <c r="F181" s="38"/>
      <c r="G181" s="38"/>
      <c r="H181" s="38" t="s">
        <v>3400</v>
      </c>
      <c r="I181" s="38" t="s">
        <v>3586</v>
      </c>
      <c r="J181" s="38"/>
      <c r="K181" s="38">
        <v>500</v>
      </c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>
        <v>150</v>
      </c>
      <c r="AJ181" s="38"/>
      <c r="AK181" s="38"/>
      <c r="AL181" s="38">
        <v>486</v>
      </c>
      <c r="AM181" s="38"/>
      <c r="AN181" s="38"/>
      <c r="AO181" s="38"/>
      <c r="AP181" s="38"/>
      <c r="AQ181" s="38"/>
      <c r="AR181" s="38"/>
      <c r="AS181" s="38"/>
      <c r="AT181" s="38">
        <v>607</v>
      </c>
      <c r="AU181" s="38">
        <v>15431</v>
      </c>
      <c r="AV181" s="38">
        <v>1991</v>
      </c>
      <c r="AW181" s="38">
        <v>4772</v>
      </c>
      <c r="AX181" s="38"/>
      <c r="AY181" s="38">
        <v>28534</v>
      </c>
      <c r="AZ181" s="38"/>
      <c r="BA181" s="38"/>
      <c r="BB181" s="38"/>
    </row>
    <row r="182" spans="1:54">
      <c r="A182" s="38" t="s">
        <v>3618</v>
      </c>
      <c r="B182" s="38" t="s">
        <v>3471</v>
      </c>
      <c r="C182" s="38"/>
      <c r="D182" s="38" t="s">
        <v>3399</v>
      </c>
      <c r="E182" s="38"/>
      <c r="F182" s="38"/>
      <c r="G182" s="38"/>
      <c r="H182" s="38" t="s">
        <v>3400</v>
      </c>
      <c r="I182" s="38" t="s">
        <v>3586</v>
      </c>
      <c r="J182" s="38"/>
      <c r="K182" s="38">
        <v>500</v>
      </c>
      <c r="L182" s="38">
        <v>4.3</v>
      </c>
      <c r="M182" s="38"/>
      <c r="N182" s="38"/>
      <c r="O182" s="38"/>
      <c r="P182" s="38"/>
      <c r="Q182" s="38"/>
      <c r="R182" s="38"/>
      <c r="S182" s="38">
        <v>0.2</v>
      </c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>
        <v>30</v>
      </c>
      <c r="AJ182" s="38"/>
      <c r="AK182" s="38"/>
      <c r="AL182" s="38">
        <v>481</v>
      </c>
      <c r="AM182" s="38"/>
      <c r="AN182" s="38"/>
      <c r="AO182" s="38"/>
      <c r="AP182" s="38">
        <v>56.8</v>
      </c>
      <c r="AQ182" s="38"/>
      <c r="AR182" s="38"/>
      <c r="AS182" s="38"/>
      <c r="AT182" s="38">
        <v>121</v>
      </c>
      <c r="AU182" s="38">
        <v>4729</v>
      </c>
      <c r="AV182" s="38">
        <v>545</v>
      </c>
      <c r="AW182" s="38">
        <v>3671</v>
      </c>
      <c r="AX182" s="38"/>
      <c r="AY182" s="38">
        <v>1141</v>
      </c>
      <c r="AZ182" s="38"/>
      <c r="BA182" s="38"/>
      <c r="BB182" s="38"/>
    </row>
    <row r="183" spans="1:54">
      <c r="A183" s="38" t="s">
        <v>3619</v>
      </c>
      <c r="B183" s="38" t="s">
        <v>3463</v>
      </c>
      <c r="C183" s="38"/>
      <c r="D183" s="38" t="s">
        <v>3399</v>
      </c>
      <c r="E183" s="38"/>
      <c r="F183" s="38"/>
      <c r="G183" s="38"/>
      <c r="H183" s="38" t="s">
        <v>3400</v>
      </c>
      <c r="I183" s="38" t="s">
        <v>3586</v>
      </c>
      <c r="J183" s="38"/>
      <c r="K183" s="38">
        <v>500</v>
      </c>
      <c r="L183" s="38">
        <v>10.9</v>
      </c>
      <c r="M183" s="38"/>
      <c r="N183" s="38">
        <v>85.9</v>
      </c>
      <c r="O183" s="38">
        <v>0.4</v>
      </c>
      <c r="P183" s="38"/>
      <c r="Q183" s="38"/>
      <c r="R183" s="38">
        <v>7.9</v>
      </c>
      <c r="S183" s="38">
        <v>0.9</v>
      </c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>
        <v>93</v>
      </c>
      <c r="AJ183" s="38"/>
      <c r="AK183" s="38"/>
      <c r="AL183" s="38">
        <v>311</v>
      </c>
      <c r="AM183" s="38"/>
      <c r="AN183" s="38"/>
      <c r="AO183" s="38"/>
      <c r="AP183" s="38">
        <v>26.9</v>
      </c>
      <c r="AQ183" s="38"/>
      <c r="AR183" s="38"/>
      <c r="AS183" s="38"/>
      <c r="AT183" s="38">
        <v>270</v>
      </c>
      <c r="AU183" s="38">
        <v>5427</v>
      </c>
      <c r="AV183" s="38">
        <v>1267</v>
      </c>
      <c r="AW183" s="38">
        <v>1573</v>
      </c>
      <c r="AX183" s="38"/>
      <c r="AY183" s="38">
        <v>4208</v>
      </c>
      <c r="AZ183" s="38"/>
      <c r="BA183" s="38"/>
      <c r="BB183" s="38"/>
    </row>
    <row r="184" spans="1:54">
      <c r="A184" s="38" t="s">
        <v>3620</v>
      </c>
      <c r="B184" s="38" t="s">
        <v>1848</v>
      </c>
      <c r="C184" s="38"/>
      <c r="D184" s="38" t="s">
        <v>3399</v>
      </c>
      <c r="E184" s="38"/>
      <c r="F184" s="38"/>
      <c r="G184" s="38"/>
      <c r="H184" s="38" t="s">
        <v>3400</v>
      </c>
      <c r="I184" s="38" t="s">
        <v>3586</v>
      </c>
      <c r="J184" s="38"/>
      <c r="K184" s="38">
        <v>500</v>
      </c>
      <c r="L184" s="38">
        <v>14.5</v>
      </c>
      <c r="M184" s="38"/>
      <c r="N184" s="38">
        <v>60.7</v>
      </c>
      <c r="O184" s="38">
        <v>1.1000000000000001</v>
      </c>
      <c r="P184" s="38"/>
      <c r="Q184" s="38"/>
      <c r="R184" s="38">
        <v>9</v>
      </c>
      <c r="S184" s="38">
        <v>0.6</v>
      </c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>
        <v>70</v>
      </c>
      <c r="AJ184" s="38"/>
      <c r="AK184" s="38"/>
      <c r="AL184" s="38">
        <v>1682</v>
      </c>
      <c r="AM184" s="38"/>
      <c r="AN184" s="38"/>
      <c r="AO184" s="38"/>
      <c r="AP184" s="38">
        <v>40.299999999999997</v>
      </c>
      <c r="AQ184" s="38"/>
      <c r="AR184" s="38"/>
      <c r="AS184" s="38"/>
      <c r="AT184" s="38">
        <v>2072</v>
      </c>
      <c r="AU184" s="38">
        <v>54550</v>
      </c>
      <c r="AV184" s="38">
        <v>3616</v>
      </c>
      <c r="AW184" s="38">
        <v>10840</v>
      </c>
      <c r="AX184" s="38"/>
      <c r="AY184" s="38">
        <v>1504</v>
      </c>
      <c r="AZ184" s="38"/>
      <c r="BA184" s="38"/>
      <c r="BB184" s="38"/>
    </row>
    <row r="185" spans="1:54">
      <c r="A185" s="38" t="s">
        <v>3621</v>
      </c>
      <c r="B185" s="38" t="s">
        <v>3409</v>
      </c>
      <c r="C185" s="38"/>
      <c r="D185" s="38" t="s">
        <v>3399</v>
      </c>
      <c r="E185" s="38"/>
      <c r="F185" s="38"/>
      <c r="G185" s="38"/>
      <c r="H185" s="38" t="s">
        <v>3400</v>
      </c>
      <c r="I185" s="38" t="s">
        <v>3586</v>
      </c>
      <c r="J185" s="38"/>
      <c r="K185" s="38">
        <v>500</v>
      </c>
      <c r="L185" s="38">
        <v>25.5</v>
      </c>
      <c r="M185" s="38"/>
      <c r="N185" s="38">
        <v>53.5</v>
      </c>
      <c r="O185" s="38">
        <v>4.9000000000000004</v>
      </c>
      <c r="P185" s="38"/>
      <c r="Q185" s="38"/>
      <c r="R185" s="38">
        <v>9.6</v>
      </c>
      <c r="S185" s="38">
        <v>6.7</v>
      </c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>
        <v>150</v>
      </c>
      <c r="AJ185" s="38"/>
      <c r="AK185" s="38"/>
      <c r="AL185" s="38">
        <v>2727</v>
      </c>
      <c r="AM185" s="38"/>
      <c r="AN185" s="38"/>
      <c r="AO185" s="38"/>
      <c r="AP185" s="38">
        <v>38.4</v>
      </c>
      <c r="AQ185" s="38"/>
      <c r="AR185" s="38"/>
      <c r="AS185" s="38"/>
      <c r="AT185" s="38">
        <v>11965</v>
      </c>
      <c r="AU185" s="38">
        <v>20622</v>
      </c>
      <c r="AV185" s="38">
        <v>6180</v>
      </c>
      <c r="AW185" s="38">
        <v>11965</v>
      </c>
      <c r="AX185" s="38"/>
      <c r="AY185" s="38">
        <v>1557</v>
      </c>
      <c r="AZ185" s="38"/>
      <c r="BA185" s="38"/>
      <c r="BB185" s="38"/>
    </row>
    <row r="186" spans="1:54">
      <c r="A186" s="38" t="s">
        <v>3622</v>
      </c>
      <c r="B186" s="38" t="s">
        <v>1848</v>
      </c>
      <c r="C186" s="38"/>
      <c r="D186" s="38" t="s">
        <v>3399</v>
      </c>
      <c r="E186" s="38"/>
      <c r="F186" s="38"/>
      <c r="G186" s="38"/>
      <c r="H186" s="38" t="s">
        <v>3400</v>
      </c>
      <c r="I186" s="38" t="s">
        <v>3586</v>
      </c>
      <c r="J186" s="38"/>
      <c r="K186" s="38">
        <v>500</v>
      </c>
      <c r="L186" s="38">
        <v>1.8</v>
      </c>
      <c r="M186" s="38"/>
      <c r="N186" s="38">
        <v>84</v>
      </c>
      <c r="O186" s="38">
        <v>0.1</v>
      </c>
      <c r="P186" s="38"/>
      <c r="Q186" s="38"/>
      <c r="R186" s="38">
        <v>8.4</v>
      </c>
      <c r="S186" s="38">
        <v>0.1</v>
      </c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>
        <v>59</v>
      </c>
      <c r="AJ186" s="38"/>
      <c r="AK186" s="38"/>
      <c r="AL186" s="38">
        <v>368</v>
      </c>
      <c r="AM186" s="38"/>
      <c r="AN186" s="38"/>
      <c r="AO186" s="38"/>
      <c r="AP186" s="38">
        <v>40.1</v>
      </c>
      <c r="AQ186" s="38"/>
      <c r="AR186" s="38"/>
      <c r="AS186" s="38"/>
      <c r="AT186" s="38">
        <v>132</v>
      </c>
      <c r="AU186" s="38">
        <v>7564</v>
      </c>
      <c r="AV186" s="38">
        <v>441</v>
      </c>
      <c r="AW186" s="38">
        <v>870</v>
      </c>
      <c r="AX186" s="38"/>
      <c r="AY186" s="38">
        <v>94</v>
      </c>
      <c r="AZ186" s="38"/>
      <c r="BA186" s="38"/>
      <c r="BB186" s="38"/>
    </row>
    <row r="187" spans="1:54">
      <c r="A187" s="38" t="s">
        <v>3623</v>
      </c>
      <c r="B187" s="38" t="s">
        <v>3409</v>
      </c>
      <c r="C187" s="38"/>
      <c r="D187" s="38" t="s">
        <v>3399</v>
      </c>
      <c r="E187" s="38"/>
      <c r="F187" s="38"/>
      <c r="G187" s="38"/>
      <c r="H187" s="38" t="s">
        <v>3400</v>
      </c>
      <c r="I187" s="38" t="s">
        <v>3624</v>
      </c>
      <c r="J187" s="38">
        <v>2.7</v>
      </c>
      <c r="K187" s="38">
        <v>500</v>
      </c>
      <c r="L187" s="38">
        <v>25.9</v>
      </c>
      <c r="M187" s="38"/>
      <c r="N187" s="38">
        <v>63</v>
      </c>
      <c r="O187" s="38">
        <v>0.8</v>
      </c>
      <c r="P187" s="38">
        <v>3.7</v>
      </c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>
        <v>28.4</v>
      </c>
      <c r="AQ187" s="38">
        <v>7.7</v>
      </c>
      <c r="AR187" s="38"/>
      <c r="AS187" s="38"/>
      <c r="AT187" s="38"/>
      <c r="AU187" s="38"/>
      <c r="AV187" s="38"/>
      <c r="AW187" s="38"/>
      <c r="AX187" s="38"/>
      <c r="AY187" s="38"/>
      <c r="AZ187" s="38"/>
      <c r="BA187" s="38"/>
      <c r="BB187" s="38"/>
    </row>
    <row r="188" spans="1:54">
      <c r="A188" s="38" t="s">
        <v>3625</v>
      </c>
      <c r="B188" s="38" t="s">
        <v>3424</v>
      </c>
      <c r="C188" s="38"/>
      <c r="D188" s="38" t="s">
        <v>3399</v>
      </c>
      <c r="E188" s="38"/>
      <c r="F188" s="38"/>
      <c r="G188" s="38"/>
      <c r="H188" s="38" t="s">
        <v>3400</v>
      </c>
      <c r="I188" s="38" t="s">
        <v>3624</v>
      </c>
      <c r="J188" s="38">
        <v>1</v>
      </c>
      <c r="K188" s="38">
        <v>500</v>
      </c>
      <c r="L188" s="38">
        <v>49.7</v>
      </c>
      <c r="M188" s="38"/>
      <c r="N188" s="38">
        <v>37.799999999999997</v>
      </c>
      <c r="O188" s="38">
        <v>0.8</v>
      </c>
      <c r="P188" s="38">
        <v>2.5</v>
      </c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>
        <v>14.9</v>
      </c>
      <c r="AQ188" s="38">
        <v>7</v>
      </c>
      <c r="AR188" s="38"/>
      <c r="AS188" s="38"/>
      <c r="AT188" s="38"/>
      <c r="AU188" s="38"/>
      <c r="AV188" s="38"/>
      <c r="AW188" s="38"/>
      <c r="AX188" s="38"/>
      <c r="AY188" s="38"/>
      <c r="AZ188" s="38"/>
      <c r="BA188" s="38"/>
      <c r="BB188" s="38"/>
    </row>
    <row r="189" spans="1:54">
      <c r="A189" s="38" t="s">
        <v>3626</v>
      </c>
      <c r="B189" s="38" t="s">
        <v>3424</v>
      </c>
      <c r="C189" s="38"/>
      <c r="D189" s="38" t="s">
        <v>3399</v>
      </c>
      <c r="E189" s="38"/>
      <c r="F189" s="38"/>
      <c r="G189" s="38"/>
      <c r="H189" s="38" t="s">
        <v>3400</v>
      </c>
      <c r="I189" s="38" t="s">
        <v>3624</v>
      </c>
      <c r="J189" s="38">
        <v>1.9</v>
      </c>
      <c r="K189" s="38">
        <v>730</v>
      </c>
      <c r="L189" s="38">
        <v>54</v>
      </c>
      <c r="M189" s="38"/>
      <c r="N189" s="38">
        <v>38.5</v>
      </c>
      <c r="O189" s="38">
        <v>0.7</v>
      </c>
      <c r="P189" s="38">
        <v>1.3</v>
      </c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>
        <v>5.5</v>
      </c>
      <c r="AQ189" s="38">
        <v>23.9</v>
      </c>
      <c r="AR189" s="38"/>
      <c r="AS189" s="38"/>
      <c r="AT189" s="38"/>
      <c r="AU189" s="38"/>
      <c r="AV189" s="38"/>
      <c r="AW189" s="38"/>
      <c r="AX189" s="38"/>
      <c r="AY189" s="38"/>
      <c r="AZ189" s="38"/>
      <c r="BA189" s="38"/>
      <c r="BB189" s="38"/>
    </row>
    <row r="190" spans="1:54">
      <c r="A190" s="38" t="s">
        <v>3627</v>
      </c>
      <c r="B190" s="38" t="s">
        <v>3424</v>
      </c>
      <c r="C190" s="38"/>
      <c r="D190" s="38" t="s">
        <v>3399</v>
      </c>
      <c r="E190" s="38"/>
      <c r="F190" s="38"/>
      <c r="G190" s="38"/>
      <c r="H190" s="38" t="s">
        <v>3400</v>
      </c>
      <c r="I190" s="38" t="s">
        <v>3624</v>
      </c>
      <c r="J190" s="38">
        <v>1.8</v>
      </c>
      <c r="K190" s="38">
        <v>500</v>
      </c>
      <c r="L190" s="38">
        <v>32.4</v>
      </c>
      <c r="M190" s="38"/>
      <c r="N190" s="38">
        <v>62.8</v>
      </c>
      <c r="O190" s="38">
        <v>1.3</v>
      </c>
      <c r="P190" s="38">
        <v>2.9</v>
      </c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>
        <v>11.1</v>
      </c>
      <c r="AQ190" s="38">
        <v>20.9</v>
      </c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</row>
    <row r="191" spans="1:54">
      <c r="A191" s="38" t="s">
        <v>3628</v>
      </c>
      <c r="B191" s="38" t="s">
        <v>3471</v>
      </c>
      <c r="C191" s="38"/>
      <c r="D191" s="38" t="s">
        <v>3399</v>
      </c>
      <c r="E191" s="38"/>
      <c r="F191" s="38"/>
      <c r="G191" s="38"/>
      <c r="H191" s="38" t="s">
        <v>3400</v>
      </c>
      <c r="I191" s="38" t="s">
        <v>3624</v>
      </c>
      <c r="J191" s="38">
        <v>2.6</v>
      </c>
      <c r="K191" s="38"/>
      <c r="L191" s="38">
        <v>13.9</v>
      </c>
      <c r="M191" s="38"/>
      <c r="N191" s="38">
        <v>65.3</v>
      </c>
      <c r="O191" s="38">
        <v>0.6</v>
      </c>
      <c r="P191" s="38">
        <v>2.6</v>
      </c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>
        <v>19.7</v>
      </c>
      <c r="AQ191" s="38">
        <v>19.7</v>
      </c>
      <c r="AR191" s="38"/>
      <c r="AS191" s="38"/>
      <c r="AT191" s="38"/>
      <c r="AU191" s="38"/>
      <c r="AV191" s="38"/>
      <c r="AW191" s="38"/>
      <c r="AX191" s="38"/>
      <c r="AY191" s="38"/>
      <c r="AZ191" s="38"/>
      <c r="BA191" s="38"/>
      <c r="BB191" s="38"/>
    </row>
    <row r="192" spans="1:54">
      <c r="A192" s="38" t="s">
        <v>3629</v>
      </c>
      <c r="B192" s="38" t="s">
        <v>3409</v>
      </c>
      <c r="C192" s="38"/>
      <c r="D192" s="38" t="s">
        <v>3399</v>
      </c>
      <c r="E192" s="38"/>
      <c r="F192" s="38"/>
      <c r="G192" s="38"/>
      <c r="H192" s="38" t="s">
        <v>3400</v>
      </c>
      <c r="I192" s="38" t="s">
        <v>3624</v>
      </c>
      <c r="J192" s="38">
        <v>2.7</v>
      </c>
      <c r="K192" s="38">
        <v>500</v>
      </c>
      <c r="L192" s="38">
        <v>54.6</v>
      </c>
      <c r="M192" s="38"/>
      <c r="N192" s="38">
        <v>38.700000000000003</v>
      </c>
      <c r="O192" s="38">
        <v>0.6</v>
      </c>
      <c r="P192" s="38">
        <v>2.5</v>
      </c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>
        <v>16.399999999999999</v>
      </c>
      <c r="AQ192" s="38">
        <v>21.6</v>
      </c>
      <c r="AR192" s="38"/>
      <c r="AS192" s="38"/>
      <c r="AT192" s="38"/>
      <c r="AU192" s="38"/>
      <c r="AV192" s="38"/>
      <c r="AW192" s="38"/>
      <c r="AX192" s="38"/>
      <c r="AY192" s="38"/>
      <c r="AZ192" s="38"/>
      <c r="BA192" s="38"/>
      <c r="BB192" s="38"/>
    </row>
    <row r="193" spans="1:54">
      <c r="A193" s="38" t="s">
        <v>3630</v>
      </c>
      <c r="B193" s="38" t="s">
        <v>3409</v>
      </c>
      <c r="C193" s="38"/>
      <c r="D193" s="38" t="s">
        <v>3399</v>
      </c>
      <c r="E193" s="38"/>
      <c r="F193" s="38"/>
      <c r="G193" s="38"/>
      <c r="H193" s="38" t="s">
        <v>3400</v>
      </c>
      <c r="I193" s="38" t="s">
        <v>3624</v>
      </c>
      <c r="J193" s="38">
        <v>2.5</v>
      </c>
      <c r="K193" s="38">
        <v>760</v>
      </c>
      <c r="L193" s="38">
        <v>53</v>
      </c>
      <c r="M193" s="38"/>
      <c r="N193" s="38">
        <v>42.8</v>
      </c>
      <c r="O193" s="38">
        <v>0.8</v>
      </c>
      <c r="P193" s="38">
        <v>1.6</v>
      </c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>
        <v>10.3</v>
      </c>
      <c r="AQ193" s="38">
        <v>31.4</v>
      </c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</row>
    <row r="194" spans="1:54">
      <c r="A194" s="38" t="s">
        <v>3631</v>
      </c>
      <c r="B194" s="38" t="s">
        <v>3409</v>
      </c>
      <c r="C194" s="38"/>
      <c r="D194" s="38" t="s">
        <v>3399</v>
      </c>
      <c r="E194" s="38"/>
      <c r="F194" s="38"/>
      <c r="G194" s="38"/>
      <c r="H194" s="38" t="s">
        <v>3400</v>
      </c>
      <c r="I194" s="38" t="s">
        <v>3624</v>
      </c>
      <c r="J194" s="38">
        <v>0.9</v>
      </c>
      <c r="K194" s="38">
        <v>500</v>
      </c>
      <c r="L194" s="38">
        <v>52.5</v>
      </c>
      <c r="M194" s="38"/>
      <c r="N194" s="38">
        <v>39.4</v>
      </c>
      <c r="O194" s="38">
        <v>0.7</v>
      </c>
      <c r="P194" s="38">
        <v>1.3</v>
      </c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>
        <v>7.1</v>
      </c>
      <c r="AQ194" s="38">
        <v>50.2</v>
      </c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</row>
    <row r="195" spans="1:54">
      <c r="A195" s="38" t="s">
        <v>3632</v>
      </c>
      <c r="B195" s="38" t="s">
        <v>3449</v>
      </c>
      <c r="C195" s="38"/>
      <c r="D195" s="38" t="s">
        <v>3399</v>
      </c>
      <c r="E195" s="38"/>
      <c r="F195" s="38"/>
      <c r="G195" s="38"/>
      <c r="H195" s="38" t="s">
        <v>3400</v>
      </c>
      <c r="I195" s="38" t="s">
        <v>3633</v>
      </c>
      <c r="J195" s="38"/>
      <c r="K195" s="38">
        <v>600</v>
      </c>
      <c r="L195" s="38">
        <v>1.9</v>
      </c>
      <c r="M195" s="38"/>
      <c r="N195" s="38">
        <v>86.8</v>
      </c>
      <c r="O195" s="38">
        <v>0.8</v>
      </c>
      <c r="P195" s="38">
        <v>2.6</v>
      </c>
      <c r="Q195" s="38">
        <v>6.1</v>
      </c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>
        <v>7.1</v>
      </c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</row>
    <row r="196" spans="1:54">
      <c r="A196" s="38" t="s">
        <v>3634</v>
      </c>
      <c r="B196" s="38" t="s">
        <v>3471</v>
      </c>
      <c r="C196" s="38"/>
      <c r="D196" s="38" t="s">
        <v>3399</v>
      </c>
      <c r="E196" s="38"/>
      <c r="F196" s="38"/>
      <c r="G196" s="38"/>
      <c r="H196" s="38" t="s">
        <v>3400</v>
      </c>
      <c r="I196" s="38" t="s">
        <v>3633</v>
      </c>
      <c r="J196" s="38"/>
      <c r="K196" s="38">
        <v>700</v>
      </c>
      <c r="L196" s="38">
        <v>1.9</v>
      </c>
      <c r="M196" s="38"/>
      <c r="N196" s="38">
        <v>92.7</v>
      </c>
      <c r="O196" s="38">
        <v>0.4</v>
      </c>
      <c r="P196" s="38">
        <v>1.6</v>
      </c>
      <c r="Q196" s="38">
        <v>3.3</v>
      </c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>
        <v>6.6</v>
      </c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</row>
    <row r="197" spans="1:54">
      <c r="A197" s="38" t="s">
        <v>3635</v>
      </c>
      <c r="B197" s="38" t="s">
        <v>3487</v>
      </c>
      <c r="C197" s="38"/>
      <c r="D197" s="38" t="s">
        <v>3399</v>
      </c>
      <c r="E197" s="38"/>
      <c r="F197" s="38"/>
      <c r="G197" s="38"/>
      <c r="H197" s="38" t="s">
        <v>3400</v>
      </c>
      <c r="I197" s="38" t="s">
        <v>3633</v>
      </c>
      <c r="J197" s="38"/>
      <c r="K197" s="38">
        <v>600</v>
      </c>
      <c r="L197" s="38">
        <v>6.6</v>
      </c>
      <c r="M197" s="38"/>
      <c r="N197" s="38">
        <v>85.3</v>
      </c>
      <c r="O197" s="38">
        <v>0.8</v>
      </c>
      <c r="P197" s="38">
        <v>2.6</v>
      </c>
      <c r="Q197" s="38">
        <v>4.7</v>
      </c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>
        <v>11.3</v>
      </c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</row>
    <row r="198" spans="1:54">
      <c r="A198" s="38" t="s">
        <v>3636</v>
      </c>
      <c r="B198" s="38" t="s">
        <v>3455</v>
      </c>
      <c r="C198" s="38"/>
      <c r="D198" s="38" t="s">
        <v>3399</v>
      </c>
      <c r="E198" s="38"/>
      <c r="F198" s="38"/>
      <c r="G198" s="38"/>
      <c r="H198" s="38" t="s">
        <v>3400</v>
      </c>
      <c r="I198" s="38" t="s">
        <v>3633</v>
      </c>
      <c r="J198" s="38"/>
      <c r="K198" s="38">
        <v>300</v>
      </c>
      <c r="L198" s="38">
        <v>0.6</v>
      </c>
      <c r="M198" s="38"/>
      <c r="N198" s="38">
        <v>57.8</v>
      </c>
      <c r="O198" s="38">
        <v>0.2</v>
      </c>
      <c r="P198" s="38">
        <v>5</v>
      </c>
      <c r="Q198" s="38">
        <v>36.5</v>
      </c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>
        <v>68.099999999999994</v>
      </c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</row>
    <row r="199" spans="1:54">
      <c r="A199" s="38" t="s">
        <v>3637</v>
      </c>
      <c r="B199" s="38" t="s">
        <v>3455</v>
      </c>
      <c r="C199" s="38"/>
      <c r="D199" s="38" t="s">
        <v>3399</v>
      </c>
      <c r="E199" s="38"/>
      <c r="F199" s="38"/>
      <c r="G199" s="38"/>
      <c r="H199" s="38" t="s">
        <v>3400</v>
      </c>
      <c r="I199" s="38" t="s">
        <v>3633</v>
      </c>
      <c r="J199" s="38"/>
      <c r="K199" s="38">
        <v>350</v>
      </c>
      <c r="L199" s="38">
        <v>1.2</v>
      </c>
      <c r="M199" s="38"/>
      <c r="N199" s="38">
        <v>72.099999999999994</v>
      </c>
      <c r="O199" s="38">
        <v>0.2</v>
      </c>
      <c r="P199" s="38">
        <v>4.0999999999999996</v>
      </c>
      <c r="Q199" s="38">
        <v>22.5</v>
      </c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>
        <v>49.5</v>
      </c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</row>
    <row r="200" spans="1:54">
      <c r="A200" s="38" t="s">
        <v>3638</v>
      </c>
      <c r="B200" s="38" t="s">
        <v>3455</v>
      </c>
      <c r="C200" s="38"/>
      <c r="D200" s="38" t="s">
        <v>3399</v>
      </c>
      <c r="E200" s="38"/>
      <c r="F200" s="38"/>
      <c r="G200" s="38"/>
      <c r="H200" s="38" t="s">
        <v>3400</v>
      </c>
      <c r="I200" s="38" t="s">
        <v>3633</v>
      </c>
      <c r="J200" s="38"/>
      <c r="K200" s="38">
        <v>400</v>
      </c>
      <c r="L200" s="38">
        <v>1.3</v>
      </c>
      <c r="M200" s="38"/>
      <c r="N200" s="38">
        <v>74.7</v>
      </c>
      <c r="O200" s="38">
        <v>0.2</v>
      </c>
      <c r="P200" s="38">
        <v>3.6</v>
      </c>
      <c r="Q200" s="38">
        <v>20.3</v>
      </c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>
        <v>36.5</v>
      </c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</row>
    <row r="201" spans="1:54">
      <c r="A201" s="38" t="s">
        <v>3639</v>
      </c>
      <c r="B201" s="38" t="s">
        <v>3455</v>
      </c>
      <c r="C201" s="38"/>
      <c r="D201" s="38" t="s">
        <v>3399</v>
      </c>
      <c r="E201" s="38"/>
      <c r="F201" s="38"/>
      <c r="G201" s="38"/>
      <c r="H201" s="38" t="s">
        <v>3400</v>
      </c>
      <c r="I201" s="38" t="s">
        <v>3633</v>
      </c>
      <c r="J201" s="38"/>
      <c r="K201" s="38">
        <v>450</v>
      </c>
      <c r="L201" s="38">
        <v>1.4</v>
      </c>
      <c r="M201" s="38"/>
      <c r="N201" s="38">
        <v>78.3</v>
      </c>
      <c r="O201" s="38">
        <v>0.2</v>
      </c>
      <c r="P201" s="38">
        <v>3.2</v>
      </c>
      <c r="Q201" s="38">
        <v>16.8</v>
      </c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>
        <v>27.4</v>
      </c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</row>
    <row r="202" spans="1:54">
      <c r="A202" s="38" t="s">
        <v>3640</v>
      </c>
      <c r="B202" s="38" t="s">
        <v>3455</v>
      </c>
      <c r="C202" s="38"/>
      <c r="D202" s="38" t="s">
        <v>3399</v>
      </c>
      <c r="E202" s="38"/>
      <c r="F202" s="38"/>
      <c r="G202" s="38"/>
      <c r="H202" s="38" t="s">
        <v>3400</v>
      </c>
      <c r="I202" s="38" t="s">
        <v>3633</v>
      </c>
      <c r="J202" s="38"/>
      <c r="K202" s="38">
        <v>500</v>
      </c>
      <c r="L202" s="38">
        <v>1.7</v>
      </c>
      <c r="M202" s="38"/>
      <c r="N202" s="38">
        <v>81.8</v>
      </c>
      <c r="O202" s="38">
        <v>0.2</v>
      </c>
      <c r="P202" s="38">
        <v>3</v>
      </c>
      <c r="Q202" s="38">
        <v>13.4</v>
      </c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>
        <v>20.2</v>
      </c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</row>
    <row r="203" spans="1:54">
      <c r="A203" s="38" t="s">
        <v>3641</v>
      </c>
      <c r="B203" s="38" t="s">
        <v>3455</v>
      </c>
      <c r="C203" s="38"/>
      <c r="D203" s="38" t="s">
        <v>3399</v>
      </c>
      <c r="E203" s="38"/>
      <c r="F203" s="38"/>
      <c r="G203" s="38"/>
      <c r="H203" s="38" t="s">
        <v>3400</v>
      </c>
      <c r="I203" s="38" t="s">
        <v>3633</v>
      </c>
      <c r="J203" s="38"/>
      <c r="K203" s="38">
        <v>550</v>
      </c>
      <c r="L203" s="38">
        <v>1.7</v>
      </c>
      <c r="M203" s="38"/>
      <c r="N203" s="38">
        <v>86.1</v>
      </c>
      <c r="O203" s="38">
        <v>0.2</v>
      </c>
      <c r="P203" s="38">
        <v>2.5</v>
      </c>
      <c r="Q203" s="38">
        <v>9.6</v>
      </c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>
        <v>18.100000000000001</v>
      </c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</row>
    <row r="204" spans="1:54">
      <c r="A204" s="38" t="s">
        <v>3642</v>
      </c>
      <c r="B204" s="38" t="s">
        <v>3455</v>
      </c>
      <c r="C204" s="38"/>
      <c r="D204" s="38" t="s">
        <v>3399</v>
      </c>
      <c r="E204" s="38"/>
      <c r="F204" s="38"/>
      <c r="G204" s="38"/>
      <c r="H204" s="38" t="s">
        <v>3400</v>
      </c>
      <c r="I204" s="38" t="s">
        <v>3633</v>
      </c>
      <c r="J204" s="38"/>
      <c r="K204" s="38">
        <v>600</v>
      </c>
      <c r="L204" s="38">
        <v>1.7</v>
      </c>
      <c r="M204" s="38"/>
      <c r="N204" s="38">
        <v>87.4</v>
      </c>
      <c r="O204" s="38">
        <v>0.3</v>
      </c>
      <c r="P204" s="38">
        <v>2.2000000000000002</v>
      </c>
      <c r="Q204" s="38">
        <v>8.5</v>
      </c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>
        <v>13.4</v>
      </c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  <c r="BB204" s="38"/>
    </row>
    <row r="205" spans="1:54">
      <c r="A205" s="38" t="s">
        <v>3643</v>
      </c>
      <c r="B205" s="38" t="s">
        <v>3471</v>
      </c>
      <c r="C205" s="38"/>
      <c r="D205" s="38" t="s">
        <v>3399</v>
      </c>
      <c r="E205" s="38"/>
      <c r="F205" s="38"/>
      <c r="G205" s="38"/>
      <c r="H205" s="38" t="s">
        <v>3400</v>
      </c>
      <c r="I205" s="38" t="s">
        <v>3633</v>
      </c>
      <c r="J205" s="38"/>
      <c r="K205" s="38">
        <v>300</v>
      </c>
      <c r="L205" s="38">
        <v>1.5</v>
      </c>
      <c r="M205" s="38"/>
      <c r="N205" s="38">
        <v>58.8</v>
      </c>
      <c r="O205" s="38">
        <v>0.3</v>
      </c>
      <c r="P205" s="38">
        <v>5</v>
      </c>
      <c r="Q205" s="38">
        <v>34.5</v>
      </c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>
        <v>65.099999999999994</v>
      </c>
      <c r="AQ205" s="38"/>
      <c r="AR205" s="38"/>
      <c r="AS205" s="38"/>
      <c r="AT205" s="38"/>
      <c r="AU205" s="38"/>
      <c r="AV205" s="38"/>
      <c r="AW205" s="38"/>
      <c r="AX205" s="38"/>
      <c r="AY205" s="38"/>
      <c r="AZ205" s="38"/>
      <c r="BA205" s="38"/>
      <c r="BB205" s="38"/>
    </row>
    <row r="206" spans="1:54">
      <c r="A206" s="38" t="s">
        <v>3644</v>
      </c>
      <c r="B206" s="38" t="s">
        <v>3471</v>
      </c>
      <c r="C206" s="38"/>
      <c r="D206" s="38" t="s">
        <v>3399</v>
      </c>
      <c r="E206" s="38"/>
      <c r="F206" s="38"/>
      <c r="G206" s="38"/>
      <c r="H206" s="38" t="s">
        <v>3400</v>
      </c>
      <c r="I206" s="38" t="s">
        <v>3633</v>
      </c>
      <c r="J206" s="38"/>
      <c r="K206" s="38">
        <v>350</v>
      </c>
      <c r="L206" s="38">
        <v>1.3</v>
      </c>
      <c r="M206" s="38"/>
      <c r="N206" s="38">
        <v>75.7</v>
      </c>
      <c r="O206" s="38">
        <v>0.6</v>
      </c>
      <c r="P206" s="38">
        <v>3.3</v>
      </c>
      <c r="Q206" s="38">
        <v>19.100000000000001</v>
      </c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>
        <v>43.4</v>
      </c>
      <c r="AQ206" s="38"/>
      <c r="AR206" s="38"/>
      <c r="AS206" s="38"/>
      <c r="AT206" s="38"/>
      <c r="AU206" s="38"/>
      <c r="AV206" s="38"/>
      <c r="AW206" s="38"/>
      <c r="AX206" s="38"/>
      <c r="AY206" s="38"/>
      <c r="AZ206" s="38"/>
      <c r="BA206" s="38"/>
      <c r="BB206" s="38"/>
    </row>
    <row r="207" spans="1:54">
      <c r="A207" s="38" t="s">
        <v>3645</v>
      </c>
      <c r="B207" s="38" t="s">
        <v>3471</v>
      </c>
      <c r="C207" s="38"/>
      <c r="D207" s="38" t="s">
        <v>3399</v>
      </c>
      <c r="E207" s="38"/>
      <c r="F207" s="38"/>
      <c r="G207" s="38"/>
      <c r="H207" s="38" t="s">
        <v>3400</v>
      </c>
      <c r="I207" s="38" t="s">
        <v>3633</v>
      </c>
      <c r="J207" s="38"/>
      <c r="K207" s="38">
        <v>400</v>
      </c>
      <c r="L207" s="38">
        <v>1.3</v>
      </c>
      <c r="M207" s="38"/>
      <c r="N207" s="38">
        <v>76.900000000000006</v>
      </c>
      <c r="O207" s="38">
        <v>0.4</v>
      </c>
      <c r="P207" s="38">
        <v>3.3</v>
      </c>
      <c r="Q207" s="38">
        <v>18.2</v>
      </c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>
        <v>34.5</v>
      </c>
      <c r="AQ207" s="38"/>
      <c r="AR207" s="38"/>
      <c r="AS207" s="38"/>
      <c r="AT207" s="38"/>
      <c r="AU207" s="38"/>
      <c r="AV207" s="38"/>
      <c r="AW207" s="38"/>
      <c r="AX207" s="38"/>
      <c r="AY207" s="38"/>
      <c r="AZ207" s="38"/>
      <c r="BA207" s="38"/>
      <c r="BB207" s="38"/>
    </row>
    <row r="208" spans="1:54">
      <c r="A208" s="38" t="s">
        <v>3646</v>
      </c>
      <c r="B208" s="38" t="s">
        <v>3471</v>
      </c>
      <c r="C208" s="38"/>
      <c r="D208" s="38" t="s">
        <v>3399</v>
      </c>
      <c r="E208" s="38"/>
      <c r="F208" s="38"/>
      <c r="G208" s="38"/>
      <c r="H208" s="38" t="s">
        <v>3400</v>
      </c>
      <c r="I208" s="38" t="s">
        <v>3633</v>
      </c>
      <c r="J208" s="38"/>
      <c r="K208" s="38">
        <v>450</v>
      </c>
      <c r="L208" s="38">
        <v>1.8</v>
      </c>
      <c r="M208" s="38"/>
      <c r="N208" s="38">
        <v>81.2</v>
      </c>
      <c r="O208" s="38">
        <v>0.4</v>
      </c>
      <c r="P208" s="38">
        <v>3</v>
      </c>
      <c r="Q208" s="38">
        <v>13.6</v>
      </c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>
        <v>21.8</v>
      </c>
      <c r="AQ208" s="38"/>
      <c r="AR208" s="38"/>
      <c r="AS208" s="38"/>
      <c r="AT208" s="38"/>
      <c r="AU208" s="38"/>
      <c r="AV208" s="38"/>
      <c r="AW208" s="38"/>
      <c r="AX208" s="38"/>
      <c r="AY208" s="38"/>
      <c r="AZ208" s="38"/>
      <c r="BA208" s="38"/>
      <c r="BB208" s="38"/>
    </row>
    <row r="209" spans="1:54">
      <c r="A209" s="38" t="s">
        <v>3647</v>
      </c>
      <c r="B209" s="38" t="s">
        <v>3471</v>
      </c>
      <c r="C209" s="38"/>
      <c r="D209" s="38" t="s">
        <v>3399</v>
      </c>
      <c r="E209" s="38"/>
      <c r="F209" s="38"/>
      <c r="G209" s="38"/>
      <c r="H209" s="38" t="s">
        <v>3400</v>
      </c>
      <c r="I209" s="38" t="s">
        <v>3633</v>
      </c>
      <c r="J209" s="38"/>
      <c r="K209" s="38">
        <v>500</v>
      </c>
      <c r="L209" s="38">
        <v>2.8</v>
      </c>
      <c r="M209" s="38"/>
      <c r="N209" s="38">
        <v>83</v>
      </c>
      <c r="O209" s="38">
        <v>0.6</v>
      </c>
      <c r="P209" s="38">
        <v>2.5</v>
      </c>
      <c r="Q209" s="38">
        <v>11.2</v>
      </c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>
        <v>17.5</v>
      </c>
      <c r="AQ209" s="38"/>
      <c r="AR209" s="38"/>
      <c r="AS209" s="38"/>
      <c r="AT209" s="38"/>
      <c r="AU209" s="38"/>
      <c r="AV209" s="38"/>
      <c r="AW209" s="38"/>
      <c r="AX209" s="38"/>
      <c r="AY209" s="38"/>
      <c r="AZ209" s="38"/>
      <c r="BA209" s="38"/>
      <c r="BB209" s="38"/>
    </row>
    <row r="210" spans="1:54">
      <c r="A210" s="38" t="s">
        <v>3648</v>
      </c>
      <c r="B210" s="38" t="s">
        <v>3471</v>
      </c>
      <c r="C210" s="38"/>
      <c r="D210" s="38" t="s">
        <v>3399</v>
      </c>
      <c r="E210" s="38"/>
      <c r="F210" s="38"/>
      <c r="G210" s="38"/>
      <c r="H210" s="38" t="s">
        <v>3400</v>
      </c>
      <c r="I210" s="38" t="s">
        <v>3633</v>
      </c>
      <c r="J210" s="38"/>
      <c r="K210" s="38">
        <v>550</v>
      </c>
      <c r="L210" s="38">
        <v>3.1</v>
      </c>
      <c r="M210" s="38"/>
      <c r="N210" s="38">
        <v>87.1</v>
      </c>
      <c r="O210" s="38">
        <v>0.5</v>
      </c>
      <c r="P210" s="38">
        <v>2.4</v>
      </c>
      <c r="Q210" s="38">
        <v>6.9</v>
      </c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>
        <v>14.7</v>
      </c>
      <c r="AQ210" s="38"/>
      <c r="AR210" s="38"/>
      <c r="AS210" s="38"/>
      <c r="AT210" s="38"/>
      <c r="AU210" s="38"/>
      <c r="AV210" s="38"/>
      <c r="AW210" s="38"/>
      <c r="AX210" s="38"/>
      <c r="AY210" s="38"/>
      <c r="AZ210" s="38"/>
      <c r="BA210" s="38"/>
      <c r="BB210" s="38"/>
    </row>
    <row r="211" spans="1:54">
      <c r="A211" s="38" t="s">
        <v>3649</v>
      </c>
      <c r="B211" s="38" t="s">
        <v>3471</v>
      </c>
      <c r="C211" s="38"/>
      <c r="D211" s="38" t="s">
        <v>3399</v>
      </c>
      <c r="E211" s="38"/>
      <c r="F211" s="38"/>
      <c r="G211" s="38"/>
      <c r="H211" s="38" t="s">
        <v>3400</v>
      </c>
      <c r="I211" s="38" t="s">
        <v>3633</v>
      </c>
      <c r="J211" s="38"/>
      <c r="K211" s="38">
        <v>600</v>
      </c>
      <c r="L211" s="38">
        <v>3.2</v>
      </c>
      <c r="M211" s="38"/>
      <c r="N211" s="38">
        <v>89.4</v>
      </c>
      <c r="O211" s="38">
        <v>0.4</v>
      </c>
      <c r="P211" s="38">
        <v>2.2000000000000002</v>
      </c>
      <c r="Q211" s="38">
        <v>4.8</v>
      </c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>
        <v>13.2</v>
      </c>
      <c r="AQ211" s="38"/>
      <c r="AR211" s="38"/>
      <c r="AS211" s="38"/>
      <c r="AT211" s="38"/>
      <c r="AU211" s="38"/>
      <c r="AV211" s="38"/>
      <c r="AW211" s="38"/>
      <c r="AX211" s="38"/>
      <c r="AY211" s="38"/>
      <c r="AZ211" s="38"/>
      <c r="BA211" s="38"/>
      <c r="BB211" s="38"/>
    </row>
    <row r="212" spans="1:54">
      <c r="A212" s="38" t="s">
        <v>3650</v>
      </c>
      <c r="B212" s="38" t="s">
        <v>1848</v>
      </c>
      <c r="C212" s="38"/>
      <c r="D212" s="38" t="s">
        <v>3399</v>
      </c>
      <c r="E212" s="38"/>
      <c r="F212" s="38"/>
      <c r="G212" s="38"/>
      <c r="H212" s="38" t="s">
        <v>3400</v>
      </c>
      <c r="I212" s="38" t="s">
        <v>3633</v>
      </c>
      <c r="J212" s="38"/>
      <c r="K212" s="38">
        <v>600</v>
      </c>
      <c r="L212" s="38">
        <v>24.7</v>
      </c>
      <c r="M212" s="38"/>
      <c r="N212" s="38">
        <v>65.2</v>
      </c>
      <c r="O212" s="38">
        <v>1.5</v>
      </c>
      <c r="P212" s="38">
        <v>2.2000000000000002</v>
      </c>
      <c r="Q212" s="38">
        <v>6.1</v>
      </c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>
        <v>11.8</v>
      </c>
      <c r="AQ212" s="38"/>
      <c r="AR212" s="38"/>
      <c r="AS212" s="38"/>
      <c r="AT212" s="38"/>
      <c r="AU212" s="38"/>
      <c r="AV212" s="38"/>
      <c r="AW212" s="38"/>
      <c r="AX212" s="38"/>
      <c r="AY212" s="38"/>
      <c r="AZ212" s="38"/>
      <c r="BA212" s="38"/>
      <c r="BB212" s="38"/>
    </row>
    <row r="213" spans="1:54">
      <c r="A213" s="38" t="s">
        <v>3651</v>
      </c>
      <c r="B213" s="38" t="s">
        <v>3652</v>
      </c>
      <c r="C213" s="38"/>
      <c r="D213" s="38" t="s">
        <v>3399</v>
      </c>
      <c r="E213" s="38"/>
      <c r="F213" s="38"/>
      <c r="G213" s="38"/>
      <c r="H213" s="38" t="s">
        <v>3400</v>
      </c>
      <c r="I213" s="38" t="s">
        <v>3653</v>
      </c>
      <c r="J213" s="38"/>
      <c r="K213" s="38">
        <v>430</v>
      </c>
      <c r="L213" s="38">
        <v>0.33</v>
      </c>
      <c r="M213" s="38"/>
      <c r="N213" s="38">
        <v>85.2</v>
      </c>
      <c r="O213" s="38">
        <v>0.45</v>
      </c>
      <c r="P213" s="38"/>
      <c r="Q213" s="38"/>
      <c r="R213" s="38">
        <v>5.7</v>
      </c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>
        <v>34.5</v>
      </c>
      <c r="AM213" s="38"/>
      <c r="AN213" s="38"/>
      <c r="AO213" s="38"/>
      <c r="AP213" s="38">
        <v>22.5</v>
      </c>
      <c r="AQ213" s="38"/>
      <c r="AR213" s="38"/>
      <c r="AS213" s="38"/>
      <c r="AT213" s="38"/>
      <c r="AU213" s="38">
        <v>148</v>
      </c>
      <c r="AV213" s="38">
        <v>88.8</v>
      </c>
      <c r="AW213" s="38">
        <v>7215</v>
      </c>
      <c r="AX213" s="38">
        <v>2.7</v>
      </c>
      <c r="AY213" s="38"/>
      <c r="AZ213" s="38"/>
      <c r="BA213" s="38"/>
      <c r="BB213" s="38"/>
    </row>
    <row r="214" spans="1:54">
      <c r="A214" s="38" t="s">
        <v>3654</v>
      </c>
      <c r="B214" s="38" t="s">
        <v>3652</v>
      </c>
      <c r="C214" s="38"/>
      <c r="D214" s="38" t="s">
        <v>3399</v>
      </c>
      <c r="E214" s="38"/>
      <c r="F214" s="38"/>
      <c r="G214" s="38"/>
      <c r="H214" s="38" t="s">
        <v>3400</v>
      </c>
      <c r="I214" s="38" t="s">
        <v>3653</v>
      </c>
      <c r="J214" s="38"/>
      <c r="K214" s="38">
        <v>650</v>
      </c>
      <c r="L214" s="38">
        <v>4.18</v>
      </c>
      <c r="M214" s="38"/>
      <c r="N214" s="38">
        <v>88.7</v>
      </c>
      <c r="O214" s="38">
        <v>0.45</v>
      </c>
      <c r="P214" s="38"/>
      <c r="Q214" s="38"/>
      <c r="R214" s="38">
        <v>8.1999999999999993</v>
      </c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>
        <v>71.3</v>
      </c>
      <c r="AM214" s="38"/>
      <c r="AN214" s="38"/>
      <c r="AO214" s="38"/>
      <c r="AP214" s="38">
        <v>6.3</v>
      </c>
      <c r="AQ214" s="38"/>
      <c r="AR214" s="38"/>
      <c r="AS214" s="38"/>
      <c r="AT214" s="38"/>
      <c r="AU214" s="38">
        <v>250</v>
      </c>
      <c r="AV214" s="38">
        <v>447.6</v>
      </c>
      <c r="AW214" s="38">
        <v>6708</v>
      </c>
      <c r="AX214" s="38">
        <v>0.9</v>
      </c>
      <c r="AY214" s="38"/>
      <c r="AZ214" s="38"/>
      <c r="BA214" s="38"/>
      <c r="BB214" s="38"/>
    </row>
    <row r="215" spans="1:54">
      <c r="A215" s="38" t="s">
        <v>3655</v>
      </c>
      <c r="B215" s="38" t="s">
        <v>3424</v>
      </c>
      <c r="C215" s="38"/>
      <c r="D215" s="38" t="s">
        <v>3399</v>
      </c>
      <c r="E215" s="38"/>
      <c r="F215" s="38"/>
      <c r="G215" s="38"/>
      <c r="H215" s="38" t="s">
        <v>3400</v>
      </c>
      <c r="I215" s="38" t="s">
        <v>3656</v>
      </c>
      <c r="J215" s="38"/>
      <c r="K215" s="38">
        <v>450</v>
      </c>
      <c r="L215" s="38">
        <v>28.7</v>
      </c>
      <c r="M215" s="38"/>
      <c r="N215" s="38">
        <v>33.200000000000003</v>
      </c>
      <c r="O215" s="38">
        <v>0.81</v>
      </c>
      <c r="P215" s="38">
        <v>1.4</v>
      </c>
      <c r="Q215" s="38">
        <v>8.6</v>
      </c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8"/>
      <c r="AY215" s="38"/>
      <c r="AZ215" s="38"/>
      <c r="BA215" s="38"/>
      <c r="BB215" s="38"/>
    </row>
    <row r="216" spans="1:54">
      <c r="A216" s="38" t="s">
        <v>3657</v>
      </c>
      <c r="B216" s="38" t="s">
        <v>3424</v>
      </c>
      <c r="C216" s="38"/>
      <c r="D216" s="38" t="s">
        <v>3399</v>
      </c>
      <c r="E216" s="38"/>
      <c r="F216" s="38"/>
      <c r="G216" s="38"/>
      <c r="H216" s="38" t="s">
        <v>3400</v>
      </c>
      <c r="I216" s="38" t="s">
        <v>3656</v>
      </c>
      <c r="J216" s="38"/>
      <c r="K216" s="38">
        <v>700</v>
      </c>
      <c r="L216" s="38">
        <v>32.6</v>
      </c>
      <c r="M216" s="38"/>
      <c r="N216" s="38">
        <v>33.5</v>
      </c>
      <c r="O216" s="38">
        <v>1.02</v>
      </c>
      <c r="P216" s="38">
        <v>1.04</v>
      </c>
      <c r="Q216" s="38">
        <v>5.0999999999999996</v>
      </c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>
        <v>7.6</v>
      </c>
      <c r="AQ216" s="38"/>
      <c r="AR216" s="38"/>
      <c r="AS216" s="38"/>
      <c r="AT216" s="38"/>
      <c r="AU216" s="38"/>
      <c r="AV216" s="38"/>
      <c r="AW216" s="38"/>
      <c r="AX216" s="38"/>
      <c r="AY216" s="38"/>
      <c r="AZ216" s="38"/>
      <c r="BA216" s="38"/>
      <c r="BB216" s="38"/>
    </row>
    <row r="217" spans="1:54">
      <c r="A217" s="38" t="s">
        <v>3658</v>
      </c>
      <c r="B217" s="38" t="s">
        <v>3487</v>
      </c>
      <c r="C217" s="38"/>
      <c r="D217" s="38" t="s">
        <v>3399</v>
      </c>
      <c r="E217" s="38"/>
      <c r="F217" s="38"/>
      <c r="G217" s="38"/>
      <c r="H217" s="38" t="s">
        <v>3400</v>
      </c>
      <c r="I217" s="38" t="s">
        <v>3447</v>
      </c>
      <c r="J217" s="38"/>
      <c r="K217" s="38">
        <v>823</v>
      </c>
      <c r="L217" s="38">
        <v>8.5</v>
      </c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>
        <v>19.8</v>
      </c>
      <c r="AQ217" s="38">
        <v>11.247400000000001</v>
      </c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</row>
    <row r="218" spans="1:54">
      <c r="A218" s="38" t="s">
        <v>3659</v>
      </c>
      <c r="B218" s="38" t="s">
        <v>3449</v>
      </c>
      <c r="C218" s="38"/>
      <c r="D218" s="38" t="s">
        <v>3399</v>
      </c>
      <c r="E218" s="38"/>
      <c r="F218" s="38"/>
      <c r="G218" s="38"/>
      <c r="H218" s="38" t="s">
        <v>3400</v>
      </c>
      <c r="I218" s="38" t="s">
        <v>3447</v>
      </c>
      <c r="J218" s="38"/>
      <c r="K218" s="38">
        <v>750</v>
      </c>
      <c r="L218" s="38">
        <v>5.4</v>
      </c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>
        <v>34.299999999999997</v>
      </c>
      <c r="AQ218" s="38">
        <v>0.67169999999999996</v>
      </c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</row>
    <row r="219" spans="1:54">
      <c r="A219" s="38" t="s">
        <v>3660</v>
      </c>
      <c r="B219" s="38" t="s">
        <v>1848</v>
      </c>
      <c r="C219" s="38"/>
      <c r="D219" s="38" t="s">
        <v>3399</v>
      </c>
      <c r="E219" s="38"/>
      <c r="F219" s="38"/>
      <c r="G219" s="38"/>
      <c r="H219" s="38" t="s">
        <v>3400</v>
      </c>
      <c r="I219" s="38" t="s">
        <v>3447</v>
      </c>
      <c r="J219" s="38"/>
      <c r="K219" s="38">
        <v>750</v>
      </c>
      <c r="L219" s="38">
        <v>9.6</v>
      </c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>
        <v>39.5</v>
      </c>
      <c r="AQ219" s="38">
        <v>14.477</v>
      </c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</row>
    <row r="220" spans="1:54">
      <c r="A220" s="38" t="s">
        <v>3661</v>
      </c>
      <c r="B220" s="38" t="s">
        <v>3449</v>
      </c>
      <c r="C220" s="38"/>
      <c r="D220" s="38" t="s">
        <v>3399</v>
      </c>
      <c r="E220" s="38"/>
      <c r="F220" s="38"/>
      <c r="G220" s="38"/>
      <c r="H220" s="38" t="s">
        <v>3400</v>
      </c>
      <c r="I220" s="38" t="s">
        <v>3447</v>
      </c>
      <c r="J220" s="38"/>
      <c r="K220" s="38">
        <v>750</v>
      </c>
      <c r="L220" s="38">
        <v>6.6</v>
      </c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>
        <v>30.3</v>
      </c>
      <c r="AQ220" s="38">
        <v>14.6836</v>
      </c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</row>
    <row r="221" spans="1:54">
      <c r="A221" s="38" t="s">
        <v>3662</v>
      </c>
      <c r="B221" s="38" t="s">
        <v>1848</v>
      </c>
      <c r="C221" s="38"/>
      <c r="D221" s="38" t="s">
        <v>3399</v>
      </c>
      <c r="E221" s="38"/>
      <c r="F221" s="38"/>
      <c r="G221" s="38"/>
      <c r="H221" s="38" t="s">
        <v>3400</v>
      </c>
      <c r="I221" s="38" t="s">
        <v>3663</v>
      </c>
      <c r="J221" s="38"/>
      <c r="K221" s="38">
        <v>500</v>
      </c>
      <c r="L221" s="38">
        <v>17.600000000000001</v>
      </c>
      <c r="M221" s="38"/>
      <c r="N221" s="38">
        <v>54.9</v>
      </c>
      <c r="O221" s="38">
        <v>4.97</v>
      </c>
      <c r="P221" s="38">
        <v>2.14</v>
      </c>
      <c r="Q221" s="38">
        <v>20.04</v>
      </c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>
        <v>18.7</v>
      </c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</row>
    <row r="222" spans="1:54">
      <c r="A222" s="38" t="s">
        <v>3664</v>
      </c>
      <c r="B222" s="38" t="s">
        <v>1848</v>
      </c>
      <c r="C222" s="38"/>
      <c r="D222" s="38" t="s">
        <v>3399</v>
      </c>
      <c r="E222" s="38"/>
      <c r="F222" s="38"/>
      <c r="G222" s="38"/>
      <c r="H222" s="38" t="s">
        <v>3400</v>
      </c>
      <c r="I222" s="38" t="s">
        <v>3663</v>
      </c>
      <c r="J222" s="38">
        <v>3.2</v>
      </c>
      <c r="K222" s="38">
        <v>550</v>
      </c>
      <c r="L222" s="38">
        <v>21.8</v>
      </c>
      <c r="M222" s="38"/>
      <c r="N222" s="38">
        <v>72.2</v>
      </c>
      <c r="O222" s="38">
        <v>1.3</v>
      </c>
      <c r="P222" s="38">
        <v>0.9</v>
      </c>
      <c r="Q222" s="38">
        <v>25.6</v>
      </c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>
        <v>13.6</v>
      </c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</row>
    <row r="223" spans="1:54">
      <c r="A223" s="38" t="s">
        <v>3665</v>
      </c>
      <c r="B223" s="38" t="s">
        <v>1848</v>
      </c>
      <c r="C223" s="38"/>
      <c r="D223" s="38" t="s">
        <v>3399</v>
      </c>
      <c r="E223" s="38"/>
      <c r="F223" s="38"/>
      <c r="G223" s="38"/>
      <c r="H223" s="38" t="s">
        <v>3400</v>
      </c>
      <c r="I223" s="38" t="s">
        <v>3666</v>
      </c>
      <c r="J223" s="38">
        <v>4.7300000000000004</v>
      </c>
      <c r="K223" s="38">
        <v>550</v>
      </c>
      <c r="L223" s="38">
        <v>28.9</v>
      </c>
      <c r="M223" s="38"/>
      <c r="N223" s="38">
        <v>63.4</v>
      </c>
      <c r="O223" s="38">
        <v>1.6</v>
      </c>
      <c r="P223" s="38">
        <v>0.7</v>
      </c>
      <c r="Q223" s="38">
        <v>34.299999999999997</v>
      </c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>
        <v>13.4</v>
      </c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</row>
    <row r="224" spans="1:54">
      <c r="A224" s="38" t="s">
        <v>3667</v>
      </c>
      <c r="B224" s="38" t="s">
        <v>3471</v>
      </c>
      <c r="C224" s="38"/>
      <c r="D224" s="38" t="s">
        <v>3399</v>
      </c>
      <c r="E224" s="38"/>
      <c r="F224" s="38"/>
      <c r="G224" s="38"/>
      <c r="H224" s="38" t="s">
        <v>3400</v>
      </c>
      <c r="I224" s="38" t="s">
        <v>3668</v>
      </c>
      <c r="J224" s="38"/>
      <c r="K224" s="38">
        <v>350</v>
      </c>
      <c r="L224" s="38">
        <v>1.9</v>
      </c>
      <c r="M224" s="38"/>
      <c r="N224" s="38">
        <v>74</v>
      </c>
      <c r="O224" s="38">
        <v>1.2</v>
      </c>
      <c r="P224" s="38">
        <v>4.3</v>
      </c>
      <c r="Q224" s="38">
        <v>20.5</v>
      </c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>
        <v>66.8</v>
      </c>
      <c r="AQ224" s="38">
        <v>2</v>
      </c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</row>
    <row r="225" spans="1:54">
      <c r="A225" s="38" t="s">
        <v>3669</v>
      </c>
      <c r="B225" s="38" t="s">
        <v>3471</v>
      </c>
      <c r="C225" s="38"/>
      <c r="D225" s="38" t="s">
        <v>3399</v>
      </c>
      <c r="E225" s="38"/>
      <c r="F225" s="38"/>
      <c r="G225" s="38"/>
      <c r="H225" s="38" t="s">
        <v>3400</v>
      </c>
      <c r="I225" s="38" t="s">
        <v>3668</v>
      </c>
      <c r="J225" s="38"/>
      <c r="K225" s="38">
        <v>850</v>
      </c>
      <c r="L225" s="38">
        <v>7.2</v>
      </c>
      <c r="M225" s="38"/>
      <c r="N225" s="38">
        <v>92.8</v>
      </c>
      <c r="O225" s="38">
        <v>0.8</v>
      </c>
      <c r="P225" s="38">
        <v>1.3</v>
      </c>
      <c r="Q225" s="38">
        <v>5.0999999999999996</v>
      </c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>
        <v>8.1</v>
      </c>
      <c r="AQ225" s="38">
        <v>3</v>
      </c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</row>
    <row r="226" spans="1:54">
      <c r="A226" s="38" t="s">
        <v>3670</v>
      </c>
      <c r="B226" s="38" t="s">
        <v>3463</v>
      </c>
      <c r="C226" s="38"/>
      <c r="D226" s="38" t="s">
        <v>3399</v>
      </c>
      <c r="E226" s="38"/>
      <c r="F226" s="38"/>
      <c r="G226" s="38"/>
      <c r="H226" s="38" t="s">
        <v>3400</v>
      </c>
      <c r="I226" s="38" t="s">
        <v>3668</v>
      </c>
      <c r="J226" s="38"/>
      <c r="K226" s="38">
        <v>350</v>
      </c>
      <c r="L226" s="38">
        <v>0.9</v>
      </c>
      <c r="M226" s="38"/>
      <c r="N226" s="38">
        <v>76</v>
      </c>
      <c r="O226" s="38">
        <v>1.7</v>
      </c>
      <c r="P226" s="38">
        <v>4.4000000000000004</v>
      </c>
      <c r="Q226" s="38">
        <v>17.899999999999999</v>
      </c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>
        <v>69.5</v>
      </c>
      <c r="AQ226" s="38">
        <v>2</v>
      </c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</row>
    <row r="227" spans="1:54">
      <c r="A227" s="38" t="s">
        <v>3671</v>
      </c>
      <c r="B227" s="38" t="s">
        <v>3463</v>
      </c>
      <c r="C227" s="38"/>
      <c r="D227" s="38" t="s">
        <v>3399</v>
      </c>
      <c r="E227" s="38"/>
      <c r="F227" s="38"/>
      <c r="G227" s="38"/>
      <c r="H227" s="38" t="s">
        <v>3400</v>
      </c>
      <c r="I227" s="38" t="s">
        <v>3668</v>
      </c>
      <c r="J227" s="38"/>
      <c r="K227" s="38">
        <v>850</v>
      </c>
      <c r="L227" s="38">
        <v>4.3</v>
      </c>
      <c r="M227" s="38"/>
      <c r="N227" s="38">
        <v>97.4</v>
      </c>
      <c r="O227" s="38">
        <v>1.2</v>
      </c>
      <c r="P227" s="38">
        <v>0.9</v>
      </c>
      <c r="Q227" s="38">
        <v>0.5</v>
      </c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>
        <v>14.6</v>
      </c>
      <c r="AQ227" s="38">
        <v>2</v>
      </c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</row>
    <row r="228" spans="1:54">
      <c r="A228" s="38" t="s">
        <v>3672</v>
      </c>
      <c r="B228" s="38" t="s">
        <v>3487</v>
      </c>
      <c r="C228" s="38"/>
      <c r="D228" s="38" t="s">
        <v>3399</v>
      </c>
      <c r="E228" s="38"/>
      <c r="F228" s="38"/>
      <c r="G228" s="38"/>
      <c r="H228" s="38" t="s">
        <v>3400</v>
      </c>
      <c r="I228" s="38" t="s">
        <v>3668</v>
      </c>
      <c r="J228" s="38"/>
      <c r="K228" s="38">
        <v>500</v>
      </c>
      <c r="L228" s="38">
        <v>14</v>
      </c>
      <c r="M228" s="38"/>
      <c r="N228" s="38">
        <v>68.400000000000006</v>
      </c>
      <c r="O228" s="38">
        <v>2.5499999999999998</v>
      </c>
      <c r="P228" s="38">
        <v>3.3</v>
      </c>
      <c r="Q228" s="38">
        <v>11.8</v>
      </c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>
        <v>20.6</v>
      </c>
      <c r="AQ228" s="38"/>
      <c r="AR228" s="38"/>
      <c r="AS228" s="38"/>
      <c r="AT228" s="38"/>
      <c r="AU228" s="38"/>
      <c r="AV228" s="38"/>
      <c r="AW228" s="38"/>
      <c r="AX228" s="38"/>
      <c r="AY228" s="38"/>
      <c r="AZ228" s="38"/>
      <c r="BA228" s="38"/>
      <c r="BB228" s="38"/>
    </row>
    <row r="229" spans="1:54">
      <c r="A229" s="38" t="s">
        <v>3673</v>
      </c>
      <c r="B229" s="38" t="s">
        <v>3471</v>
      </c>
      <c r="C229" s="38"/>
      <c r="D229" s="38" t="s">
        <v>3399</v>
      </c>
      <c r="E229" s="38"/>
      <c r="F229" s="38"/>
      <c r="G229" s="38"/>
      <c r="H229" s="38" t="s">
        <v>3400</v>
      </c>
      <c r="I229" s="38" t="s">
        <v>3668</v>
      </c>
      <c r="J229" s="38"/>
      <c r="K229" s="38">
        <v>500</v>
      </c>
      <c r="L229" s="38">
        <v>15</v>
      </c>
      <c r="M229" s="38"/>
      <c r="N229" s="38">
        <v>67</v>
      </c>
      <c r="O229" s="38">
        <v>0.3</v>
      </c>
      <c r="P229" s="38">
        <v>3</v>
      </c>
      <c r="Q229" s="38">
        <v>13</v>
      </c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>
        <v>29</v>
      </c>
      <c r="AQ229" s="38">
        <v>10</v>
      </c>
      <c r="AR229" s="38"/>
      <c r="AS229" s="38"/>
      <c r="AT229" s="38"/>
      <c r="AU229" s="38"/>
      <c r="AV229" s="38"/>
      <c r="AW229" s="38"/>
      <c r="AX229" s="38"/>
      <c r="AY229" s="38"/>
      <c r="AZ229" s="38"/>
      <c r="BA229" s="38"/>
      <c r="BB229" s="38"/>
    </row>
    <row r="230" spans="1:54">
      <c r="A230" s="38" t="s">
        <v>3674</v>
      </c>
      <c r="B230" s="38" t="s">
        <v>3449</v>
      </c>
      <c r="C230" s="38"/>
      <c r="D230" s="38" t="s">
        <v>3399</v>
      </c>
      <c r="E230" s="38"/>
      <c r="F230" s="38"/>
      <c r="G230" s="38"/>
      <c r="H230" s="38" t="s">
        <v>3400</v>
      </c>
      <c r="I230" s="38" t="s">
        <v>3668</v>
      </c>
      <c r="J230" s="38"/>
      <c r="K230" s="38">
        <v>600</v>
      </c>
      <c r="L230" s="38">
        <v>2</v>
      </c>
      <c r="M230" s="38"/>
      <c r="N230" s="38">
        <v>93</v>
      </c>
      <c r="O230" s="38">
        <v>0.7</v>
      </c>
      <c r="P230" s="38">
        <v>2.2999999999999998</v>
      </c>
      <c r="Q230" s="38">
        <v>2</v>
      </c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  <c r="AO230" s="38"/>
      <c r="AP230" s="38">
        <v>17</v>
      </c>
      <c r="AQ230" s="38" t="s">
        <v>3576</v>
      </c>
      <c r="AR230" s="38"/>
      <c r="AS230" s="38"/>
      <c r="AT230" s="38"/>
      <c r="AU230" s="38"/>
      <c r="AV230" s="38"/>
      <c r="AW230" s="38"/>
      <c r="AX230" s="38"/>
      <c r="AY230" s="38"/>
      <c r="AZ230" s="38"/>
      <c r="BA230" s="38"/>
      <c r="BB230" s="38"/>
    </row>
    <row r="231" spans="1:54">
      <c r="A231" s="38" t="s">
        <v>3675</v>
      </c>
      <c r="B231" s="38" t="s">
        <v>3463</v>
      </c>
      <c r="C231" s="38"/>
      <c r="D231" s="38" t="s">
        <v>3399</v>
      </c>
      <c r="E231" s="38"/>
      <c r="F231" s="38"/>
      <c r="G231" s="38"/>
      <c r="H231" s="38" t="s">
        <v>3400</v>
      </c>
      <c r="I231" s="38" t="s">
        <v>3668</v>
      </c>
      <c r="J231" s="38"/>
      <c r="K231" s="38">
        <v>550</v>
      </c>
      <c r="L231" s="38">
        <v>4.8</v>
      </c>
      <c r="M231" s="38"/>
      <c r="N231" s="38">
        <v>71.099999999999994</v>
      </c>
      <c r="O231" s="38">
        <v>0.11</v>
      </c>
      <c r="P231" s="38">
        <v>3.4</v>
      </c>
      <c r="Q231" s="38">
        <v>20.6</v>
      </c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  <c r="AO231" s="38"/>
      <c r="AP231" s="38">
        <v>33.6</v>
      </c>
      <c r="AQ231" s="38">
        <v>66</v>
      </c>
      <c r="AR231" s="38"/>
      <c r="AS231" s="38"/>
      <c r="AT231" s="38"/>
      <c r="AU231" s="38"/>
      <c r="AV231" s="38"/>
      <c r="AW231" s="38"/>
      <c r="AX231" s="38"/>
      <c r="AY231" s="38"/>
      <c r="AZ231" s="38"/>
      <c r="BA231" s="38"/>
      <c r="BB231" s="38"/>
    </row>
    <row r="232" spans="1:54">
      <c r="A232" s="38" t="s">
        <v>3676</v>
      </c>
      <c r="B232" s="38" t="s">
        <v>3487</v>
      </c>
      <c r="C232" s="38"/>
      <c r="D232" s="38" t="s">
        <v>3399</v>
      </c>
      <c r="E232" s="38"/>
      <c r="F232" s="38"/>
      <c r="G232" s="38"/>
      <c r="H232" s="38" t="s">
        <v>3400</v>
      </c>
      <c r="I232" s="38" t="s">
        <v>3668</v>
      </c>
      <c r="J232" s="38"/>
      <c r="K232" s="38">
        <v>500</v>
      </c>
      <c r="L232" s="38">
        <v>16.100000000000001</v>
      </c>
      <c r="M232" s="38"/>
      <c r="N232" s="38">
        <v>65.599999999999994</v>
      </c>
      <c r="O232" s="38">
        <v>2.78</v>
      </c>
      <c r="P232" s="38">
        <v>2.7</v>
      </c>
      <c r="Q232" s="38">
        <v>12.8</v>
      </c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>
        <v>16.2</v>
      </c>
      <c r="AQ232" s="38"/>
      <c r="AR232" s="38"/>
      <c r="AS232" s="38"/>
      <c r="AT232" s="38"/>
      <c r="AU232" s="38"/>
      <c r="AV232" s="38"/>
      <c r="AW232" s="38"/>
      <c r="AX232" s="38"/>
      <c r="AY232" s="38"/>
      <c r="AZ232" s="38"/>
      <c r="BA232" s="38"/>
      <c r="BB232" s="38"/>
    </row>
    <row r="233" spans="1:54">
      <c r="A233" s="38" t="s">
        <v>3677</v>
      </c>
      <c r="B233" s="38" t="s">
        <v>1848</v>
      </c>
      <c r="C233" s="38"/>
      <c r="D233" s="38" t="s">
        <v>3399</v>
      </c>
      <c r="E233" s="38"/>
      <c r="F233" s="38"/>
      <c r="G233" s="38"/>
      <c r="H233" s="38" t="s">
        <v>3400</v>
      </c>
      <c r="I233" s="38" t="s">
        <v>3668</v>
      </c>
      <c r="J233" s="38"/>
      <c r="K233" s="38">
        <v>400</v>
      </c>
      <c r="L233" s="38">
        <v>12.2</v>
      </c>
      <c r="M233" s="38"/>
      <c r="N233" s="38">
        <v>71.3</v>
      </c>
      <c r="O233" s="38">
        <v>1.4</v>
      </c>
      <c r="P233" s="38">
        <v>3.9</v>
      </c>
      <c r="Q233" s="38">
        <v>12.2</v>
      </c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>
        <v>27.1</v>
      </c>
      <c r="AQ233" s="38">
        <v>16</v>
      </c>
      <c r="AR233" s="38"/>
      <c r="AS233" s="38"/>
      <c r="AT233" s="38"/>
      <c r="AU233" s="38"/>
      <c r="AV233" s="38"/>
      <c r="AW233" s="38"/>
      <c r="AX233" s="38"/>
      <c r="AY233" s="38"/>
      <c r="AZ233" s="38"/>
      <c r="BA233" s="38"/>
      <c r="BB233" s="38"/>
    </row>
    <row r="234" spans="1:54">
      <c r="A234" s="38" t="s">
        <v>3678</v>
      </c>
      <c r="B234" s="38" t="s">
        <v>1848</v>
      </c>
      <c r="C234" s="38"/>
      <c r="D234" s="38" t="s">
        <v>3399</v>
      </c>
      <c r="E234" s="38"/>
      <c r="F234" s="38"/>
      <c r="G234" s="38"/>
      <c r="H234" s="38" t="s">
        <v>3400</v>
      </c>
      <c r="I234" s="38" t="s">
        <v>3668</v>
      </c>
      <c r="J234" s="38"/>
      <c r="K234" s="38">
        <v>500</v>
      </c>
      <c r="L234" s="38">
        <v>12.9</v>
      </c>
      <c r="M234" s="38"/>
      <c r="N234" s="38">
        <v>75</v>
      </c>
      <c r="O234" s="38">
        <v>1.4</v>
      </c>
      <c r="P234" s="38">
        <v>2.6</v>
      </c>
      <c r="Q234" s="38">
        <v>7.8</v>
      </c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>
        <v>17.5</v>
      </c>
      <c r="AQ234" s="38">
        <v>16</v>
      </c>
      <c r="AR234" s="38"/>
      <c r="AS234" s="38"/>
      <c r="AT234" s="38"/>
      <c r="AU234" s="38"/>
      <c r="AV234" s="38"/>
      <c r="AW234" s="38"/>
      <c r="AX234" s="38"/>
      <c r="AY234" s="38"/>
      <c r="AZ234" s="38"/>
      <c r="BA234" s="38"/>
      <c r="BB234" s="38"/>
    </row>
    <row r="235" spans="1:54">
      <c r="A235" s="38" t="s">
        <v>3679</v>
      </c>
      <c r="B235" s="38" t="s">
        <v>1848</v>
      </c>
      <c r="C235" s="38"/>
      <c r="D235" s="38" t="s">
        <v>3399</v>
      </c>
      <c r="E235" s="38"/>
      <c r="F235" s="38"/>
      <c r="G235" s="38"/>
      <c r="H235" s="38" t="s">
        <v>3400</v>
      </c>
      <c r="I235" s="38" t="s">
        <v>3668</v>
      </c>
      <c r="J235" s="38"/>
      <c r="K235" s="38">
        <v>600</v>
      </c>
      <c r="L235" s="38">
        <v>13.9</v>
      </c>
      <c r="M235" s="38"/>
      <c r="N235" s="38">
        <v>78.5</v>
      </c>
      <c r="O235" s="38">
        <v>1.5</v>
      </c>
      <c r="P235" s="38">
        <v>1.9</v>
      </c>
      <c r="Q235" s="38">
        <v>13.9</v>
      </c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>
        <v>11.5</v>
      </c>
      <c r="AQ235" s="38">
        <v>18</v>
      </c>
      <c r="AR235" s="38"/>
      <c r="AS235" s="38"/>
      <c r="AT235" s="38"/>
      <c r="AU235" s="38"/>
      <c r="AV235" s="38"/>
      <c r="AW235" s="38"/>
      <c r="AX235" s="38"/>
      <c r="AY235" s="38"/>
      <c r="AZ235" s="38"/>
      <c r="BA235" s="38"/>
      <c r="BB235" s="38"/>
    </row>
    <row r="236" spans="1:54">
      <c r="A236" s="38" t="s">
        <v>3680</v>
      </c>
      <c r="B236" s="38" t="s">
        <v>1848</v>
      </c>
      <c r="C236" s="38"/>
      <c r="D236" s="38" t="s">
        <v>3399</v>
      </c>
      <c r="E236" s="38"/>
      <c r="F236" s="38"/>
      <c r="G236" s="38"/>
      <c r="H236" s="38" t="s">
        <v>3400</v>
      </c>
      <c r="I236" s="38" t="s">
        <v>3668</v>
      </c>
      <c r="J236" s="38"/>
      <c r="K236" s="38">
        <v>700</v>
      </c>
      <c r="L236" s="38">
        <v>14.4</v>
      </c>
      <c r="M236" s="38"/>
      <c r="N236" s="38">
        <v>79.5</v>
      </c>
      <c r="O236" s="38">
        <v>1.4</v>
      </c>
      <c r="P236" s="38">
        <v>1.2</v>
      </c>
      <c r="Q236" s="38">
        <v>3.3</v>
      </c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>
        <v>9</v>
      </c>
      <c r="AQ236" s="38">
        <v>19</v>
      </c>
      <c r="AR236" s="38"/>
      <c r="AS236" s="38"/>
      <c r="AT236" s="38"/>
      <c r="AU236" s="38"/>
      <c r="AV236" s="38"/>
      <c r="AW236" s="38"/>
      <c r="AX236" s="38"/>
      <c r="AY236" s="38"/>
      <c r="AZ236" s="38"/>
      <c r="BA236" s="38"/>
      <c r="BB236" s="38"/>
    </row>
    <row r="237" spans="1:54">
      <c r="A237" s="38" t="s">
        <v>3681</v>
      </c>
      <c r="B237" s="38" t="s">
        <v>1848</v>
      </c>
      <c r="C237" s="38"/>
      <c r="D237" s="38" t="s">
        <v>3399</v>
      </c>
      <c r="E237" s="38"/>
      <c r="F237" s="38"/>
      <c r="G237" s="38"/>
      <c r="H237" s="38" t="s">
        <v>3400</v>
      </c>
      <c r="I237" s="38" t="s">
        <v>3668</v>
      </c>
      <c r="J237" s="38"/>
      <c r="K237" s="38">
        <v>800</v>
      </c>
      <c r="L237" s="38">
        <v>15.3</v>
      </c>
      <c r="M237" s="38"/>
      <c r="N237" s="38">
        <v>79.5</v>
      </c>
      <c r="O237" s="38">
        <v>1.5</v>
      </c>
      <c r="P237" s="38">
        <v>0.7</v>
      </c>
      <c r="Q237" s="38">
        <v>2.6</v>
      </c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>
        <v>8</v>
      </c>
      <c r="AQ237" s="38">
        <v>19</v>
      </c>
      <c r="AR237" s="38"/>
      <c r="AS237" s="38"/>
      <c r="AT237" s="38"/>
      <c r="AU237" s="38"/>
      <c r="AV237" s="38"/>
      <c r="AW237" s="38"/>
      <c r="AX237" s="38"/>
      <c r="AY237" s="38"/>
      <c r="AZ237" s="38"/>
      <c r="BA237" s="38"/>
      <c r="BB237" s="38"/>
    </row>
    <row r="238" spans="1:54">
      <c r="A238" s="38" t="s">
        <v>3682</v>
      </c>
      <c r="B238" s="38" t="s">
        <v>1848</v>
      </c>
      <c r="C238" s="38"/>
      <c r="D238" s="38" t="s">
        <v>3399</v>
      </c>
      <c r="E238" s="38"/>
      <c r="F238" s="38"/>
      <c r="G238" s="38"/>
      <c r="H238" s="38" t="s">
        <v>3400</v>
      </c>
      <c r="I238" s="38" t="s">
        <v>3668</v>
      </c>
      <c r="J238" s="38"/>
      <c r="K238" s="38">
        <v>900</v>
      </c>
      <c r="L238" s="38">
        <v>16.100000000000001</v>
      </c>
      <c r="M238" s="38"/>
      <c r="N238" s="38">
        <v>79.86</v>
      </c>
      <c r="O238" s="38">
        <v>1.6</v>
      </c>
      <c r="P238" s="38">
        <v>0.42</v>
      </c>
      <c r="Q238" s="38">
        <v>1.67</v>
      </c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>
        <v>3.6</v>
      </c>
      <c r="AQ238" s="38">
        <v>140</v>
      </c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</row>
    <row r="239" spans="1:54">
      <c r="A239" s="38" t="s">
        <v>3683</v>
      </c>
      <c r="B239" s="38" t="s">
        <v>3424</v>
      </c>
      <c r="C239" s="38"/>
      <c r="D239" s="38" t="s">
        <v>3399</v>
      </c>
      <c r="E239" s="38"/>
      <c r="F239" s="38"/>
      <c r="G239" s="38"/>
      <c r="H239" s="38" t="s">
        <v>3400</v>
      </c>
      <c r="I239" s="38" t="s">
        <v>3668</v>
      </c>
      <c r="J239" s="38"/>
      <c r="K239" s="38">
        <v>760</v>
      </c>
      <c r="L239" s="38">
        <v>54</v>
      </c>
      <c r="M239" s="38"/>
      <c r="N239" s="38">
        <v>38.5</v>
      </c>
      <c r="O239" s="38">
        <v>0.7</v>
      </c>
      <c r="P239" s="38">
        <v>1.3</v>
      </c>
      <c r="Q239" s="38">
        <v>7.5</v>
      </c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>
        <v>5.5</v>
      </c>
      <c r="AQ239" s="38"/>
      <c r="AR239" s="38">
        <v>24</v>
      </c>
      <c r="AS239" s="38"/>
      <c r="AT239" s="38"/>
      <c r="AU239" s="38"/>
      <c r="AV239" s="38"/>
      <c r="AW239" s="38"/>
      <c r="AX239" s="38"/>
      <c r="AY239" s="38"/>
      <c r="AZ239" s="38"/>
      <c r="BA239" s="38"/>
      <c r="BB239" s="38"/>
    </row>
    <row r="240" spans="1:54">
      <c r="A240" s="38" t="s">
        <v>3684</v>
      </c>
      <c r="B240" s="38" t="s">
        <v>1848</v>
      </c>
      <c r="C240" s="38"/>
      <c r="D240" s="38" t="s">
        <v>3399</v>
      </c>
      <c r="E240" s="38"/>
      <c r="F240" s="38"/>
      <c r="G240" s="38"/>
      <c r="H240" s="38" t="s">
        <v>3400</v>
      </c>
      <c r="I240" s="38" t="s">
        <v>3668</v>
      </c>
      <c r="J240" s="38"/>
      <c r="K240" s="38">
        <v>100</v>
      </c>
      <c r="L240" s="38">
        <v>1.1000000000000001</v>
      </c>
      <c r="M240" s="38"/>
      <c r="N240" s="38">
        <v>50.87</v>
      </c>
      <c r="O240" s="38">
        <v>0.71</v>
      </c>
      <c r="P240" s="38">
        <v>6.15</v>
      </c>
      <c r="Q240" s="38">
        <v>42.3</v>
      </c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8"/>
      <c r="AQ240" s="38">
        <v>1</v>
      </c>
      <c r="AR240" s="38"/>
      <c r="AS240" s="38"/>
      <c r="AT240" s="38"/>
      <c r="AU240" s="38"/>
      <c r="AV240" s="38"/>
      <c r="AW240" s="38"/>
      <c r="AX240" s="38"/>
      <c r="AY240" s="38"/>
      <c r="AZ240" s="38"/>
      <c r="BA240" s="38"/>
      <c r="BB240" s="38"/>
    </row>
    <row r="241" spans="1:54">
      <c r="A241" s="38" t="s">
        <v>3685</v>
      </c>
      <c r="B241" s="38" t="s">
        <v>1848</v>
      </c>
      <c r="C241" s="38"/>
      <c r="D241" s="38" t="s">
        <v>3399</v>
      </c>
      <c r="E241" s="38"/>
      <c r="F241" s="38"/>
      <c r="G241" s="38"/>
      <c r="H241" s="38" t="s">
        <v>3400</v>
      </c>
      <c r="I241" s="38" t="s">
        <v>3668</v>
      </c>
      <c r="J241" s="38"/>
      <c r="K241" s="38">
        <v>200</v>
      </c>
      <c r="L241" s="38">
        <v>0.9</v>
      </c>
      <c r="M241" s="38"/>
      <c r="N241" s="38">
        <v>57.1</v>
      </c>
      <c r="O241" s="38">
        <v>0.88</v>
      </c>
      <c r="P241" s="38">
        <v>5.71</v>
      </c>
      <c r="Q241" s="38">
        <v>36.299999999999997</v>
      </c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>
        <v>6</v>
      </c>
      <c r="AR241" s="38"/>
      <c r="AS241" s="38"/>
      <c r="AT241" s="38"/>
      <c r="AU241" s="38"/>
      <c r="AV241" s="38"/>
      <c r="AW241" s="38"/>
      <c r="AX241" s="38"/>
      <c r="AY241" s="38"/>
      <c r="AZ241" s="38"/>
      <c r="BA241" s="38"/>
      <c r="BB241" s="38"/>
    </row>
    <row r="242" spans="1:54">
      <c r="A242" s="38" t="s">
        <v>3686</v>
      </c>
      <c r="B242" s="38" t="s">
        <v>1848</v>
      </c>
      <c r="C242" s="38"/>
      <c r="D242" s="38" t="s">
        <v>3399</v>
      </c>
      <c r="E242" s="38"/>
      <c r="F242" s="38"/>
      <c r="G242" s="38"/>
      <c r="H242" s="38" t="s">
        <v>3400</v>
      </c>
      <c r="I242" s="38" t="s">
        <v>3668</v>
      </c>
      <c r="J242" s="38"/>
      <c r="K242" s="38">
        <v>250</v>
      </c>
      <c r="L242" s="38">
        <v>1.2</v>
      </c>
      <c r="M242" s="38"/>
      <c r="N242" s="38">
        <v>61.2</v>
      </c>
      <c r="O242" s="38">
        <v>0.86</v>
      </c>
      <c r="P242" s="38">
        <v>5.54</v>
      </c>
      <c r="Q242" s="38">
        <v>32.4</v>
      </c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>
        <v>10</v>
      </c>
      <c r="AR242" s="38"/>
      <c r="AS242" s="38"/>
      <c r="AT242" s="38"/>
      <c r="AU242" s="38"/>
      <c r="AV242" s="38"/>
      <c r="AW242" s="38"/>
      <c r="AX242" s="38"/>
      <c r="AY242" s="38"/>
      <c r="AZ242" s="38"/>
      <c r="BA242" s="38"/>
      <c r="BB242" s="38"/>
    </row>
    <row r="243" spans="1:54">
      <c r="A243" s="38" t="s">
        <v>3687</v>
      </c>
      <c r="B243" s="38" t="s">
        <v>1848</v>
      </c>
      <c r="C243" s="38"/>
      <c r="D243" s="38" t="s">
        <v>3399</v>
      </c>
      <c r="E243" s="38"/>
      <c r="F243" s="38"/>
      <c r="G243" s="38"/>
      <c r="H243" s="38" t="s">
        <v>3400</v>
      </c>
      <c r="I243" s="38" t="s">
        <v>3668</v>
      </c>
      <c r="J243" s="38"/>
      <c r="K243" s="38">
        <v>300</v>
      </c>
      <c r="L243" s="38">
        <v>1.9</v>
      </c>
      <c r="M243" s="38"/>
      <c r="N243" s="38">
        <v>68.900000000000006</v>
      </c>
      <c r="O243" s="38">
        <v>1.08</v>
      </c>
      <c r="P243" s="38">
        <v>4.3099999999999996</v>
      </c>
      <c r="Q243" s="38">
        <v>25.7</v>
      </c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>
        <v>20</v>
      </c>
      <c r="AR243" s="38"/>
      <c r="AS243" s="38"/>
      <c r="AT243" s="38"/>
      <c r="AU243" s="38"/>
      <c r="AV243" s="38"/>
      <c r="AW243" s="38"/>
      <c r="AX243" s="38"/>
      <c r="AY243" s="38"/>
      <c r="AZ243" s="38"/>
      <c r="BA243" s="38"/>
      <c r="BB243" s="38"/>
    </row>
    <row r="244" spans="1:54">
      <c r="A244" s="38" t="s">
        <v>3688</v>
      </c>
      <c r="B244" s="38" t="s">
        <v>1848</v>
      </c>
      <c r="C244" s="38"/>
      <c r="D244" s="38" t="s">
        <v>3399</v>
      </c>
      <c r="E244" s="38"/>
      <c r="F244" s="38"/>
      <c r="G244" s="38"/>
      <c r="H244" s="38" t="s">
        <v>3400</v>
      </c>
      <c r="I244" s="38" t="s">
        <v>3668</v>
      </c>
      <c r="J244" s="38"/>
      <c r="K244" s="38">
        <v>400</v>
      </c>
      <c r="L244" s="38">
        <v>2.2999999999999998</v>
      </c>
      <c r="M244" s="38"/>
      <c r="N244" s="38">
        <v>77.900000000000006</v>
      </c>
      <c r="O244" s="38">
        <v>1.1599999999999999</v>
      </c>
      <c r="P244" s="38">
        <v>2.95</v>
      </c>
      <c r="Q244" s="38">
        <v>18</v>
      </c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>
        <v>112</v>
      </c>
      <c r="AR244" s="38"/>
      <c r="AS244" s="38"/>
      <c r="AT244" s="38"/>
      <c r="AU244" s="38"/>
      <c r="AV244" s="38"/>
      <c r="AW244" s="38"/>
      <c r="AX244" s="38"/>
      <c r="AY244" s="38"/>
      <c r="AZ244" s="38"/>
      <c r="BA244" s="38"/>
      <c r="BB244" s="38"/>
    </row>
    <row r="245" spans="1:54">
      <c r="A245" s="38" t="s">
        <v>3689</v>
      </c>
      <c r="B245" s="38" t="s">
        <v>1848</v>
      </c>
      <c r="C245" s="38"/>
      <c r="D245" s="38" t="s">
        <v>3399</v>
      </c>
      <c r="E245" s="38"/>
      <c r="F245" s="38"/>
      <c r="G245" s="38"/>
      <c r="H245" s="38" t="s">
        <v>3400</v>
      </c>
      <c r="I245" s="38" t="s">
        <v>3668</v>
      </c>
      <c r="J245" s="38"/>
      <c r="K245" s="38">
        <v>500</v>
      </c>
      <c r="L245" s="38">
        <v>2.8</v>
      </c>
      <c r="M245" s="38"/>
      <c r="N245" s="38">
        <v>81.7</v>
      </c>
      <c r="O245" s="38">
        <v>1.1100000000000001</v>
      </c>
      <c r="P245" s="38">
        <v>2.2599999999999998</v>
      </c>
      <c r="Q245" s="38">
        <v>15</v>
      </c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>
        <v>236</v>
      </c>
      <c r="AR245" s="38"/>
      <c r="AS245" s="38"/>
      <c r="AT245" s="38"/>
      <c r="AU245" s="38"/>
      <c r="AV245" s="38"/>
      <c r="AW245" s="38"/>
      <c r="AX245" s="38"/>
      <c r="AY245" s="38"/>
      <c r="AZ245" s="38"/>
      <c r="BA245" s="38"/>
      <c r="BB245" s="38"/>
    </row>
    <row r="246" spans="1:54">
      <c r="A246" s="38" t="s">
        <v>3690</v>
      </c>
      <c r="B246" s="38" t="s">
        <v>1848</v>
      </c>
      <c r="C246" s="38"/>
      <c r="D246" s="38" t="s">
        <v>3399</v>
      </c>
      <c r="E246" s="38"/>
      <c r="F246" s="38"/>
      <c r="G246" s="38"/>
      <c r="H246" s="38" t="s">
        <v>3400</v>
      </c>
      <c r="I246" s="38" t="s">
        <v>3668</v>
      </c>
      <c r="J246" s="38"/>
      <c r="K246" s="38">
        <v>600</v>
      </c>
      <c r="L246" s="38">
        <v>2.8</v>
      </c>
      <c r="M246" s="38"/>
      <c r="N246" s="38">
        <v>85.4</v>
      </c>
      <c r="O246" s="38">
        <v>0.98</v>
      </c>
      <c r="P246" s="38">
        <v>1.85</v>
      </c>
      <c r="Q246" s="38">
        <v>2.8</v>
      </c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  <c r="AN246" s="38"/>
      <c r="AO246" s="38"/>
      <c r="AP246" s="38"/>
      <c r="AQ246" s="38">
        <v>207</v>
      </c>
      <c r="AR246" s="38"/>
      <c r="AS246" s="38"/>
      <c r="AT246" s="38"/>
      <c r="AU246" s="38"/>
      <c r="AV246" s="38"/>
      <c r="AW246" s="38"/>
      <c r="AX246" s="38"/>
      <c r="AY246" s="38"/>
      <c r="AZ246" s="38"/>
      <c r="BA246" s="38"/>
      <c r="BB246" s="38"/>
    </row>
    <row r="247" spans="1:54">
      <c r="A247" s="38" t="s">
        <v>3691</v>
      </c>
      <c r="B247" s="38" t="s">
        <v>1848</v>
      </c>
      <c r="C247" s="38"/>
      <c r="D247" s="38" t="s">
        <v>3399</v>
      </c>
      <c r="E247" s="38"/>
      <c r="F247" s="38"/>
      <c r="G247" s="38"/>
      <c r="H247" s="38" t="s">
        <v>3400</v>
      </c>
      <c r="I247" s="38" t="s">
        <v>3668</v>
      </c>
      <c r="J247" s="38"/>
      <c r="K247" s="38">
        <v>700</v>
      </c>
      <c r="L247" s="38">
        <v>2.2000000000000002</v>
      </c>
      <c r="M247" s="38"/>
      <c r="N247" s="38">
        <v>86.5</v>
      </c>
      <c r="O247" s="38">
        <v>1.1299999999999999</v>
      </c>
      <c r="P247" s="38">
        <v>1.28</v>
      </c>
      <c r="Q247" s="38">
        <v>11.1</v>
      </c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  <c r="AQ247" s="38">
        <v>491</v>
      </c>
      <c r="AR247" s="38"/>
      <c r="AS247" s="38"/>
      <c r="AT247" s="38"/>
      <c r="AU247" s="38"/>
      <c r="AV247" s="38"/>
      <c r="AW247" s="38"/>
      <c r="AX247" s="38"/>
      <c r="AY247" s="38"/>
      <c r="AZ247" s="38"/>
      <c r="BA247" s="38"/>
      <c r="BB247" s="38"/>
    </row>
    <row r="248" spans="1:54">
      <c r="A248" s="38" t="s">
        <v>3692</v>
      </c>
      <c r="B248" s="38" t="s">
        <v>1848</v>
      </c>
      <c r="C248" s="38"/>
      <c r="D248" s="38" t="s">
        <v>3399</v>
      </c>
      <c r="E248" s="38"/>
      <c r="F248" s="38"/>
      <c r="G248" s="38"/>
      <c r="H248" s="38" t="s">
        <v>3400</v>
      </c>
      <c r="I248" s="38" t="s">
        <v>3668</v>
      </c>
      <c r="J248" s="38"/>
      <c r="K248" s="38">
        <v>600</v>
      </c>
      <c r="L248" s="38"/>
      <c r="M248" s="38"/>
      <c r="N248" s="38">
        <v>76.5</v>
      </c>
      <c r="O248" s="38">
        <v>0.79</v>
      </c>
      <c r="P248" s="38">
        <v>2.93</v>
      </c>
      <c r="Q248" s="38">
        <v>19.8</v>
      </c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  <c r="AN248" s="38"/>
      <c r="AO248" s="38"/>
      <c r="AP248" s="38"/>
      <c r="AQ248" s="38">
        <v>14</v>
      </c>
      <c r="AR248" s="38"/>
      <c r="AS248" s="38"/>
      <c r="AT248" s="38"/>
      <c r="AU248" s="38"/>
      <c r="AV248" s="38"/>
      <c r="AW248" s="38"/>
      <c r="AX248" s="38"/>
      <c r="AY248" s="38"/>
      <c r="AZ248" s="38"/>
      <c r="BA248" s="38"/>
      <c r="BB248" s="38"/>
    </row>
    <row r="249" spans="1:54">
      <c r="A249" s="38" t="s">
        <v>3693</v>
      </c>
      <c r="B249" s="38" t="s">
        <v>3471</v>
      </c>
      <c r="C249" s="38"/>
      <c r="D249" s="38" t="s">
        <v>3399</v>
      </c>
      <c r="E249" s="38"/>
      <c r="F249" s="38"/>
      <c r="G249" s="38"/>
      <c r="H249" s="38" t="s">
        <v>3400</v>
      </c>
      <c r="I249" s="38" t="s">
        <v>3668</v>
      </c>
      <c r="J249" s="38"/>
      <c r="K249" s="38">
        <v>538</v>
      </c>
      <c r="L249" s="38">
        <v>27</v>
      </c>
      <c r="M249" s="38"/>
      <c r="N249" s="38">
        <v>93</v>
      </c>
      <c r="O249" s="38">
        <v>0.7</v>
      </c>
      <c r="P249" s="38">
        <v>2.2999999999999998</v>
      </c>
      <c r="Q249" s="38">
        <v>2</v>
      </c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38"/>
      <c r="AO249" s="38"/>
      <c r="AP249" s="38"/>
      <c r="AQ249" s="38">
        <v>7</v>
      </c>
      <c r="AR249" s="38"/>
      <c r="AS249" s="38"/>
      <c r="AT249" s="38"/>
      <c r="AU249" s="38"/>
      <c r="AV249" s="38"/>
      <c r="AW249" s="38"/>
      <c r="AX249" s="38"/>
      <c r="AY249" s="38"/>
      <c r="AZ249" s="38"/>
      <c r="BA249" s="38"/>
      <c r="BB249" s="38"/>
    </row>
    <row r="250" spans="1:54">
      <c r="A250" s="38" t="s">
        <v>3694</v>
      </c>
      <c r="B250" s="38" t="s">
        <v>3471</v>
      </c>
      <c r="C250" s="38"/>
      <c r="D250" s="38" t="s">
        <v>3399</v>
      </c>
      <c r="E250" s="38"/>
      <c r="F250" s="38"/>
      <c r="G250" s="38"/>
      <c r="H250" s="38" t="s">
        <v>3400</v>
      </c>
      <c r="I250" s="38" t="s">
        <v>3668</v>
      </c>
      <c r="J250" s="38"/>
      <c r="K250" s="38">
        <v>400</v>
      </c>
      <c r="L250" s="38"/>
      <c r="M250" s="38"/>
      <c r="N250" s="38">
        <v>84.3</v>
      </c>
      <c r="O250" s="38"/>
      <c r="P250" s="38">
        <v>2.91</v>
      </c>
      <c r="Q250" s="38">
        <v>5.88</v>
      </c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  <c r="AN250" s="38"/>
      <c r="AO250" s="38"/>
      <c r="AP250" s="38">
        <v>16.3</v>
      </c>
      <c r="AQ250" s="38"/>
      <c r="AR250" s="38"/>
      <c r="AS250" s="38"/>
      <c r="AT250" s="38"/>
      <c r="AU250" s="38"/>
      <c r="AV250" s="38"/>
      <c r="AW250" s="38"/>
      <c r="AX250" s="38"/>
      <c r="AY250" s="38"/>
      <c r="AZ250" s="38"/>
      <c r="BA250" s="38"/>
      <c r="BB250" s="38"/>
    </row>
    <row r="251" spans="1:54">
      <c r="A251" s="38" t="s">
        <v>3695</v>
      </c>
      <c r="B251" s="38" t="s">
        <v>3471</v>
      </c>
      <c r="C251" s="38"/>
      <c r="D251" s="38" t="s">
        <v>3399</v>
      </c>
      <c r="E251" s="38"/>
      <c r="F251" s="38"/>
      <c r="G251" s="38"/>
      <c r="H251" s="38" t="s">
        <v>3400</v>
      </c>
      <c r="I251" s="38" t="s">
        <v>3668</v>
      </c>
      <c r="J251" s="38"/>
      <c r="K251" s="38">
        <v>1000</v>
      </c>
      <c r="L251" s="38"/>
      <c r="M251" s="38"/>
      <c r="N251" s="38">
        <v>94.8</v>
      </c>
      <c r="O251" s="38"/>
      <c r="P251" s="38">
        <v>0.25</v>
      </c>
      <c r="Q251" s="38">
        <v>1.03</v>
      </c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  <c r="AO251" s="38"/>
      <c r="AP251" s="38">
        <v>1.3</v>
      </c>
      <c r="AQ251" s="38"/>
      <c r="AR251" s="38"/>
      <c r="AS251" s="38"/>
      <c r="AT251" s="38"/>
      <c r="AU251" s="38"/>
      <c r="AV251" s="38"/>
      <c r="AW251" s="38"/>
      <c r="AX251" s="38"/>
      <c r="AY251" s="38"/>
      <c r="AZ251" s="38"/>
      <c r="BA251" s="38"/>
      <c r="BB251" s="38"/>
    </row>
    <row r="252" spans="1:54">
      <c r="A252" s="38" t="s">
        <v>3657</v>
      </c>
      <c r="B252" s="38" t="s">
        <v>3424</v>
      </c>
      <c r="C252" s="38"/>
      <c r="D252" s="38" t="s">
        <v>3399</v>
      </c>
      <c r="E252" s="38"/>
      <c r="F252" s="38"/>
      <c r="G252" s="38"/>
      <c r="H252" s="38" t="s">
        <v>3400</v>
      </c>
      <c r="I252" s="38" t="s">
        <v>3668</v>
      </c>
      <c r="J252" s="38"/>
      <c r="K252" s="38">
        <v>700</v>
      </c>
      <c r="L252" s="38">
        <v>58.8</v>
      </c>
      <c r="M252" s="38"/>
      <c r="N252" s="38">
        <v>33.5</v>
      </c>
      <c r="O252" s="38">
        <v>1</v>
      </c>
      <c r="P252" s="38"/>
      <c r="Q252" s="38">
        <v>5.0999999999999996</v>
      </c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38"/>
      <c r="AO252" s="38"/>
      <c r="AP252" s="38">
        <v>7.6</v>
      </c>
      <c r="AQ252" s="38">
        <v>29</v>
      </c>
      <c r="AR252" s="38"/>
      <c r="AS252" s="38"/>
      <c r="AT252" s="38"/>
      <c r="AU252" s="38"/>
      <c r="AV252" s="38"/>
      <c r="AW252" s="38"/>
      <c r="AX252" s="38"/>
      <c r="AY252" s="38"/>
      <c r="AZ252" s="38"/>
      <c r="BA252" s="38"/>
      <c r="BB252" s="38"/>
    </row>
    <row r="253" spans="1:54">
      <c r="A253" s="38" t="s">
        <v>3655</v>
      </c>
      <c r="B253" s="38" t="s">
        <v>3424</v>
      </c>
      <c r="C253" s="38"/>
      <c r="D253" s="38" t="s">
        <v>3399</v>
      </c>
      <c r="E253" s="38"/>
      <c r="F253" s="38"/>
      <c r="G253" s="38"/>
      <c r="H253" s="38" t="s">
        <v>3400</v>
      </c>
      <c r="I253" s="38" t="s">
        <v>3668</v>
      </c>
      <c r="J253" s="38"/>
      <c r="K253" s="38">
        <v>450</v>
      </c>
      <c r="L253" s="38">
        <v>58</v>
      </c>
      <c r="M253" s="38"/>
      <c r="N253" s="38">
        <v>33.200000000000003</v>
      </c>
      <c r="O253" s="38">
        <v>1.4</v>
      </c>
      <c r="P253" s="38"/>
      <c r="Q253" s="38">
        <v>8.6</v>
      </c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>
        <v>12.7</v>
      </c>
      <c r="AQ253" s="38">
        <v>12</v>
      </c>
      <c r="AR253" s="38"/>
      <c r="AS253" s="38"/>
      <c r="AT253" s="38"/>
      <c r="AU253" s="38"/>
      <c r="AV253" s="38"/>
      <c r="AW253" s="38"/>
      <c r="AX253" s="38"/>
      <c r="AY253" s="38"/>
      <c r="AZ253" s="38"/>
      <c r="BA253" s="38"/>
      <c r="BB253" s="38"/>
    </row>
    <row r="254" spans="1:54">
      <c r="A254" s="38" t="s">
        <v>3696</v>
      </c>
      <c r="B254" s="38" t="s">
        <v>3471</v>
      </c>
      <c r="C254" s="38"/>
      <c r="D254" s="38" t="s">
        <v>3399</v>
      </c>
      <c r="E254" s="38"/>
      <c r="F254" s="38"/>
      <c r="G254" s="38"/>
      <c r="H254" s="38" t="s">
        <v>3400</v>
      </c>
      <c r="I254" s="38" t="s">
        <v>3697</v>
      </c>
      <c r="J254" s="38"/>
      <c r="K254" s="38">
        <v>250</v>
      </c>
      <c r="L254" s="38">
        <v>0.9</v>
      </c>
      <c r="M254" s="38">
        <v>61.5</v>
      </c>
      <c r="N254" s="38"/>
      <c r="O254" s="38"/>
      <c r="P254" s="38"/>
      <c r="Q254" s="38">
        <v>34.9</v>
      </c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8">
        <v>66.400000000000006</v>
      </c>
      <c r="AQ254" s="38">
        <v>5.4</v>
      </c>
      <c r="AR254" s="38"/>
      <c r="AS254" s="38"/>
      <c r="AT254" s="38"/>
      <c r="AU254" s="38"/>
      <c r="AV254" s="38"/>
      <c r="AW254" s="38"/>
      <c r="AX254" s="38"/>
      <c r="AY254" s="38"/>
      <c r="AZ254" s="38"/>
      <c r="BA254" s="38"/>
      <c r="BB254" s="38"/>
    </row>
    <row r="255" spans="1:54">
      <c r="A255" s="38" t="s">
        <v>3698</v>
      </c>
      <c r="B255" s="38" t="s">
        <v>3471</v>
      </c>
      <c r="C255" s="38"/>
      <c r="D255" s="38" t="s">
        <v>3399</v>
      </c>
      <c r="E255" s="38"/>
      <c r="F255" s="38"/>
      <c r="G255" s="38"/>
      <c r="H255" s="38" t="s">
        <v>3400</v>
      </c>
      <c r="I255" s="38" t="s">
        <v>3697</v>
      </c>
      <c r="J255" s="38"/>
      <c r="K255" s="38">
        <v>400</v>
      </c>
      <c r="L255" s="38">
        <v>1.8</v>
      </c>
      <c r="M255" s="38">
        <v>78.599999999999994</v>
      </c>
      <c r="N255" s="38"/>
      <c r="O255" s="38"/>
      <c r="P255" s="38"/>
      <c r="Q255" s="38">
        <v>17.600000000000001</v>
      </c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  <c r="AM255" s="38"/>
      <c r="AN255" s="38"/>
      <c r="AO255" s="38"/>
      <c r="AP255" s="38">
        <v>41.1</v>
      </c>
      <c r="AQ255" s="38">
        <v>6.1</v>
      </c>
      <c r="AR255" s="38"/>
      <c r="AS255" s="38"/>
      <c r="AT255" s="38"/>
      <c r="AU255" s="38"/>
      <c r="AV255" s="38"/>
      <c r="AW255" s="38"/>
      <c r="AX255" s="38"/>
      <c r="AY255" s="38"/>
      <c r="AZ255" s="38"/>
      <c r="BA255" s="38"/>
      <c r="BB255" s="38"/>
    </row>
    <row r="256" spans="1:54">
      <c r="A256" s="38" t="s">
        <v>3699</v>
      </c>
      <c r="B256" s="38" t="s">
        <v>3471</v>
      </c>
      <c r="C256" s="38"/>
      <c r="D256" s="38" t="s">
        <v>3399</v>
      </c>
      <c r="E256" s="38"/>
      <c r="F256" s="38"/>
      <c r="G256" s="38"/>
      <c r="H256" s="38" t="s">
        <v>3400</v>
      </c>
      <c r="I256" s="38" t="s">
        <v>3697</v>
      </c>
      <c r="J256" s="38"/>
      <c r="K256" s="38">
        <v>525</v>
      </c>
      <c r="L256" s="38">
        <v>1.2</v>
      </c>
      <c r="M256" s="38">
        <v>85.3</v>
      </c>
      <c r="N256" s="38"/>
      <c r="O256" s="38"/>
      <c r="P256" s="38"/>
      <c r="Q256" s="38">
        <v>11.4</v>
      </c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  <c r="AN256" s="38"/>
      <c r="AO256" s="38"/>
      <c r="AP256" s="38">
        <v>35</v>
      </c>
      <c r="AQ256" s="38">
        <v>500.9</v>
      </c>
      <c r="AR256" s="38"/>
      <c r="AS256" s="38"/>
      <c r="AT256" s="38"/>
      <c r="AU256" s="38"/>
      <c r="AV256" s="38"/>
      <c r="AW256" s="38"/>
      <c r="AX256" s="38"/>
      <c r="AY256" s="38"/>
      <c r="AZ256" s="38"/>
      <c r="BA256" s="38"/>
      <c r="BB256" s="38"/>
    </row>
    <row r="257" spans="1:54">
      <c r="A257" s="38" t="s">
        <v>3700</v>
      </c>
      <c r="B257" s="38" t="s">
        <v>3471</v>
      </c>
      <c r="C257" s="38"/>
      <c r="D257" s="38" t="s">
        <v>3399</v>
      </c>
      <c r="E257" s="38"/>
      <c r="F257" s="38"/>
      <c r="G257" s="38"/>
      <c r="H257" s="38" t="s">
        <v>3400</v>
      </c>
      <c r="I257" s="38" t="s">
        <v>3697</v>
      </c>
      <c r="J257" s="38"/>
      <c r="K257" s="38">
        <v>650</v>
      </c>
      <c r="L257" s="38">
        <v>1.3</v>
      </c>
      <c r="M257" s="38">
        <v>83</v>
      </c>
      <c r="N257" s="38"/>
      <c r="O257" s="38"/>
      <c r="P257" s="38"/>
      <c r="Q257" s="38">
        <v>13.8</v>
      </c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>
        <v>22.3</v>
      </c>
      <c r="AQ257" s="38">
        <v>548.9</v>
      </c>
      <c r="AR257" s="38"/>
      <c r="AS257" s="38"/>
      <c r="AT257" s="38"/>
      <c r="AU257" s="38"/>
      <c r="AV257" s="38"/>
      <c r="AW257" s="38"/>
      <c r="AX257" s="38"/>
      <c r="AY257" s="38"/>
      <c r="AZ257" s="38"/>
      <c r="BA257" s="38"/>
      <c r="BB257" s="38"/>
    </row>
    <row r="258" spans="1:54">
      <c r="A258" s="38" t="s">
        <v>3701</v>
      </c>
      <c r="B258" s="38" t="s">
        <v>3455</v>
      </c>
      <c r="C258" s="38"/>
      <c r="D258" s="38" t="s">
        <v>3399</v>
      </c>
      <c r="E258" s="38"/>
      <c r="F258" s="38"/>
      <c r="G258" s="38"/>
      <c r="H258" s="38" t="s">
        <v>3400</v>
      </c>
      <c r="I258" s="38" t="s">
        <v>3697</v>
      </c>
      <c r="J258" s="38"/>
      <c r="K258" s="38">
        <v>250</v>
      </c>
      <c r="L258" s="38">
        <v>0.9</v>
      </c>
      <c r="M258" s="38">
        <v>65.599999999999994</v>
      </c>
      <c r="N258" s="38"/>
      <c r="O258" s="38"/>
      <c r="P258" s="38"/>
      <c r="Q258" s="38">
        <v>31.4</v>
      </c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>
        <v>62.6</v>
      </c>
      <c r="AQ258" s="38">
        <v>68.099999999999994</v>
      </c>
      <c r="AR258" s="38"/>
      <c r="AS258" s="38"/>
      <c r="AT258" s="38"/>
      <c r="AU258" s="38"/>
      <c r="AV258" s="38"/>
      <c r="AW258" s="38"/>
      <c r="AX258" s="38"/>
      <c r="AY258" s="38"/>
      <c r="AZ258" s="38"/>
      <c r="BA258" s="38"/>
      <c r="BB258" s="38"/>
    </row>
    <row r="259" spans="1:54">
      <c r="A259" s="38" t="s">
        <v>3702</v>
      </c>
      <c r="B259" s="38" t="s">
        <v>3455</v>
      </c>
      <c r="C259" s="38"/>
      <c r="D259" s="38" t="s">
        <v>3399</v>
      </c>
      <c r="E259" s="38"/>
      <c r="F259" s="38"/>
      <c r="G259" s="38"/>
      <c r="H259" s="38" t="s">
        <v>3400</v>
      </c>
      <c r="I259" s="38" t="s">
        <v>3697</v>
      </c>
      <c r="J259" s="38"/>
      <c r="K259" s="38">
        <v>400</v>
      </c>
      <c r="L259" s="38">
        <v>0.4</v>
      </c>
      <c r="M259" s="38">
        <v>77.8</v>
      </c>
      <c r="N259" s="38"/>
      <c r="O259" s="38"/>
      <c r="P259" s="38"/>
      <c r="Q259" s="38">
        <v>17.899999999999999</v>
      </c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>
        <v>52</v>
      </c>
      <c r="AQ259" s="38">
        <v>7.2</v>
      </c>
      <c r="AR259" s="38"/>
      <c r="AS259" s="38"/>
      <c r="AT259" s="38"/>
      <c r="AU259" s="38"/>
      <c r="AV259" s="38"/>
      <c r="AW259" s="38"/>
      <c r="AX259" s="38"/>
      <c r="AY259" s="38"/>
      <c r="AZ259" s="38"/>
      <c r="BA259" s="38"/>
      <c r="BB259" s="38"/>
    </row>
    <row r="260" spans="1:54">
      <c r="A260" s="38" t="s">
        <v>3703</v>
      </c>
      <c r="B260" s="38" t="s">
        <v>3455</v>
      </c>
      <c r="C260" s="38"/>
      <c r="D260" s="38" t="s">
        <v>3399</v>
      </c>
      <c r="E260" s="38"/>
      <c r="F260" s="38"/>
      <c r="G260" s="38"/>
      <c r="H260" s="38" t="s">
        <v>3400</v>
      </c>
      <c r="I260" s="38" t="s">
        <v>3697</v>
      </c>
      <c r="J260" s="38"/>
      <c r="K260" s="38">
        <v>525</v>
      </c>
      <c r="L260" s="38">
        <v>1.3</v>
      </c>
      <c r="M260" s="38">
        <v>85.4</v>
      </c>
      <c r="N260" s="38"/>
      <c r="O260" s="38"/>
      <c r="P260" s="38"/>
      <c r="Q260" s="38">
        <v>11.3</v>
      </c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>
        <v>39.1</v>
      </c>
      <c r="AQ260" s="38">
        <v>386.5</v>
      </c>
      <c r="AR260" s="38"/>
      <c r="AS260" s="38"/>
      <c r="AT260" s="38"/>
      <c r="AU260" s="38"/>
      <c r="AV260" s="38"/>
      <c r="AW260" s="38"/>
      <c r="AX260" s="38"/>
      <c r="AY260" s="38"/>
      <c r="AZ260" s="38"/>
      <c r="BA260" s="38"/>
      <c r="BB260" s="38"/>
    </row>
    <row r="261" spans="1:54">
      <c r="A261" s="38" t="s">
        <v>3704</v>
      </c>
      <c r="B261" s="38" t="s">
        <v>3455</v>
      </c>
      <c r="C261" s="38"/>
      <c r="D261" s="38" t="s">
        <v>3399</v>
      </c>
      <c r="E261" s="38"/>
      <c r="F261" s="38"/>
      <c r="G261" s="38"/>
      <c r="H261" s="38" t="s">
        <v>3400</v>
      </c>
      <c r="I261" s="38" t="s">
        <v>3697</v>
      </c>
      <c r="J261" s="38"/>
      <c r="K261" s="38">
        <v>650</v>
      </c>
      <c r="L261" s="38">
        <v>1</v>
      </c>
      <c r="M261" s="38">
        <v>84.2</v>
      </c>
      <c r="N261" s="38"/>
      <c r="O261" s="38"/>
      <c r="P261" s="38"/>
      <c r="Q261" s="38">
        <v>11.4</v>
      </c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>
        <v>30.9</v>
      </c>
      <c r="AQ261" s="38">
        <v>490.1</v>
      </c>
      <c r="AR261" s="38"/>
      <c r="AS261" s="38"/>
      <c r="AT261" s="38"/>
      <c r="AU261" s="38"/>
      <c r="AV261" s="38"/>
      <c r="AW261" s="38"/>
      <c r="AX261" s="38"/>
      <c r="AY261" s="38"/>
      <c r="AZ261" s="38"/>
      <c r="BA261" s="38"/>
      <c r="BB261" s="38"/>
    </row>
    <row r="262" spans="1:54">
      <c r="A262" s="38" t="s">
        <v>3705</v>
      </c>
      <c r="B262" s="38" t="s">
        <v>3409</v>
      </c>
      <c r="C262" s="38"/>
      <c r="D262" s="38" t="s">
        <v>3399</v>
      </c>
      <c r="E262" s="38"/>
      <c r="F262" s="38"/>
      <c r="G262" s="38"/>
      <c r="H262" s="38" t="s">
        <v>3400</v>
      </c>
      <c r="I262" s="38" t="s">
        <v>3697</v>
      </c>
      <c r="J262" s="38"/>
      <c r="K262" s="38">
        <v>250</v>
      </c>
      <c r="L262" s="38">
        <v>6.8</v>
      </c>
      <c r="M262" s="38">
        <v>52.7</v>
      </c>
      <c r="N262" s="38"/>
      <c r="O262" s="38"/>
      <c r="P262" s="38"/>
      <c r="Q262" s="38">
        <v>42.5</v>
      </c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>
        <v>62.5</v>
      </c>
      <c r="AQ262" s="38">
        <v>4.0999999999999996</v>
      </c>
      <c r="AR262" s="38"/>
      <c r="AS262" s="38"/>
      <c r="AT262" s="38"/>
      <c r="AU262" s="38"/>
      <c r="AV262" s="38"/>
      <c r="AW262" s="38"/>
      <c r="AX262" s="38"/>
      <c r="AY262" s="38"/>
      <c r="AZ262" s="38"/>
      <c r="BA262" s="38"/>
      <c r="BB262" s="38"/>
    </row>
    <row r="263" spans="1:54">
      <c r="A263" s="38" t="s">
        <v>3706</v>
      </c>
      <c r="B263" s="38" t="s">
        <v>3409</v>
      </c>
      <c r="C263" s="38"/>
      <c r="D263" s="38" t="s">
        <v>3399</v>
      </c>
      <c r="E263" s="38"/>
      <c r="F263" s="38"/>
      <c r="G263" s="38"/>
      <c r="H263" s="38" t="s">
        <v>3400</v>
      </c>
      <c r="I263" s="38" t="s">
        <v>3697</v>
      </c>
      <c r="J263" s="38"/>
      <c r="K263" s="38">
        <v>400</v>
      </c>
      <c r="L263" s="38">
        <v>12.9</v>
      </c>
      <c r="M263" s="38">
        <v>58.6</v>
      </c>
      <c r="N263" s="38"/>
      <c r="O263" s="38"/>
      <c r="P263" s="38"/>
      <c r="Q263" s="38">
        <v>35.4</v>
      </c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>
        <v>51.4</v>
      </c>
      <c r="AQ263" s="38">
        <v>12.9</v>
      </c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</row>
    <row r="264" spans="1:54">
      <c r="A264" s="38" t="s">
        <v>3707</v>
      </c>
      <c r="B264" s="38" t="s">
        <v>3409</v>
      </c>
      <c r="C264" s="38"/>
      <c r="D264" s="38" t="s">
        <v>3399</v>
      </c>
      <c r="E264" s="38"/>
      <c r="F264" s="38"/>
      <c r="G264" s="38"/>
      <c r="H264" s="38" t="s">
        <v>3400</v>
      </c>
      <c r="I264" s="38" t="s">
        <v>3697</v>
      </c>
      <c r="J264" s="38"/>
      <c r="K264" s="38">
        <v>525</v>
      </c>
      <c r="L264" s="38">
        <v>24.8</v>
      </c>
      <c r="M264" s="38">
        <v>55</v>
      </c>
      <c r="N264" s="38"/>
      <c r="O264" s="38"/>
      <c r="P264" s="38"/>
      <c r="Q264" s="38">
        <v>40.6</v>
      </c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>
        <v>36.700000000000003</v>
      </c>
      <c r="AQ264" s="38">
        <v>31.5</v>
      </c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</row>
    <row r="265" spans="1:54">
      <c r="A265" s="38" t="s">
        <v>3708</v>
      </c>
      <c r="B265" s="38" t="s">
        <v>3409</v>
      </c>
      <c r="C265" s="38"/>
      <c r="D265" s="38" t="s">
        <v>3399</v>
      </c>
      <c r="E265" s="38"/>
      <c r="F265" s="38"/>
      <c r="G265" s="38"/>
      <c r="H265" s="38" t="s">
        <v>3400</v>
      </c>
      <c r="I265" s="38" t="s">
        <v>3697</v>
      </c>
      <c r="J265" s="38"/>
      <c r="K265" s="38">
        <v>650</v>
      </c>
      <c r="L265" s="38">
        <v>15.9</v>
      </c>
      <c r="M265" s="38">
        <v>63.8</v>
      </c>
      <c r="N265" s="38"/>
      <c r="O265" s="38"/>
      <c r="P265" s="38"/>
      <c r="Q265" s="38">
        <v>31.8</v>
      </c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>
        <v>20.6</v>
      </c>
      <c r="AQ265" s="38">
        <v>425.9</v>
      </c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</row>
    <row r="266" spans="1:54">
      <c r="A266" s="38" t="s">
        <v>3709</v>
      </c>
      <c r="B266" s="38" t="s">
        <v>3471</v>
      </c>
      <c r="C266" s="38"/>
      <c r="D266" s="38" t="s">
        <v>3399</v>
      </c>
      <c r="E266" s="38"/>
      <c r="F266" s="38"/>
      <c r="G266" s="38"/>
      <c r="H266" s="38" t="s">
        <v>3400</v>
      </c>
      <c r="I266" s="38" t="s">
        <v>3697</v>
      </c>
      <c r="J266" s="38"/>
      <c r="K266" s="38">
        <v>250</v>
      </c>
      <c r="L266" s="38">
        <v>1.4</v>
      </c>
      <c r="M266" s="38">
        <v>55.2</v>
      </c>
      <c r="N266" s="38"/>
      <c r="O266" s="38"/>
      <c r="P266" s="38"/>
      <c r="Q266" s="38">
        <v>41.5</v>
      </c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>
        <v>66</v>
      </c>
      <c r="AQ266" s="38">
        <v>1.8</v>
      </c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</row>
    <row r="267" spans="1:54">
      <c r="A267" s="38" t="s">
        <v>3710</v>
      </c>
      <c r="B267" s="38" t="s">
        <v>3471</v>
      </c>
      <c r="C267" s="38"/>
      <c r="D267" s="38" t="s">
        <v>3399</v>
      </c>
      <c r="E267" s="38"/>
      <c r="F267" s="38"/>
      <c r="G267" s="38"/>
      <c r="H267" s="38" t="s">
        <v>3400</v>
      </c>
      <c r="I267" s="38" t="s">
        <v>3697</v>
      </c>
      <c r="J267" s="38"/>
      <c r="K267" s="38">
        <v>400</v>
      </c>
      <c r="L267" s="38">
        <v>2.6</v>
      </c>
      <c r="M267" s="38">
        <v>69.599999999999994</v>
      </c>
      <c r="N267" s="38"/>
      <c r="O267" s="38"/>
      <c r="P267" s="38"/>
      <c r="Q267" s="38">
        <v>25.9</v>
      </c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>
        <v>51.9</v>
      </c>
      <c r="AQ267" s="38">
        <v>2.2000000000000002</v>
      </c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</row>
    <row r="268" spans="1:54">
      <c r="A268" s="38" t="s">
        <v>3711</v>
      </c>
      <c r="B268" s="38" t="s">
        <v>3471</v>
      </c>
      <c r="C268" s="38"/>
      <c r="D268" s="38" t="s">
        <v>3399</v>
      </c>
      <c r="E268" s="38"/>
      <c r="F268" s="38"/>
      <c r="G268" s="38"/>
      <c r="H268" s="38" t="s">
        <v>3400</v>
      </c>
      <c r="I268" s="38" t="s">
        <v>3697</v>
      </c>
      <c r="J268" s="38"/>
      <c r="K268" s="38">
        <v>525</v>
      </c>
      <c r="L268" s="38">
        <v>6.8</v>
      </c>
      <c r="M268" s="38">
        <v>75.099999999999994</v>
      </c>
      <c r="N268" s="38"/>
      <c r="O268" s="38"/>
      <c r="P268" s="38"/>
      <c r="Q268" s="38">
        <v>21.7</v>
      </c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>
        <v>36.4</v>
      </c>
      <c r="AQ268" s="38">
        <v>38.200000000000003</v>
      </c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</row>
    <row r="269" spans="1:54">
      <c r="A269" s="38" t="s">
        <v>3712</v>
      </c>
      <c r="B269" s="38" t="s">
        <v>3471</v>
      </c>
      <c r="C269" s="38"/>
      <c r="D269" s="38" t="s">
        <v>3399</v>
      </c>
      <c r="E269" s="38"/>
      <c r="F269" s="38"/>
      <c r="G269" s="38"/>
      <c r="H269" s="38" t="s">
        <v>3400</v>
      </c>
      <c r="I269" s="38" t="s">
        <v>3697</v>
      </c>
      <c r="J269" s="38"/>
      <c r="K269" s="38">
        <v>650</v>
      </c>
      <c r="L269" s="38">
        <v>3.7</v>
      </c>
      <c r="M269" s="38">
        <v>78.8</v>
      </c>
      <c r="N269" s="38"/>
      <c r="O269" s="38"/>
      <c r="P269" s="38"/>
      <c r="Q269" s="38">
        <v>18.2</v>
      </c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>
        <v>20.7</v>
      </c>
      <c r="AQ269" s="38">
        <v>218.7</v>
      </c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</row>
    <row r="270" spans="1:54">
      <c r="A270" s="38" t="s">
        <v>3713</v>
      </c>
      <c r="B270" s="38" t="s">
        <v>3471</v>
      </c>
      <c r="C270" s="38"/>
      <c r="D270" s="38" t="s">
        <v>3399</v>
      </c>
      <c r="E270" s="38"/>
      <c r="F270" s="38"/>
      <c r="G270" s="38"/>
      <c r="H270" s="38" t="s">
        <v>3400</v>
      </c>
      <c r="I270" s="38" t="s">
        <v>3697</v>
      </c>
      <c r="J270" s="38"/>
      <c r="K270" s="38">
        <v>250</v>
      </c>
      <c r="L270" s="38">
        <v>0.3</v>
      </c>
      <c r="M270" s="38">
        <v>58</v>
      </c>
      <c r="N270" s="38"/>
      <c r="O270" s="38"/>
      <c r="P270" s="38"/>
      <c r="Q270" s="38">
        <v>38.200000000000003</v>
      </c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>
        <v>61.1</v>
      </c>
      <c r="AQ270" s="38">
        <v>139.69999999999999</v>
      </c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</row>
    <row r="271" spans="1:54">
      <c r="A271" s="38" t="s">
        <v>3714</v>
      </c>
      <c r="B271" s="38" t="s">
        <v>3471</v>
      </c>
      <c r="C271" s="38"/>
      <c r="D271" s="38" t="s">
        <v>3399</v>
      </c>
      <c r="E271" s="38"/>
      <c r="F271" s="38"/>
      <c r="G271" s="38"/>
      <c r="H271" s="38" t="s">
        <v>3400</v>
      </c>
      <c r="I271" s="38" t="s">
        <v>3697</v>
      </c>
      <c r="J271" s="38"/>
      <c r="K271" s="38">
        <v>400</v>
      </c>
      <c r="L271" s="38">
        <v>0.5</v>
      </c>
      <c r="M271" s="38">
        <v>68.599999999999994</v>
      </c>
      <c r="N271" s="38"/>
      <c r="O271" s="38"/>
      <c r="P271" s="38"/>
      <c r="Q271" s="38">
        <v>25.9</v>
      </c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>
        <v>58.6</v>
      </c>
      <c r="AQ271" s="38">
        <v>2.9</v>
      </c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</row>
    <row r="272" spans="1:54">
      <c r="A272" s="38" t="s">
        <v>3715</v>
      </c>
      <c r="B272" s="38" t="s">
        <v>3471</v>
      </c>
      <c r="C272" s="38"/>
      <c r="D272" s="38" t="s">
        <v>3399</v>
      </c>
      <c r="E272" s="38"/>
      <c r="F272" s="38"/>
      <c r="G272" s="38"/>
      <c r="H272" s="38" t="s">
        <v>3400</v>
      </c>
      <c r="I272" s="38" t="s">
        <v>3697</v>
      </c>
      <c r="J272" s="38"/>
      <c r="K272" s="38">
        <v>525</v>
      </c>
      <c r="L272" s="38">
        <v>1.2</v>
      </c>
      <c r="M272" s="38">
        <v>80.599999999999994</v>
      </c>
      <c r="N272" s="38"/>
      <c r="O272" s="38"/>
      <c r="P272" s="38"/>
      <c r="Q272" s="38">
        <v>14</v>
      </c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>
        <v>25.7</v>
      </c>
      <c r="AQ272" s="38">
        <v>206.1</v>
      </c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</row>
    <row r="273" spans="1:54">
      <c r="A273" s="38" t="s">
        <v>3716</v>
      </c>
      <c r="B273" s="38" t="s">
        <v>3471</v>
      </c>
      <c r="C273" s="38"/>
      <c r="D273" s="38" t="s">
        <v>3399</v>
      </c>
      <c r="E273" s="38"/>
      <c r="F273" s="38"/>
      <c r="G273" s="38"/>
      <c r="H273" s="38" t="s">
        <v>3400</v>
      </c>
      <c r="I273" s="38" t="s">
        <v>3697</v>
      </c>
      <c r="J273" s="38"/>
      <c r="K273" s="38">
        <v>650</v>
      </c>
      <c r="L273" s="38">
        <v>1.1000000000000001</v>
      </c>
      <c r="M273" s="38">
        <v>83</v>
      </c>
      <c r="N273" s="38"/>
      <c r="O273" s="38"/>
      <c r="P273" s="38"/>
      <c r="Q273" s="38">
        <v>12.2</v>
      </c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>
        <v>25.2</v>
      </c>
      <c r="AQ273" s="38">
        <v>393.9</v>
      </c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</row>
    <row r="274" spans="1:54">
      <c r="A274" s="38" t="s">
        <v>3717</v>
      </c>
      <c r="B274" s="38" t="s">
        <v>1848</v>
      </c>
      <c r="C274" s="38"/>
      <c r="D274" s="38" t="s">
        <v>3399</v>
      </c>
      <c r="E274" s="38"/>
      <c r="F274" s="38"/>
      <c r="G274" s="38"/>
      <c r="H274" s="38" t="s">
        <v>3400</v>
      </c>
      <c r="I274" s="38" t="s">
        <v>3697</v>
      </c>
      <c r="J274" s="38"/>
      <c r="K274" s="38">
        <v>250</v>
      </c>
      <c r="L274" s="38">
        <v>9.5</v>
      </c>
      <c r="M274" s="38">
        <v>56.2</v>
      </c>
      <c r="N274" s="38"/>
      <c r="O274" s="38"/>
      <c r="P274" s="38"/>
      <c r="Q274" s="38">
        <v>40.4</v>
      </c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>
        <v>71.8</v>
      </c>
      <c r="AQ274" s="38">
        <v>24.3</v>
      </c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</row>
    <row r="275" spans="1:54">
      <c r="A275" s="38" t="s">
        <v>3718</v>
      </c>
      <c r="B275" s="38" t="s">
        <v>1848</v>
      </c>
      <c r="C275" s="38"/>
      <c r="D275" s="38" t="s">
        <v>3399</v>
      </c>
      <c r="E275" s="38"/>
      <c r="F275" s="38"/>
      <c r="G275" s="38"/>
      <c r="H275" s="38" t="s">
        <v>3400</v>
      </c>
      <c r="I275" s="38" t="s">
        <v>3697</v>
      </c>
      <c r="J275" s="38"/>
      <c r="K275" s="38">
        <v>400</v>
      </c>
      <c r="L275" s="38">
        <v>2.7</v>
      </c>
      <c r="M275" s="38">
        <v>60.9</v>
      </c>
      <c r="N275" s="38"/>
      <c r="O275" s="38"/>
      <c r="P275" s="38"/>
      <c r="Q275" s="38">
        <v>33.700000000000003</v>
      </c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>
        <v>63.9</v>
      </c>
      <c r="AQ275" s="38">
        <v>6.4</v>
      </c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</row>
    <row r="276" spans="1:54">
      <c r="A276" s="38" t="s">
        <v>3719</v>
      </c>
      <c r="B276" s="38" t="s">
        <v>1848</v>
      </c>
      <c r="C276" s="38"/>
      <c r="D276" s="38" t="s">
        <v>3399</v>
      </c>
      <c r="E276" s="38"/>
      <c r="F276" s="38"/>
      <c r="G276" s="38"/>
      <c r="H276" s="38" t="s">
        <v>3400</v>
      </c>
      <c r="I276" s="38" t="s">
        <v>3697</v>
      </c>
      <c r="J276" s="38"/>
      <c r="K276" s="38">
        <v>525</v>
      </c>
      <c r="L276" s="38">
        <v>8.6999999999999993</v>
      </c>
      <c r="M276" s="38">
        <v>65.7</v>
      </c>
      <c r="N276" s="38"/>
      <c r="O276" s="38"/>
      <c r="P276" s="38"/>
      <c r="Q276" s="38">
        <v>30.2</v>
      </c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>
        <v>55.1</v>
      </c>
      <c r="AQ276" s="38">
        <v>416.3</v>
      </c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</row>
    <row r="277" spans="1:54">
      <c r="A277" s="38" t="s">
        <v>3720</v>
      </c>
      <c r="B277" s="38" t="s">
        <v>1848</v>
      </c>
      <c r="C277" s="38"/>
      <c r="D277" s="38" t="s">
        <v>3399</v>
      </c>
      <c r="E277" s="38"/>
      <c r="F277" s="38"/>
      <c r="G277" s="38"/>
      <c r="H277" s="38" t="s">
        <v>3400</v>
      </c>
      <c r="I277" s="38" t="s">
        <v>3697</v>
      </c>
      <c r="J277" s="38"/>
      <c r="K277" s="38">
        <v>650</v>
      </c>
      <c r="L277" s="38">
        <v>6.8</v>
      </c>
      <c r="M277" s="38">
        <v>72</v>
      </c>
      <c r="N277" s="38"/>
      <c r="O277" s="38"/>
      <c r="P277" s="38"/>
      <c r="Q277" s="38">
        <v>24</v>
      </c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>
        <v>48.8</v>
      </c>
      <c r="AQ277" s="38">
        <v>116.6</v>
      </c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</row>
    <row r="278" spans="1:54">
      <c r="A278" s="38" t="s">
        <v>3721</v>
      </c>
      <c r="B278" s="38" t="s">
        <v>3409</v>
      </c>
      <c r="C278" s="38"/>
      <c r="D278" s="38" t="s">
        <v>3351</v>
      </c>
      <c r="E278" s="38"/>
      <c r="F278" s="38"/>
      <c r="G278" s="38"/>
      <c r="H278" s="38" t="s">
        <v>3400</v>
      </c>
      <c r="I278" s="38" t="s">
        <v>3722</v>
      </c>
      <c r="J278" s="38"/>
      <c r="K278" s="38">
        <v>300</v>
      </c>
      <c r="L278" s="38">
        <v>7.69</v>
      </c>
      <c r="M278" s="38"/>
      <c r="N278" s="38">
        <v>65.260000000000005</v>
      </c>
      <c r="O278" s="38">
        <v>0.65</v>
      </c>
      <c r="P278" s="38">
        <v>4.51</v>
      </c>
      <c r="Q278" s="38">
        <v>21.03</v>
      </c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>
        <v>2.72</v>
      </c>
      <c r="AR278" s="38"/>
      <c r="AS278" s="38"/>
      <c r="AT278" s="38">
        <v>0.12</v>
      </c>
      <c r="AU278" s="38"/>
      <c r="AV278" s="38"/>
      <c r="AW278" s="38">
        <v>3.7</v>
      </c>
      <c r="AX278" s="38"/>
      <c r="AY278" s="38"/>
      <c r="AZ278" s="38"/>
      <c r="BA278" s="38"/>
      <c r="BB278" s="38"/>
    </row>
    <row r="279" spans="1:54">
      <c r="A279" s="38" t="s">
        <v>3723</v>
      </c>
      <c r="B279" s="38" t="s">
        <v>3409</v>
      </c>
      <c r="C279" s="38"/>
      <c r="D279" s="38" t="s">
        <v>3399</v>
      </c>
      <c r="E279" s="38"/>
      <c r="F279" s="38"/>
      <c r="G279" s="38"/>
      <c r="H279" s="38" t="s">
        <v>3400</v>
      </c>
      <c r="I279" s="38" t="s">
        <v>3724</v>
      </c>
      <c r="J279" s="38"/>
      <c r="K279" s="38">
        <v>350</v>
      </c>
      <c r="L279" s="38">
        <v>7.73</v>
      </c>
      <c r="M279" s="38"/>
      <c r="N279" s="38">
        <v>66.97</v>
      </c>
      <c r="O279" s="38">
        <v>0.64</v>
      </c>
      <c r="P279" s="38">
        <v>4.46</v>
      </c>
      <c r="Q279" s="38">
        <v>21.67</v>
      </c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>
        <v>2.16</v>
      </c>
      <c r="AR279" s="38"/>
      <c r="AS279" s="38"/>
      <c r="AT279" s="38">
        <v>0.12</v>
      </c>
      <c r="AU279" s="38"/>
      <c r="AV279" s="38"/>
      <c r="AW279" s="38">
        <v>3.8</v>
      </c>
      <c r="AX279" s="38"/>
      <c r="AY279" s="38"/>
      <c r="AZ279" s="38"/>
      <c r="BA279" s="38"/>
      <c r="BB279" s="38"/>
    </row>
    <row r="280" spans="1:54">
      <c r="A280" s="38" t="s">
        <v>3725</v>
      </c>
      <c r="B280" s="38" t="s">
        <v>3409</v>
      </c>
      <c r="C280" s="38"/>
      <c r="D280" s="38" t="s">
        <v>3399</v>
      </c>
      <c r="E280" s="38"/>
      <c r="F280" s="38"/>
      <c r="G280" s="38"/>
      <c r="H280" s="38" t="s">
        <v>3400</v>
      </c>
      <c r="I280" s="38" t="s">
        <v>3724</v>
      </c>
      <c r="J280" s="38"/>
      <c r="K280" s="38">
        <v>400</v>
      </c>
      <c r="L280" s="38">
        <v>8.4499999999999993</v>
      </c>
      <c r="M280" s="38"/>
      <c r="N280" s="38">
        <v>72.25</v>
      </c>
      <c r="O280" s="38">
        <v>0.69</v>
      </c>
      <c r="P280" s="38">
        <v>4.09</v>
      </c>
      <c r="Q280" s="38">
        <v>18.72</v>
      </c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>
        <v>3.04</v>
      </c>
      <c r="AR280" s="38"/>
      <c r="AS280" s="38"/>
      <c r="AT280" s="38">
        <v>0.13</v>
      </c>
      <c r="AU280" s="38"/>
      <c r="AV280" s="38"/>
      <c r="AW280" s="38">
        <v>4.18</v>
      </c>
      <c r="AX280" s="38"/>
      <c r="AY280" s="38"/>
      <c r="AZ280" s="38"/>
      <c r="BA280" s="38"/>
      <c r="BB280" s="38"/>
    </row>
    <row r="281" spans="1:54">
      <c r="A281" s="38" t="s">
        <v>3726</v>
      </c>
      <c r="B281" s="38" t="s">
        <v>3409</v>
      </c>
      <c r="C281" s="38"/>
      <c r="D281" s="38" t="s">
        <v>3399</v>
      </c>
      <c r="E281" s="38"/>
      <c r="F281" s="38"/>
      <c r="G281" s="38"/>
      <c r="H281" s="38" t="s">
        <v>3400</v>
      </c>
      <c r="I281" s="38" t="s">
        <v>3724</v>
      </c>
      <c r="J281" s="38"/>
      <c r="K281" s="38">
        <v>500</v>
      </c>
      <c r="L281" s="38">
        <v>10.7</v>
      </c>
      <c r="M281" s="38"/>
      <c r="N281" s="38">
        <v>73.12</v>
      </c>
      <c r="O281" s="38">
        <v>0.63</v>
      </c>
      <c r="P281" s="38">
        <v>3.01</v>
      </c>
      <c r="Q281" s="38">
        <v>11.54</v>
      </c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>
        <v>0.16</v>
      </c>
      <c r="AU281" s="38"/>
      <c r="AV281" s="38"/>
      <c r="AW281" s="38">
        <v>4.7699999999999996</v>
      </c>
      <c r="AX281" s="38"/>
      <c r="AY281" s="38"/>
      <c r="AZ281" s="38"/>
      <c r="BA281" s="38"/>
      <c r="BB281" s="38"/>
    </row>
    <row r="282" spans="1:54">
      <c r="A282" s="38" t="s">
        <v>3727</v>
      </c>
      <c r="B282" s="38" t="s">
        <v>3409</v>
      </c>
      <c r="C282" s="38"/>
      <c r="D282" s="38" t="s">
        <v>3399</v>
      </c>
      <c r="E282" s="38"/>
      <c r="F282" s="38"/>
      <c r="G282" s="38"/>
      <c r="H282" s="38" t="s">
        <v>3400</v>
      </c>
      <c r="I282" s="38" t="s">
        <v>3724</v>
      </c>
      <c r="J282" s="38"/>
      <c r="K282" s="38">
        <v>600</v>
      </c>
      <c r="L282" s="38">
        <v>11.27</v>
      </c>
      <c r="M282" s="38"/>
      <c r="N282" s="38">
        <v>78.61</v>
      </c>
      <c r="O282" s="38">
        <v>0.55000000000000004</v>
      </c>
      <c r="P282" s="38">
        <v>2.2200000000000002</v>
      </c>
      <c r="Q282" s="38">
        <v>11.24</v>
      </c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>
        <v>2.58</v>
      </c>
      <c r="AR282" s="38"/>
      <c r="AS282" s="38"/>
      <c r="AT282" s="38">
        <v>0.17</v>
      </c>
      <c r="AU282" s="38"/>
      <c r="AV282" s="38"/>
      <c r="AW282" s="38">
        <v>5.0199999999999996</v>
      </c>
      <c r="AX282" s="38"/>
      <c r="AY282" s="38"/>
      <c r="AZ282" s="38"/>
      <c r="BA282" s="38"/>
      <c r="BB282" s="38"/>
    </row>
    <row r="283" spans="1:54">
      <c r="A283" s="38" t="s">
        <v>3728</v>
      </c>
      <c r="B283" s="38" t="s">
        <v>3409</v>
      </c>
      <c r="C283" s="38"/>
      <c r="D283" s="38" t="s">
        <v>3399</v>
      </c>
      <c r="E283" s="38"/>
      <c r="F283" s="38"/>
      <c r="G283" s="38"/>
      <c r="H283" s="38" t="s">
        <v>3400</v>
      </c>
      <c r="I283" s="38" t="s">
        <v>3729</v>
      </c>
      <c r="J283" s="38"/>
      <c r="K283" s="38">
        <v>200</v>
      </c>
      <c r="L283" s="38">
        <v>3.99</v>
      </c>
      <c r="M283" s="38"/>
      <c r="N283" s="38">
        <v>48.53</v>
      </c>
      <c r="O283" s="38">
        <v>0.73</v>
      </c>
      <c r="P283" s="38">
        <v>5.86</v>
      </c>
      <c r="Q283" s="38">
        <v>38.97</v>
      </c>
      <c r="R283" s="38">
        <v>4.96</v>
      </c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>
        <v>2.46</v>
      </c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</row>
    <row r="284" spans="1:54">
      <c r="A284" s="38" t="s">
        <v>3721</v>
      </c>
      <c r="B284" s="38" t="s">
        <v>3409</v>
      </c>
      <c r="C284" s="38"/>
      <c r="D284" s="38" t="s">
        <v>3399</v>
      </c>
      <c r="E284" s="38"/>
      <c r="F284" s="38"/>
      <c r="G284" s="38"/>
      <c r="H284" s="38" t="s">
        <v>3400</v>
      </c>
      <c r="I284" s="38" t="s">
        <v>3729</v>
      </c>
      <c r="J284" s="38"/>
      <c r="K284" s="38">
        <v>300</v>
      </c>
      <c r="L284" s="38">
        <v>8</v>
      </c>
      <c r="M284" s="38"/>
      <c r="N284" s="38">
        <v>62.17</v>
      </c>
      <c r="O284" s="38">
        <v>0.88</v>
      </c>
      <c r="P284" s="38">
        <v>4.51</v>
      </c>
      <c r="Q284" s="38">
        <v>24.22</v>
      </c>
      <c r="R284" s="38">
        <v>6.95</v>
      </c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>
        <v>2.1800000000000002</v>
      </c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</row>
    <row r="285" spans="1:54">
      <c r="A285" s="38" t="s">
        <v>3723</v>
      </c>
      <c r="B285" s="38" t="s">
        <v>3409</v>
      </c>
      <c r="C285" s="38"/>
      <c r="D285" s="38" t="s">
        <v>3399</v>
      </c>
      <c r="E285" s="38"/>
      <c r="F285" s="38"/>
      <c r="G285" s="38"/>
      <c r="H285" s="38" t="s">
        <v>3400</v>
      </c>
      <c r="I285" s="38" t="s">
        <v>3729</v>
      </c>
      <c r="J285" s="38"/>
      <c r="K285" s="38">
        <v>350</v>
      </c>
      <c r="L285" s="38">
        <v>8.58</v>
      </c>
      <c r="M285" s="38"/>
      <c r="N285" s="38">
        <v>66.319999999999993</v>
      </c>
      <c r="O285" s="38">
        <v>0.92</v>
      </c>
      <c r="P285" s="38">
        <v>3.99</v>
      </c>
      <c r="Q285" s="38">
        <v>19.57</v>
      </c>
      <c r="R285" s="38">
        <v>7.45</v>
      </c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>
        <v>2.15</v>
      </c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</row>
    <row r="286" spans="1:54">
      <c r="A286" s="38" t="s">
        <v>3725</v>
      </c>
      <c r="B286" s="38" t="s">
        <v>3409</v>
      </c>
      <c r="C286" s="38"/>
      <c r="D286" s="38" t="s">
        <v>3399</v>
      </c>
      <c r="E286" s="38"/>
      <c r="F286" s="38"/>
      <c r="G286" s="38"/>
      <c r="H286" s="38" t="s">
        <v>3400</v>
      </c>
      <c r="I286" s="38" t="s">
        <v>3729</v>
      </c>
      <c r="J286" s="38"/>
      <c r="K286" s="38">
        <v>400</v>
      </c>
      <c r="L286" s="38">
        <v>9.65</v>
      </c>
      <c r="M286" s="38"/>
      <c r="N286" s="38">
        <v>72.28</v>
      </c>
      <c r="O286" s="38">
        <v>0.95</v>
      </c>
      <c r="P286" s="38">
        <v>4.04</v>
      </c>
      <c r="Q286" s="38">
        <v>16.47</v>
      </c>
      <c r="R286" s="38">
        <v>7.88</v>
      </c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>
        <v>3.04</v>
      </c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</row>
    <row r="287" spans="1:54">
      <c r="A287" s="38" t="s">
        <v>3726</v>
      </c>
      <c r="B287" s="38" t="s">
        <v>3409</v>
      </c>
      <c r="C287" s="38"/>
      <c r="D287" s="38" t="s">
        <v>3399</v>
      </c>
      <c r="E287" s="38"/>
      <c r="F287" s="38"/>
      <c r="G287" s="38"/>
      <c r="H287" s="38" t="s">
        <v>3400</v>
      </c>
      <c r="I287" s="38" t="s">
        <v>3729</v>
      </c>
      <c r="J287" s="38"/>
      <c r="K287" s="38">
        <v>500</v>
      </c>
      <c r="L287" s="38">
        <v>10.029999999999999</v>
      </c>
      <c r="M287" s="38"/>
      <c r="N287" s="38">
        <v>74.64</v>
      </c>
      <c r="O287" s="38">
        <v>0.84</v>
      </c>
      <c r="P287" s="38">
        <v>2.84</v>
      </c>
      <c r="Q287" s="38">
        <v>12.48</v>
      </c>
      <c r="R287" s="38">
        <v>10.01</v>
      </c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>
        <v>10.52</v>
      </c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</row>
    <row r="288" spans="1:54">
      <c r="A288" s="38" t="s">
        <v>3727</v>
      </c>
      <c r="B288" s="38" t="s">
        <v>3409</v>
      </c>
      <c r="C288" s="38"/>
      <c r="D288" s="38" t="s">
        <v>3399</v>
      </c>
      <c r="E288" s="38"/>
      <c r="F288" s="38"/>
      <c r="G288" s="38"/>
      <c r="H288" s="38" t="s">
        <v>3400</v>
      </c>
      <c r="I288" s="38" t="s">
        <v>3729</v>
      </c>
      <c r="J288" s="38"/>
      <c r="K288" s="38">
        <v>600</v>
      </c>
      <c r="L288" s="38">
        <v>10.75</v>
      </c>
      <c r="M288" s="38"/>
      <c r="N288" s="38">
        <v>77.099999999999994</v>
      </c>
      <c r="O288" s="38">
        <v>0.79</v>
      </c>
      <c r="P288" s="38">
        <v>2.16</v>
      </c>
      <c r="Q288" s="38">
        <v>11.97</v>
      </c>
      <c r="R288" s="38">
        <v>10.41</v>
      </c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>
        <v>50.05</v>
      </c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</row>
    <row r="289" spans="1:54">
      <c r="A289" s="38" t="s">
        <v>3730</v>
      </c>
      <c r="B289" s="38" t="s">
        <v>3409</v>
      </c>
      <c r="C289" s="38"/>
      <c r="D289" s="38" t="s">
        <v>3399</v>
      </c>
      <c r="E289" s="38"/>
      <c r="F289" s="38"/>
      <c r="G289" s="38" t="s">
        <v>3731</v>
      </c>
      <c r="H289" s="38" t="s">
        <v>3400</v>
      </c>
      <c r="I289" s="38" t="s">
        <v>3732</v>
      </c>
      <c r="J289" s="38"/>
      <c r="K289" s="38">
        <v>450</v>
      </c>
      <c r="L289" s="38"/>
      <c r="M289" s="38"/>
      <c r="N289" s="38">
        <v>69</v>
      </c>
      <c r="O289" s="38">
        <v>0.3</v>
      </c>
      <c r="P289" s="38"/>
      <c r="Q289" s="38"/>
      <c r="R289" s="38">
        <v>9.93</v>
      </c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</row>
    <row r="290" spans="1:54">
      <c r="A290" s="38" t="s">
        <v>3733</v>
      </c>
      <c r="B290" s="38" t="s">
        <v>3463</v>
      </c>
      <c r="C290" s="38"/>
      <c r="D290" s="38" t="s">
        <v>3399</v>
      </c>
      <c r="E290" s="38"/>
      <c r="F290" s="38"/>
      <c r="G290" s="38"/>
      <c r="H290" s="38" t="s">
        <v>3400</v>
      </c>
      <c r="I290" s="38" t="s">
        <v>3734</v>
      </c>
      <c r="J290" s="38"/>
      <c r="K290" s="38"/>
      <c r="L290" s="38">
        <v>2.7</v>
      </c>
      <c r="M290" s="38"/>
      <c r="N290" s="38">
        <v>78.400000000000006</v>
      </c>
      <c r="O290" s="38">
        <v>0.2</v>
      </c>
      <c r="P290" s="38">
        <v>2.92</v>
      </c>
      <c r="Q290" s="38">
        <v>15.78</v>
      </c>
      <c r="R290" s="38"/>
      <c r="S290" s="38"/>
      <c r="T290" s="38">
        <v>740</v>
      </c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</row>
    <row r="291" spans="1:54">
      <c r="A291" s="38" t="s">
        <v>3735</v>
      </c>
      <c r="B291" s="38" t="s">
        <v>1848</v>
      </c>
      <c r="C291" s="38"/>
      <c r="D291" s="38" t="s">
        <v>3399</v>
      </c>
      <c r="E291" s="38"/>
      <c r="F291" s="38"/>
      <c r="G291" s="38"/>
      <c r="H291" s="38" t="s">
        <v>3400</v>
      </c>
      <c r="I291" s="38" t="s">
        <v>3736</v>
      </c>
      <c r="J291" s="38"/>
      <c r="K291" s="38">
        <v>500</v>
      </c>
      <c r="L291" s="38"/>
      <c r="M291" s="38"/>
      <c r="N291" s="38">
        <v>68</v>
      </c>
      <c r="O291" s="38">
        <v>1.2</v>
      </c>
      <c r="P291" s="38"/>
      <c r="Q291" s="38"/>
      <c r="R291" s="38">
        <v>9.6</v>
      </c>
      <c r="S291" s="38">
        <v>4.8</v>
      </c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>
        <v>0.9</v>
      </c>
      <c r="AM291" s="38"/>
      <c r="AN291" s="38">
        <v>40</v>
      </c>
      <c r="AO291" s="38"/>
      <c r="AP291" s="38"/>
      <c r="AQ291" s="38"/>
      <c r="AR291" s="38"/>
      <c r="AS291" s="38"/>
      <c r="AT291" s="38">
        <v>0.25</v>
      </c>
      <c r="AU291" s="38"/>
      <c r="AV291" s="38"/>
      <c r="AW291" s="38">
        <v>2</v>
      </c>
      <c r="AX291" s="38"/>
      <c r="AY291" s="38"/>
      <c r="AZ291" s="38"/>
      <c r="BA291" s="38"/>
      <c r="BB291" s="38"/>
    </row>
    <row r="292" spans="1:54">
      <c r="A292" s="38" t="s">
        <v>3737</v>
      </c>
      <c r="B292" s="38" t="s">
        <v>1848</v>
      </c>
      <c r="C292" s="38"/>
      <c r="D292" s="38" t="s">
        <v>3399</v>
      </c>
      <c r="E292" s="38"/>
      <c r="F292" s="38"/>
      <c r="G292" s="38"/>
      <c r="H292" s="38" t="s">
        <v>3400</v>
      </c>
      <c r="I292" s="38" t="s">
        <v>3736</v>
      </c>
      <c r="J292" s="38"/>
      <c r="K292" s="38">
        <v>500</v>
      </c>
      <c r="L292" s="38"/>
      <c r="M292" s="38"/>
      <c r="N292" s="38">
        <v>65</v>
      </c>
      <c r="O292" s="38">
        <v>1.1000000000000001</v>
      </c>
      <c r="P292" s="38"/>
      <c r="Q292" s="38"/>
      <c r="R292" s="38">
        <v>8.4</v>
      </c>
      <c r="S292" s="38">
        <v>0.18</v>
      </c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>
        <v>3.5</v>
      </c>
      <c r="AO292" s="38"/>
      <c r="AP292" s="38"/>
      <c r="AQ292" s="38"/>
      <c r="AR292" s="38"/>
      <c r="AS292" s="38"/>
      <c r="AT292" s="38">
        <v>0.22</v>
      </c>
      <c r="AU292" s="38"/>
      <c r="AV292" s="38"/>
      <c r="AW292" s="38">
        <v>0.25</v>
      </c>
      <c r="AX292" s="38"/>
      <c r="AY292" s="38"/>
      <c r="AZ292" s="38"/>
      <c r="BA292" s="38"/>
      <c r="BB292" s="38"/>
    </row>
    <row r="293" spans="1:54">
      <c r="A293" s="38" t="s">
        <v>3738</v>
      </c>
      <c r="B293" s="38" t="s">
        <v>3409</v>
      </c>
      <c r="C293" s="38"/>
      <c r="D293" s="38" t="s">
        <v>3399</v>
      </c>
      <c r="E293" s="38"/>
      <c r="F293" s="38"/>
      <c r="G293" s="38"/>
      <c r="H293" s="38" t="s">
        <v>3400</v>
      </c>
      <c r="I293" s="38" t="s">
        <v>3739</v>
      </c>
      <c r="J293" s="38"/>
      <c r="K293" s="38">
        <v>200</v>
      </c>
      <c r="L293" s="38">
        <v>11.5</v>
      </c>
      <c r="M293" s="38"/>
      <c r="N293" s="38">
        <v>46.7</v>
      </c>
      <c r="O293" s="38">
        <v>0.79</v>
      </c>
      <c r="P293" s="38">
        <v>5</v>
      </c>
      <c r="Q293" s="38">
        <v>34.299999999999997</v>
      </c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>
        <v>2.1</v>
      </c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</row>
    <row r="294" spans="1:54">
      <c r="A294" s="38" t="s">
        <v>3740</v>
      </c>
      <c r="B294" s="38" t="s">
        <v>3409</v>
      </c>
      <c r="C294" s="38"/>
      <c r="D294" s="38" t="s">
        <v>3399</v>
      </c>
      <c r="E294" s="38"/>
      <c r="F294" s="38"/>
      <c r="G294" s="38"/>
      <c r="H294" s="38" t="s">
        <v>3400</v>
      </c>
      <c r="I294" s="38" t="s">
        <v>3739</v>
      </c>
      <c r="J294" s="38"/>
      <c r="K294" s="38">
        <v>350</v>
      </c>
      <c r="L294" s="38">
        <v>31</v>
      </c>
      <c r="M294" s="38"/>
      <c r="N294" s="38">
        <v>46.9</v>
      </c>
      <c r="O294" s="38">
        <v>2.08</v>
      </c>
      <c r="P294" s="38">
        <v>1.34</v>
      </c>
      <c r="Q294" s="38">
        <v>12.3</v>
      </c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>
        <v>20.6</v>
      </c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</row>
    <row r="295" spans="1:54">
      <c r="A295" s="38" t="s">
        <v>3741</v>
      </c>
      <c r="B295" s="38" t="s">
        <v>3409</v>
      </c>
      <c r="C295" s="38"/>
      <c r="D295" s="38" t="s">
        <v>3399</v>
      </c>
      <c r="E295" s="38"/>
      <c r="F295" s="38"/>
      <c r="G295" s="38"/>
      <c r="H295" s="38" t="s">
        <v>3400</v>
      </c>
      <c r="I295" s="38" t="s">
        <v>3739</v>
      </c>
      <c r="J295" s="38"/>
      <c r="K295" s="38">
        <v>500</v>
      </c>
      <c r="L295" s="38">
        <v>48.4</v>
      </c>
      <c r="M295" s="38"/>
      <c r="N295" s="38">
        <v>40.700000000000003</v>
      </c>
      <c r="O295" s="38">
        <v>1.18</v>
      </c>
      <c r="P295" s="38">
        <v>0.15</v>
      </c>
      <c r="Q295" s="38">
        <v>4.1399999999999997</v>
      </c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>
        <v>128</v>
      </c>
      <c r="AR295" s="38"/>
      <c r="AS295" s="38"/>
      <c r="AT295" s="38"/>
      <c r="AU295" s="38"/>
      <c r="AV295" s="38"/>
      <c r="AW295" s="38"/>
      <c r="AX295" s="38"/>
      <c r="AY295" s="38"/>
      <c r="AZ295" s="38"/>
      <c r="BA295" s="38"/>
      <c r="BB295" s="38"/>
    </row>
    <row r="296" spans="1:54">
      <c r="A296" s="38" t="s">
        <v>3742</v>
      </c>
      <c r="B296" s="38" t="s">
        <v>3409</v>
      </c>
      <c r="C296" s="38"/>
      <c r="D296" s="38" t="s">
        <v>3399</v>
      </c>
      <c r="E296" s="38"/>
      <c r="F296" s="38"/>
      <c r="G296" s="38"/>
      <c r="H296" s="38" t="s">
        <v>3400</v>
      </c>
      <c r="I296" s="38" t="s">
        <v>3743</v>
      </c>
      <c r="J296" s="38"/>
      <c r="K296" s="38">
        <v>350</v>
      </c>
      <c r="L296" s="38"/>
      <c r="M296" s="38"/>
      <c r="N296" s="38">
        <v>55</v>
      </c>
      <c r="O296" s="38">
        <v>1.1000000000000001</v>
      </c>
      <c r="P296" s="38">
        <v>5.9</v>
      </c>
      <c r="Q296" s="38"/>
      <c r="R296" s="38"/>
      <c r="S296" s="38"/>
      <c r="T296" s="38">
        <v>0.14799999999999999</v>
      </c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>
        <v>73</v>
      </c>
      <c r="AJ296" s="38"/>
      <c r="AK296" s="38"/>
      <c r="AL296" s="38"/>
      <c r="AM296" s="38"/>
      <c r="AN296" s="38"/>
      <c r="AO296" s="38"/>
      <c r="AP296" s="38"/>
      <c r="AQ296" s="38">
        <v>65</v>
      </c>
      <c r="AR296" s="38"/>
      <c r="AS296" s="38">
        <v>1100</v>
      </c>
      <c r="AT296" s="38"/>
      <c r="AU296" s="38">
        <v>32000</v>
      </c>
      <c r="AV296" s="38">
        <v>2700</v>
      </c>
      <c r="AW296" s="38">
        <v>11000</v>
      </c>
      <c r="AX296" s="38"/>
      <c r="AY296" s="38">
        <v>1400</v>
      </c>
      <c r="AZ296" s="38"/>
      <c r="BA296" s="38"/>
      <c r="BB296" s="38"/>
    </row>
    <row r="297" spans="1:54">
      <c r="A297" s="38" t="s">
        <v>3744</v>
      </c>
      <c r="B297" s="38" t="s">
        <v>3409</v>
      </c>
      <c r="C297" s="38"/>
      <c r="D297" s="38" t="s">
        <v>3399</v>
      </c>
      <c r="E297" s="38"/>
      <c r="F297" s="38"/>
      <c r="G297" s="38"/>
      <c r="H297" s="38" t="s">
        <v>3400</v>
      </c>
      <c r="I297" s="38" t="s">
        <v>3743</v>
      </c>
      <c r="J297" s="38"/>
      <c r="K297" s="38">
        <v>550</v>
      </c>
      <c r="L297" s="38"/>
      <c r="M297" s="38"/>
      <c r="N297" s="38">
        <v>69</v>
      </c>
      <c r="O297" s="38">
        <v>1.1000000000000001</v>
      </c>
      <c r="P297" s="38">
        <v>8.5</v>
      </c>
      <c r="Q297" s="38"/>
      <c r="R297" s="38"/>
      <c r="S297" s="38"/>
      <c r="T297" s="38">
        <v>0.13600000000000001</v>
      </c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>
        <v>1200</v>
      </c>
      <c r="AJ297" s="38"/>
      <c r="AK297" s="38"/>
      <c r="AL297" s="38"/>
      <c r="AM297" s="38"/>
      <c r="AN297" s="38"/>
      <c r="AO297" s="38"/>
      <c r="AP297" s="38"/>
      <c r="AQ297" s="38">
        <v>205</v>
      </c>
      <c r="AR297" s="38"/>
      <c r="AS297" s="38">
        <v>2500</v>
      </c>
      <c r="AT297" s="38"/>
      <c r="AU297" s="38">
        <v>44000</v>
      </c>
      <c r="AV297" s="38">
        <v>4200</v>
      </c>
      <c r="AW297" s="38">
        <v>13000</v>
      </c>
      <c r="AX297" s="38"/>
      <c r="AY297" s="38">
        <v>1700</v>
      </c>
      <c r="AZ297" s="38"/>
      <c r="BA297" s="38"/>
      <c r="BB297" s="38"/>
    </row>
    <row r="298" spans="1:54">
      <c r="A298" s="38" t="s">
        <v>3745</v>
      </c>
      <c r="B298" s="38" t="s">
        <v>1848</v>
      </c>
      <c r="C298" s="38"/>
      <c r="D298" s="38" t="s">
        <v>3399</v>
      </c>
      <c r="E298" s="38"/>
      <c r="F298" s="38"/>
      <c r="G298" s="38"/>
      <c r="H298" s="38" t="s">
        <v>3400</v>
      </c>
      <c r="I298" s="38" t="s">
        <v>3743</v>
      </c>
      <c r="J298" s="38"/>
      <c r="K298" s="38">
        <v>350</v>
      </c>
      <c r="L298" s="38"/>
      <c r="M298" s="38"/>
      <c r="N298" s="38">
        <v>67</v>
      </c>
      <c r="O298" s="38">
        <v>2.8</v>
      </c>
      <c r="P298" s="38">
        <v>6.7</v>
      </c>
      <c r="Q298" s="38"/>
      <c r="R298" s="38"/>
      <c r="S298" s="38"/>
      <c r="T298" s="38">
        <v>0.124</v>
      </c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>
        <v>53</v>
      </c>
      <c r="AJ298" s="38"/>
      <c r="AK298" s="38"/>
      <c r="AL298" s="38"/>
      <c r="AM298" s="38"/>
      <c r="AN298" s="38"/>
      <c r="AO298" s="38"/>
      <c r="AP298" s="38"/>
      <c r="AQ298" s="38">
        <v>30</v>
      </c>
      <c r="AR298" s="38"/>
      <c r="AS298" s="38">
        <v>1200</v>
      </c>
      <c r="AT298" s="38"/>
      <c r="AU298" s="38">
        <v>2800</v>
      </c>
      <c r="AV298" s="38">
        <v>6200</v>
      </c>
      <c r="AW298" s="38">
        <v>15000</v>
      </c>
      <c r="AX298" s="38"/>
      <c r="AY298" s="38">
        <v>1400</v>
      </c>
      <c r="AZ298" s="38"/>
      <c r="BA298" s="38"/>
      <c r="BB298" s="38"/>
    </row>
    <row r="299" spans="1:54">
      <c r="A299" s="38" t="s">
        <v>3746</v>
      </c>
      <c r="B299" s="38" t="s">
        <v>1848</v>
      </c>
      <c r="C299" s="38"/>
      <c r="D299" s="38" t="s">
        <v>3399</v>
      </c>
      <c r="E299" s="38"/>
      <c r="F299" s="38"/>
      <c r="G299" s="38"/>
      <c r="H299" s="38" t="s">
        <v>3400</v>
      </c>
      <c r="I299" s="38" t="s">
        <v>3743</v>
      </c>
      <c r="J299" s="38"/>
      <c r="K299" s="38">
        <v>550</v>
      </c>
      <c r="L299" s="38"/>
      <c r="M299" s="38"/>
      <c r="N299" s="38">
        <v>76</v>
      </c>
      <c r="O299" s="38">
        <v>2.5</v>
      </c>
      <c r="P299" s="38">
        <v>4.5999999999999996</v>
      </c>
      <c r="Q299" s="38"/>
      <c r="R299" s="38"/>
      <c r="S299" s="38"/>
      <c r="T299" s="38">
        <v>0.112</v>
      </c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>
        <v>70</v>
      </c>
      <c r="AJ299" s="38"/>
      <c r="AK299" s="38"/>
      <c r="AL299" s="38"/>
      <c r="AM299" s="38"/>
      <c r="AN299" s="38"/>
      <c r="AO299" s="38"/>
      <c r="AP299" s="38"/>
      <c r="AQ299" s="38">
        <v>83</v>
      </c>
      <c r="AR299" s="38"/>
      <c r="AS299" s="38">
        <v>2700</v>
      </c>
      <c r="AT299" s="38"/>
      <c r="AU299" s="38">
        <v>50000</v>
      </c>
      <c r="AV299" s="38">
        <v>4100</v>
      </c>
      <c r="AW299" s="38">
        <v>27000</v>
      </c>
      <c r="AX299" s="38"/>
      <c r="AY299" s="38">
        <v>2000</v>
      </c>
      <c r="AZ299" s="38"/>
      <c r="BA299" s="38"/>
      <c r="BB299" s="38"/>
    </row>
    <row r="300" spans="1:54">
      <c r="A300" s="38" t="s">
        <v>3747</v>
      </c>
      <c r="B300" s="38" t="s">
        <v>3449</v>
      </c>
      <c r="C300" s="38"/>
      <c r="D300" s="38" t="s">
        <v>3399</v>
      </c>
      <c r="E300" s="38" t="s">
        <v>3748</v>
      </c>
      <c r="F300" s="38" t="s">
        <v>3749</v>
      </c>
      <c r="G300" s="38"/>
      <c r="H300" s="38" t="s">
        <v>3400</v>
      </c>
      <c r="I300" s="38" t="s">
        <v>3750</v>
      </c>
      <c r="J300" s="38"/>
      <c r="K300" s="38">
        <v>370</v>
      </c>
      <c r="L300" s="38">
        <v>1.6</v>
      </c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8"/>
      <c r="AR300" s="38"/>
      <c r="AS300" s="38"/>
      <c r="AT300" s="38"/>
      <c r="AU300" s="38"/>
      <c r="AV300" s="38"/>
      <c r="AW300" s="38"/>
      <c r="AX300" s="38"/>
      <c r="AY300" s="38"/>
      <c r="AZ300" s="38"/>
      <c r="BA300" s="38"/>
      <c r="BB300" s="38"/>
    </row>
    <row r="301" spans="1:54">
      <c r="A301" s="38" t="s">
        <v>3751</v>
      </c>
      <c r="B301" s="38" t="s">
        <v>3449</v>
      </c>
      <c r="C301" s="38"/>
      <c r="D301" s="38" t="s">
        <v>3399</v>
      </c>
      <c r="E301" s="38" t="s">
        <v>3748</v>
      </c>
      <c r="F301" s="38" t="s">
        <v>3749</v>
      </c>
      <c r="G301" s="38"/>
      <c r="H301" s="38" t="s">
        <v>3400</v>
      </c>
      <c r="I301" s="38" t="s">
        <v>3752</v>
      </c>
      <c r="J301" s="38"/>
      <c r="K301" s="38">
        <v>620</v>
      </c>
      <c r="L301" s="38">
        <v>3.7</v>
      </c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U301" s="38"/>
      <c r="AV301" s="38"/>
      <c r="AW301" s="38"/>
      <c r="AX301" s="38"/>
      <c r="AY301" s="38"/>
      <c r="AZ301" s="38"/>
      <c r="BA301" s="38"/>
      <c r="BB301" s="38"/>
    </row>
    <row r="302" spans="1:54">
      <c r="A302" s="38" t="s">
        <v>3753</v>
      </c>
      <c r="B302" s="38" t="s">
        <v>3463</v>
      </c>
      <c r="C302" s="38"/>
      <c r="D302" s="38" t="s">
        <v>3399</v>
      </c>
      <c r="E302" s="38" t="s">
        <v>3748</v>
      </c>
      <c r="F302" s="38" t="s">
        <v>3749</v>
      </c>
      <c r="G302" s="38"/>
      <c r="H302" s="38" t="s">
        <v>3400</v>
      </c>
      <c r="I302" s="38" t="s">
        <v>3752</v>
      </c>
      <c r="J302" s="38"/>
      <c r="K302" s="38">
        <v>370</v>
      </c>
      <c r="L302" s="38">
        <v>2.2999999999999998</v>
      </c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8"/>
      <c r="AS302" s="38"/>
      <c r="AT302" s="38"/>
      <c r="AU302" s="38"/>
      <c r="AV302" s="38"/>
      <c r="AW302" s="38"/>
      <c r="AX302" s="38"/>
      <c r="AY302" s="38"/>
      <c r="AZ302" s="38"/>
      <c r="BA302" s="38"/>
      <c r="BB302" s="38"/>
    </row>
    <row r="303" spans="1:54">
      <c r="A303" s="38" t="s">
        <v>3754</v>
      </c>
      <c r="B303" s="38" t="s">
        <v>3463</v>
      </c>
      <c r="C303" s="38"/>
      <c r="D303" s="38" t="s">
        <v>3399</v>
      </c>
      <c r="E303" s="38" t="s">
        <v>3748</v>
      </c>
      <c r="F303" s="38" t="s">
        <v>3749</v>
      </c>
      <c r="G303" s="38"/>
      <c r="H303" s="38" t="s">
        <v>3400</v>
      </c>
      <c r="I303" s="38" t="s">
        <v>3752</v>
      </c>
      <c r="J303" s="38"/>
      <c r="K303" s="38">
        <v>620</v>
      </c>
      <c r="L303" s="38">
        <v>2.5</v>
      </c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8"/>
      <c r="AR303" s="38"/>
      <c r="AS303" s="38"/>
      <c r="AT303" s="38"/>
      <c r="AU303" s="38"/>
      <c r="AV303" s="38"/>
      <c r="AW303" s="38"/>
      <c r="AX303" s="38"/>
      <c r="AY303" s="38"/>
      <c r="AZ303" s="38"/>
      <c r="BA303" s="38"/>
      <c r="BB303" s="38"/>
    </row>
    <row r="304" spans="1:54">
      <c r="A304" s="38" t="s">
        <v>3755</v>
      </c>
      <c r="B304" s="38" t="s">
        <v>3652</v>
      </c>
      <c r="C304" s="38"/>
      <c r="D304" s="38" t="s">
        <v>3399</v>
      </c>
      <c r="E304" s="38"/>
      <c r="F304" s="38"/>
      <c r="G304" s="38" t="s">
        <v>3756</v>
      </c>
      <c r="H304" s="38" t="s">
        <v>3400</v>
      </c>
      <c r="I304" s="38" t="s">
        <v>3757</v>
      </c>
      <c r="J304" s="38">
        <v>1.9</v>
      </c>
      <c r="K304" s="38">
        <v>400</v>
      </c>
      <c r="L304" s="38">
        <v>6.7</v>
      </c>
      <c r="M304" s="38"/>
      <c r="N304" s="38">
        <v>78.39</v>
      </c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>
        <v>14.91</v>
      </c>
      <c r="AQ304" s="38"/>
      <c r="AR304" s="38"/>
      <c r="AS304" s="38"/>
      <c r="AT304" s="38"/>
      <c r="AU304" s="38"/>
      <c r="AV304" s="38"/>
      <c r="AW304" s="38"/>
      <c r="AX304" s="38"/>
      <c r="AY304" s="38"/>
      <c r="AZ304" s="38"/>
      <c r="BA304" s="38"/>
      <c r="BB304" s="38"/>
    </row>
    <row r="305" spans="1:54">
      <c r="A305" s="38" t="s">
        <v>3758</v>
      </c>
      <c r="B305" s="38" t="s">
        <v>3652</v>
      </c>
      <c r="C305" s="38"/>
      <c r="D305" s="38" t="s">
        <v>3399</v>
      </c>
      <c r="E305" s="38"/>
      <c r="F305" s="38"/>
      <c r="G305" s="38" t="s">
        <v>3756</v>
      </c>
      <c r="H305" s="38" t="s">
        <v>3400</v>
      </c>
      <c r="I305" s="38" t="s">
        <v>3759</v>
      </c>
      <c r="J305" s="38">
        <v>1.49</v>
      </c>
      <c r="K305" s="38">
        <v>450</v>
      </c>
      <c r="L305" s="38">
        <v>6.54</v>
      </c>
      <c r="M305" s="38"/>
      <c r="N305" s="38">
        <v>83.43</v>
      </c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>
        <v>10.029999999999999</v>
      </c>
      <c r="AQ305" s="38"/>
      <c r="AR305" s="38"/>
      <c r="AS305" s="38"/>
      <c r="AT305" s="38"/>
      <c r="AU305" s="38"/>
      <c r="AV305" s="38"/>
      <c r="AW305" s="38"/>
      <c r="AX305" s="38"/>
      <c r="AY305" s="38"/>
      <c r="AZ305" s="38"/>
      <c r="BA305" s="38"/>
      <c r="BB305" s="38"/>
    </row>
    <row r="306" spans="1:54">
      <c r="A306" s="38" t="s">
        <v>3760</v>
      </c>
      <c r="B306" s="38" t="s">
        <v>3652</v>
      </c>
      <c r="C306" s="38"/>
      <c r="D306" s="38" t="s">
        <v>3399</v>
      </c>
      <c r="E306" s="38"/>
      <c r="F306" s="38"/>
      <c r="G306" s="38" t="s">
        <v>3756</v>
      </c>
      <c r="H306" s="38" t="s">
        <v>3400</v>
      </c>
      <c r="I306" s="38" t="s">
        <v>3759</v>
      </c>
      <c r="J306" s="38">
        <v>1.87</v>
      </c>
      <c r="K306" s="38">
        <v>500</v>
      </c>
      <c r="L306" s="38">
        <v>8.89</v>
      </c>
      <c r="M306" s="38"/>
      <c r="N306" s="38">
        <v>85.39</v>
      </c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>
        <v>5.72</v>
      </c>
      <c r="AQ306" s="38"/>
      <c r="AR306" s="38"/>
      <c r="AS306" s="38"/>
      <c r="AT306" s="38"/>
      <c r="AU306" s="38"/>
      <c r="AV306" s="38"/>
      <c r="AW306" s="38"/>
      <c r="AX306" s="38"/>
      <c r="AY306" s="38"/>
      <c r="AZ306" s="38"/>
      <c r="BA306" s="38"/>
      <c r="BB306" s="38"/>
    </row>
    <row r="307" spans="1:54">
      <c r="A307" s="38" t="s">
        <v>3761</v>
      </c>
      <c r="B307" s="38" t="s">
        <v>3652</v>
      </c>
      <c r="C307" s="38"/>
      <c r="D307" s="38" t="s">
        <v>3399</v>
      </c>
      <c r="E307" s="38"/>
      <c r="F307" s="38"/>
      <c r="G307" s="38" t="s">
        <v>3756</v>
      </c>
      <c r="H307" s="38" t="s">
        <v>3400</v>
      </c>
      <c r="I307" s="38" t="s">
        <v>3759</v>
      </c>
      <c r="J307" s="38">
        <v>1.57</v>
      </c>
      <c r="K307" s="38">
        <v>550</v>
      </c>
      <c r="L307" s="38">
        <v>8.5399999999999991</v>
      </c>
      <c r="M307" s="38"/>
      <c r="N307" s="38">
        <v>85.96</v>
      </c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>
        <v>5.5</v>
      </c>
      <c r="AQ307" s="38"/>
      <c r="AR307" s="38"/>
      <c r="AS307" s="38"/>
      <c r="AT307" s="38"/>
      <c r="AU307" s="38"/>
      <c r="AV307" s="38"/>
      <c r="AW307" s="38"/>
      <c r="AX307" s="38"/>
      <c r="AY307" s="38"/>
      <c r="AZ307" s="38"/>
      <c r="BA307" s="38"/>
      <c r="BB307" s="38"/>
    </row>
    <row r="308" spans="1:54">
      <c r="A308" s="38" t="s">
        <v>3762</v>
      </c>
      <c r="B308" s="38" t="s">
        <v>3652</v>
      </c>
      <c r="C308" s="38"/>
      <c r="D308" s="38" t="s">
        <v>3399</v>
      </c>
      <c r="E308" s="38"/>
      <c r="F308" s="38"/>
      <c r="G308" s="38" t="s">
        <v>3756</v>
      </c>
      <c r="H308" s="38" t="s">
        <v>3400</v>
      </c>
      <c r="I308" s="38" t="s">
        <v>3759</v>
      </c>
      <c r="J308" s="38">
        <v>1.26</v>
      </c>
      <c r="K308" s="38">
        <v>600</v>
      </c>
      <c r="L308" s="38">
        <v>7.25</v>
      </c>
      <c r="M308" s="38"/>
      <c r="N308" s="38">
        <v>87</v>
      </c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>
        <v>5.75</v>
      </c>
      <c r="AQ308" s="38"/>
      <c r="AR308" s="38"/>
      <c r="AS308" s="38"/>
      <c r="AT308" s="38"/>
      <c r="AU308" s="38"/>
      <c r="AV308" s="38"/>
      <c r="AW308" s="38"/>
      <c r="AX308" s="38"/>
      <c r="AY308" s="38"/>
      <c r="AZ308" s="38"/>
      <c r="BA308" s="38"/>
      <c r="BB308" s="38"/>
    </row>
    <row r="309" spans="1:54">
      <c r="A309" s="38" t="s">
        <v>3763</v>
      </c>
      <c r="B309" s="38" t="s">
        <v>3652</v>
      </c>
      <c r="C309" s="38"/>
      <c r="D309" s="38" t="s">
        <v>3399</v>
      </c>
      <c r="E309" s="38"/>
      <c r="F309" s="38"/>
      <c r="G309" s="38" t="s">
        <v>3756</v>
      </c>
      <c r="H309" s="38" t="s">
        <v>3400</v>
      </c>
      <c r="I309" s="38" t="s">
        <v>3759</v>
      </c>
      <c r="J309" s="38">
        <v>2.17</v>
      </c>
      <c r="K309" s="38">
        <v>400</v>
      </c>
      <c r="L309" s="38">
        <v>8.9600000000000009</v>
      </c>
      <c r="M309" s="38"/>
      <c r="N309" s="38">
        <v>79.2</v>
      </c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>
        <v>11.84</v>
      </c>
      <c r="AQ309" s="38"/>
      <c r="AR309" s="38"/>
      <c r="AS309" s="38"/>
      <c r="AT309" s="38"/>
      <c r="AU309" s="38"/>
      <c r="AV309" s="38"/>
      <c r="AW309" s="38"/>
      <c r="AX309" s="38"/>
      <c r="AY309" s="38"/>
      <c r="AZ309" s="38"/>
      <c r="BA309" s="38"/>
      <c r="BB309" s="38"/>
    </row>
    <row r="310" spans="1:54">
      <c r="A310" s="38" t="s">
        <v>3764</v>
      </c>
      <c r="B310" s="38" t="s">
        <v>3652</v>
      </c>
      <c r="C310" s="38"/>
      <c r="D310" s="38" t="s">
        <v>3399</v>
      </c>
      <c r="E310" s="38"/>
      <c r="F310" s="38"/>
      <c r="G310" s="38" t="s">
        <v>3756</v>
      </c>
      <c r="H310" s="38" t="s">
        <v>3400</v>
      </c>
      <c r="I310" s="38" t="s">
        <v>3759</v>
      </c>
      <c r="J310" s="38">
        <v>1.61</v>
      </c>
      <c r="K310" s="38">
        <v>450</v>
      </c>
      <c r="L310" s="38">
        <v>9.49</v>
      </c>
      <c r="M310" s="38"/>
      <c r="N310" s="38">
        <v>79.849999999999994</v>
      </c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8">
        <v>10.66</v>
      </c>
      <c r="AQ310" s="38"/>
      <c r="AR310" s="38"/>
      <c r="AS310" s="38"/>
      <c r="AT310" s="38"/>
      <c r="AU310" s="38"/>
      <c r="AV310" s="38"/>
      <c r="AW310" s="38"/>
      <c r="AX310" s="38"/>
      <c r="AY310" s="38"/>
      <c r="AZ310" s="38"/>
      <c r="BA310" s="38"/>
      <c r="BB310" s="38"/>
    </row>
    <row r="311" spans="1:54">
      <c r="A311" s="38" t="s">
        <v>3765</v>
      </c>
      <c r="B311" s="38" t="s">
        <v>3652</v>
      </c>
      <c r="C311" s="38"/>
      <c r="D311" s="38" t="s">
        <v>3399</v>
      </c>
      <c r="E311" s="38"/>
      <c r="F311" s="38"/>
      <c r="G311" s="38" t="s">
        <v>3756</v>
      </c>
      <c r="H311" s="38" t="s">
        <v>3400</v>
      </c>
      <c r="I311" s="38" t="s">
        <v>3759</v>
      </c>
      <c r="J311" s="38">
        <v>1.88</v>
      </c>
      <c r="K311" s="38">
        <v>500</v>
      </c>
      <c r="L311" s="38">
        <v>10.47</v>
      </c>
      <c r="M311" s="38"/>
      <c r="N311" s="38">
        <v>80.92</v>
      </c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>
        <v>8.61</v>
      </c>
      <c r="AQ311" s="38"/>
      <c r="AR311" s="38"/>
      <c r="AS311" s="38"/>
      <c r="AT311" s="38"/>
      <c r="AU311" s="38"/>
      <c r="AV311" s="38"/>
      <c r="AW311" s="38"/>
      <c r="AX311" s="38"/>
      <c r="AY311" s="38"/>
      <c r="AZ311" s="38"/>
      <c r="BA311" s="38"/>
      <c r="BB311" s="38"/>
    </row>
    <row r="312" spans="1:54">
      <c r="A312" s="38" t="s">
        <v>3766</v>
      </c>
      <c r="B312" s="38" t="s">
        <v>3652</v>
      </c>
      <c r="C312" s="38"/>
      <c r="D312" s="38" t="s">
        <v>3399</v>
      </c>
      <c r="E312" s="38"/>
      <c r="F312" s="38"/>
      <c r="G312" s="38" t="s">
        <v>3756</v>
      </c>
      <c r="H312" s="38" t="s">
        <v>3400</v>
      </c>
      <c r="I312" s="38" t="s">
        <v>3759</v>
      </c>
      <c r="J312" s="38">
        <v>1.67</v>
      </c>
      <c r="K312" s="38">
        <v>550</v>
      </c>
      <c r="L312" s="38">
        <v>11.94</v>
      </c>
      <c r="M312" s="38"/>
      <c r="N312" s="38">
        <v>82.28</v>
      </c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>
        <v>5.78</v>
      </c>
      <c r="AQ312" s="38"/>
      <c r="AR312" s="38"/>
      <c r="AS312" s="38"/>
      <c r="AT312" s="38"/>
      <c r="AU312" s="38"/>
      <c r="AV312" s="38"/>
      <c r="AW312" s="38"/>
      <c r="AX312" s="38"/>
      <c r="AY312" s="38"/>
      <c r="AZ312" s="38"/>
      <c r="BA312" s="38"/>
      <c r="BB312" s="38"/>
    </row>
    <row r="313" spans="1:54">
      <c r="A313" s="38" t="s">
        <v>3767</v>
      </c>
      <c r="B313" s="38" t="s">
        <v>3652</v>
      </c>
      <c r="C313" s="38"/>
      <c r="D313" s="38" t="s">
        <v>3399</v>
      </c>
      <c r="E313" s="38"/>
      <c r="F313" s="38"/>
      <c r="G313" s="38" t="s">
        <v>3756</v>
      </c>
      <c r="H313" s="38" t="s">
        <v>3400</v>
      </c>
      <c r="I313" s="38" t="s">
        <v>3759</v>
      </c>
      <c r="J313" s="38">
        <v>1.52</v>
      </c>
      <c r="K313" s="38">
        <v>600</v>
      </c>
      <c r="L313" s="38">
        <v>10.050000000000001</v>
      </c>
      <c r="M313" s="38"/>
      <c r="N313" s="38">
        <v>84.11</v>
      </c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>
        <v>5.84</v>
      </c>
      <c r="AQ313" s="38"/>
      <c r="AR313" s="38"/>
      <c r="AS313" s="38"/>
      <c r="AT313" s="38"/>
      <c r="AU313" s="38"/>
      <c r="AV313" s="38"/>
      <c r="AW313" s="38"/>
      <c r="AX313" s="38"/>
      <c r="AY313" s="38"/>
      <c r="AZ313" s="38"/>
      <c r="BA313" s="38"/>
      <c r="BB313" s="38"/>
    </row>
    <row r="314" spans="1:54">
      <c r="A314" s="38" t="s">
        <v>3768</v>
      </c>
      <c r="B314" s="38" t="s">
        <v>3455</v>
      </c>
      <c r="C314" s="38"/>
      <c r="D314" s="38" t="s">
        <v>3351</v>
      </c>
      <c r="E314" s="38"/>
      <c r="F314" s="38"/>
      <c r="G314" s="38" t="s">
        <v>3756</v>
      </c>
      <c r="H314" s="38" t="s">
        <v>3400</v>
      </c>
      <c r="I314" s="38" t="s">
        <v>3769</v>
      </c>
      <c r="J314" s="38">
        <v>3.2</v>
      </c>
      <c r="K314" s="38">
        <v>450</v>
      </c>
      <c r="L314" s="38">
        <v>4.3</v>
      </c>
      <c r="M314" s="38"/>
      <c r="N314" s="38">
        <v>78.400000000000006</v>
      </c>
      <c r="O314" s="38">
        <v>0.82</v>
      </c>
      <c r="P314" s="38">
        <v>2.0299999999999998</v>
      </c>
      <c r="Q314" s="38">
        <v>14.45</v>
      </c>
      <c r="R314" s="38">
        <v>7.3</v>
      </c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>
        <v>33.4</v>
      </c>
      <c r="AO314" s="38" t="s">
        <v>3770</v>
      </c>
      <c r="AP314" s="38">
        <v>11.2</v>
      </c>
      <c r="AQ314" s="38"/>
      <c r="AR314" s="38"/>
      <c r="AS314" s="38"/>
      <c r="AT314" s="38"/>
      <c r="AU314" s="38"/>
      <c r="AV314" s="38"/>
      <c r="AW314" s="38"/>
      <c r="AX314" s="38"/>
      <c r="AY314" s="38"/>
      <c r="AZ314" s="38"/>
      <c r="BA314" s="38"/>
      <c r="BB314" s="38"/>
    </row>
    <row r="315" spans="1:54">
      <c r="A315" s="38" t="s">
        <v>3771</v>
      </c>
      <c r="B315" s="38" t="s">
        <v>3455</v>
      </c>
      <c r="C315" s="38"/>
      <c r="D315" s="38" t="s">
        <v>3399</v>
      </c>
      <c r="E315" s="38"/>
      <c r="F315" s="38"/>
      <c r="G315" s="38" t="s">
        <v>3756</v>
      </c>
      <c r="H315" s="38" t="s">
        <v>3400</v>
      </c>
      <c r="I315" s="38" t="s">
        <v>3772</v>
      </c>
      <c r="J315" s="38">
        <v>3.2</v>
      </c>
      <c r="K315" s="38">
        <v>550</v>
      </c>
      <c r="L315" s="38">
        <v>3.2</v>
      </c>
      <c r="M315" s="38"/>
      <c r="N315" s="38">
        <v>86.3</v>
      </c>
      <c r="O315" s="38">
        <v>0.85</v>
      </c>
      <c r="P315" s="38">
        <v>1.95</v>
      </c>
      <c r="Q315" s="38">
        <v>7.7</v>
      </c>
      <c r="R315" s="38">
        <v>7.5</v>
      </c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>
        <v>42.8</v>
      </c>
      <c r="AO315" s="38" t="s">
        <v>3770</v>
      </c>
      <c r="AP315" s="38">
        <v>6.7</v>
      </c>
      <c r="AQ315" s="38"/>
      <c r="AR315" s="38"/>
      <c r="AS315" s="38"/>
      <c r="AT315" s="38"/>
      <c r="AU315" s="38"/>
      <c r="AV315" s="38"/>
      <c r="AW315" s="38"/>
      <c r="AX315" s="38"/>
      <c r="AY315" s="38"/>
      <c r="AZ315" s="38"/>
      <c r="BA315" s="38"/>
      <c r="BB315" s="38"/>
    </row>
    <row r="316" spans="1:54">
      <c r="A316" s="38" t="s">
        <v>3773</v>
      </c>
      <c r="B316" s="38" t="s">
        <v>3455</v>
      </c>
      <c r="C316" s="38"/>
      <c r="D316" s="38" t="s">
        <v>3399</v>
      </c>
      <c r="E316" s="38"/>
      <c r="F316" s="38"/>
      <c r="G316" s="38" t="s">
        <v>3756</v>
      </c>
      <c r="H316" s="38" t="s">
        <v>3400</v>
      </c>
      <c r="I316" s="38" t="s">
        <v>3772</v>
      </c>
      <c r="J316" s="38">
        <v>5.3</v>
      </c>
      <c r="K316" s="38">
        <v>650</v>
      </c>
      <c r="L316" s="38">
        <v>4.9000000000000004</v>
      </c>
      <c r="M316" s="38"/>
      <c r="N316" s="38">
        <v>84.8</v>
      </c>
      <c r="O316" s="38">
        <v>1</v>
      </c>
      <c r="P316" s="38">
        <v>1.1399999999999999</v>
      </c>
      <c r="Q316" s="38">
        <v>8.16</v>
      </c>
      <c r="R316" s="38">
        <v>8.1</v>
      </c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>
        <v>59.1</v>
      </c>
      <c r="AO316" s="38" t="s">
        <v>3770</v>
      </c>
      <c r="AP316" s="38">
        <v>6</v>
      </c>
      <c r="AQ316" s="38"/>
      <c r="AR316" s="38"/>
      <c r="AS316" s="38"/>
      <c r="AT316" s="38"/>
      <c r="AU316" s="38"/>
      <c r="AV316" s="38"/>
      <c r="AW316" s="38"/>
      <c r="AX316" s="38"/>
      <c r="AY316" s="38"/>
      <c r="AZ316" s="38"/>
      <c r="BA316" s="38"/>
      <c r="BB316" s="38"/>
    </row>
    <row r="317" spans="1:54">
      <c r="A317" s="38" t="s">
        <v>3774</v>
      </c>
      <c r="B317" s="38" t="s">
        <v>3455</v>
      </c>
      <c r="C317" s="38"/>
      <c r="D317" s="38" t="s">
        <v>3399</v>
      </c>
      <c r="E317" s="38"/>
      <c r="F317" s="38"/>
      <c r="G317" s="38" t="s">
        <v>3756</v>
      </c>
      <c r="H317" s="38" t="s">
        <v>3400</v>
      </c>
      <c r="I317" s="38" t="s">
        <v>3772</v>
      </c>
      <c r="J317" s="38">
        <v>2.6</v>
      </c>
      <c r="K317" s="38">
        <v>450</v>
      </c>
      <c r="L317" s="38">
        <v>0.9</v>
      </c>
      <c r="M317" s="38"/>
      <c r="N317" s="38">
        <v>86.8</v>
      </c>
      <c r="O317" s="38">
        <v>0.19</v>
      </c>
      <c r="P317" s="38">
        <v>2.8</v>
      </c>
      <c r="Q317" s="38">
        <v>9.31</v>
      </c>
      <c r="R317" s="38">
        <v>6.7</v>
      </c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>
        <v>38.6</v>
      </c>
      <c r="AO317" s="38" t="s">
        <v>3770</v>
      </c>
      <c r="AP317" s="38">
        <v>12.1</v>
      </c>
      <c r="AQ317" s="38"/>
      <c r="AR317" s="38"/>
      <c r="AS317" s="38"/>
      <c r="AT317" s="38"/>
      <c r="AU317" s="38"/>
      <c r="AV317" s="38"/>
      <c r="AW317" s="38"/>
      <c r="AX317" s="38"/>
      <c r="AY317" s="38"/>
      <c r="AZ317" s="38"/>
      <c r="BA317" s="38"/>
      <c r="BB317" s="38"/>
    </row>
    <row r="318" spans="1:54">
      <c r="A318" s="38" t="s">
        <v>3775</v>
      </c>
      <c r="B318" s="38" t="s">
        <v>3455</v>
      </c>
      <c r="C318" s="38"/>
      <c r="D318" s="38" t="s">
        <v>3399</v>
      </c>
      <c r="E318" s="38"/>
      <c r="F318" s="38"/>
      <c r="G318" s="38" t="s">
        <v>3756</v>
      </c>
      <c r="H318" s="38" t="s">
        <v>3400</v>
      </c>
      <c r="I318" s="38" t="s">
        <v>3772</v>
      </c>
      <c r="J318" s="38">
        <v>3.3</v>
      </c>
      <c r="K318" s="38">
        <v>550</v>
      </c>
      <c r="L318" s="38">
        <v>1</v>
      </c>
      <c r="M318" s="38"/>
      <c r="N318" s="38">
        <v>91.6</v>
      </c>
      <c r="O318" s="38">
        <v>0.19</v>
      </c>
      <c r="P318" s="38">
        <v>2.13</v>
      </c>
      <c r="Q318" s="38">
        <v>5.08</v>
      </c>
      <c r="R318" s="38">
        <v>6.8</v>
      </c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>
        <v>52.1</v>
      </c>
      <c r="AO318" s="38" t="s">
        <v>3770</v>
      </c>
      <c r="AP318" s="38">
        <v>7.3</v>
      </c>
      <c r="AQ318" s="38"/>
      <c r="AR318" s="38"/>
      <c r="AS318" s="38"/>
      <c r="AT318" s="38"/>
      <c r="AU318" s="38"/>
      <c r="AV318" s="38"/>
      <c r="AW318" s="38"/>
      <c r="AX318" s="38"/>
      <c r="AY318" s="38"/>
      <c r="AZ318" s="38"/>
      <c r="BA318" s="38"/>
      <c r="BB318" s="38"/>
    </row>
    <row r="319" spans="1:54">
      <c r="A319" s="38" t="s">
        <v>3776</v>
      </c>
      <c r="B319" s="38" t="s">
        <v>3455</v>
      </c>
      <c r="C319" s="38"/>
      <c r="D319" s="38" t="s">
        <v>3399</v>
      </c>
      <c r="E319" s="38"/>
      <c r="F319" s="38"/>
      <c r="G319" s="38" t="s">
        <v>3756</v>
      </c>
      <c r="H319" s="38" t="s">
        <v>3400</v>
      </c>
      <c r="I319" s="38" t="s">
        <v>3769</v>
      </c>
      <c r="J319" s="38">
        <v>3.4</v>
      </c>
      <c r="K319" s="38">
        <v>650</v>
      </c>
      <c r="L319" s="38">
        <v>1.1000000000000001</v>
      </c>
      <c r="M319" s="38"/>
      <c r="N319" s="38">
        <v>92.6</v>
      </c>
      <c r="O319" s="38">
        <v>0.15</v>
      </c>
      <c r="P319" s="38">
        <v>1.68</v>
      </c>
      <c r="Q319" s="38">
        <v>4.47</v>
      </c>
      <c r="R319" s="38">
        <v>7.7</v>
      </c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>
        <v>68.8</v>
      </c>
      <c r="AO319" s="38" t="s">
        <v>3770</v>
      </c>
      <c r="AP319" s="38">
        <v>6</v>
      </c>
      <c r="AQ319" s="38"/>
      <c r="AR319" s="38"/>
      <c r="AS319" s="38"/>
      <c r="AT319" s="38"/>
      <c r="AU319" s="38"/>
      <c r="AV319" s="38"/>
      <c r="AW319" s="38"/>
      <c r="AX319" s="38"/>
      <c r="AY319" s="38"/>
      <c r="AZ319" s="38"/>
      <c r="BA319" s="38"/>
      <c r="BB319" s="38"/>
    </row>
    <row r="320" spans="1:54">
      <c r="A320" s="38" t="s">
        <v>3777</v>
      </c>
      <c r="B320" s="38" t="s">
        <v>3652</v>
      </c>
      <c r="C320" s="38"/>
      <c r="D320" s="38" t="s">
        <v>3399</v>
      </c>
      <c r="E320" s="38"/>
      <c r="F320" s="38"/>
      <c r="G320" s="38" t="s">
        <v>3756</v>
      </c>
      <c r="H320" s="38" t="s">
        <v>3400</v>
      </c>
      <c r="I320" s="38" t="s">
        <v>3778</v>
      </c>
      <c r="J320" s="38"/>
      <c r="K320" s="38">
        <v>600</v>
      </c>
      <c r="L320" s="38"/>
      <c r="M320" s="38"/>
      <c r="N320" s="38">
        <v>83.27</v>
      </c>
      <c r="O320" s="38">
        <v>0.25</v>
      </c>
      <c r="P320" s="38">
        <v>2.2599999999999998</v>
      </c>
      <c r="Q320" s="38">
        <v>12.41</v>
      </c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>
        <v>100</v>
      </c>
      <c r="AD320" s="38"/>
      <c r="AE320" s="38"/>
      <c r="AF320" s="38"/>
      <c r="AG320" s="38"/>
      <c r="AH320" s="38"/>
      <c r="AI320" s="38"/>
      <c r="AJ320" s="38"/>
      <c r="AK320" s="38"/>
      <c r="AL320" s="38">
        <v>1400</v>
      </c>
      <c r="AM320" s="38"/>
      <c r="AN320" s="38"/>
      <c r="AO320" s="38"/>
      <c r="AP320" s="38"/>
      <c r="AQ320" s="38">
        <v>408.1</v>
      </c>
      <c r="AR320" s="38"/>
      <c r="AS320" s="38"/>
      <c r="AT320" s="38">
        <v>800</v>
      </c>
      <c r="AU320" s="38">
        <v>2100</v>
      </c>
      <c r="AV320" s="38">
        <v>1400</v>
      </c>
      <c r="AW320" s="38">
        <v>3300</v>
      </c>
      <c r="AX320" s="38">
        <v>6800</v>
      </c>
      <c r="AY320" s="38">
        <v>2300</v>
      </c>
      <c r="AZ320" s="38"/>
      <c r="BA320" s="38"/>
      <c r="BB320" s="38"/>
    </row>
    <row r="321" spans="1:54">
      <c r="A321" s="38" t="s">
        <v>3779</v>
      </c>
      <c r="B321" s="38" t="s">
        <v>3652</v>
      </c>
      <c r="C321" s="38"/>
      <c r="D321" s="38" t="s">
        <v>3399</v>
      </c>
      <c r="E321" s="38"/>
      <c r="F321" s="38"/>
      <c r="G321" s="38" t="s">
        <v>3756</v>
      </c>
      <c r="H321" s="38" t="s">
        <v>3400</v>
      </c>
      <c r="I321" s="38" t="s">
        <v>3780</v>
      </c>
      <c r="J321" s="38"/>
      <c r="K321" s="38">
        <v>600</v>
      </c>
      <c r="L321" s="38"/>
      <c r="M321" s="38"/>
      <c r="N321" s="38">
        <v>75.31</v>
      </c>
      <c r="O321" s="38">
        <v>0.28000000000000003</v>
      </c>
      <c r="P321" s="38">
        <v>2.21</v>
      </c>
      <c r="Q321" s="38">
        <v>15.14</v>
      </c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>
        <v>100</v>
      </c>
      <c r="AD321" s="38"/>
      <c r="AE321" s="38"/>
      <c r="AF321" s="38"/>
      <c r="AG321" s="38"/>
      <c r="AH321" s="38"/>
      <c r="AI321" s="38"/>
      <c r="AJ321" s="38"/>
      <c r="AK321" s="38"/>
      <c r="AL321" s="38">
        <v>400</v>
      </c>
      <c r="AM321" s="38"/>
      <c r="AN321" s="38"/>
      <c r="AO321" s="38"/>
      <c r="AP321" s="38"/>
      <c r="AQ321" s="38"/>
      <c r="AR321" s="38"/>
      <c r="AS321" s="38"/>
      <c r="AT321" s="38"/>
      <c r="AU321" s="38">
        <v>5700</v>
      </c>
      <c r="AV321" s="38">
        <v>1900</v>
      </c>
      <c r="AW321" s="38">
        <v>1100</v>
      </c>
      <c r="AX321" s="38">
        <v>3200</v>
      </c>
      <c r="AY321" s="38">
        <v>1500</v>
      </c>
      <c r="AZ321" s="38"/>
      <c r="BA321" s="38"/>
      <c r="BB321" s="38"/>
    </row>
    <row r="322" spans="1:54">
      <c r="A322" s="38" t="s">
        <v>3781</v>
      </c>
      <c r="B322" s="38" t="s">
        <v>3652</v>
      </c>
      <c r="C322" s="38"/>
      <c r="D322" s="38" t="s">
        <v>3399</v>
      </c>
      <c r="E322" s="38"/>
      <c r="F322" s="38"/>
      <c r="G322" s="38" t="s">
        <v>3756</v>
      </c>
      <c r="H322" s="38" t="s">
        <v>3400</v>
      </c>
      <c r="I322" s="38" t="s">
        <v>3780</v>
      </c>
      <c r="J322" s="38"/>
      <c r="K322" s="38">
        <v>600</v>
      </c>
      <c r="L322" s="38"/>
      <c r="M322" s="38"/>
      <c r="N322" s="38">
        <v>80.930000000000007</v>
      </c>
      <c r="O322" s="38">
        <v>0.28000000000000003</v>
      </c>
      <c r="P322" s="38">
        <v>2.21</v>
      </c>
      <c r="Q322" s="38">
        <v>15.14</v>
      </c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>
        <v>100</v>
      </c>
      <c r="AD322" s="38"/>
      <c r="AE322" s="38"/>
      <c r="AF322" s="38"/>
      <c r="AG322" s="38"/>
      <c r="AH322" s="38"/>
      <c r="AI322" s="38"/>
      <c r="AJ322" s="38"/>
      <c r="AK322" s="38"/>
      <c r="AL322" s="38">
        <v>400</v>
      </c>
      <c r="AM322" s="38"/>
      <c r="AN322" s="38"/>
      <c r="AO322" s="38"/>
      <c r="AP322" s="38"/>
      <c r="AQ322" s="38"/>
      <c r="AR322" s="38"/>
      <c r="AS322" s="38"/>
      <c r="AT322" s="38"/>
      <c r="AU322" s="38">
        <v>5700</v>
      </c>
      <c r="AV322" s="38">
        <v>1900</v>
      </c>
      <c r="AW322" s="38">
        <v>1100</v>
      </c>
      <c r="AX322" s="38">
        <v>3200</v>
      </c>
      <c r="AY322" s="38">
        <v>1500</v>
      </c>
      <c r="AZ322" s="38"/>
      <c r="BA322" s="38"/>
      <c r="BB322" s="38"/>
    </row>
    <row r="323" spans="1:54">
      <c r="A323" s="38" t="s">
        <v>3782</v>
      </c>
      <c r="B323" s="38" t="s">
        <v>3652</v>
      </c>
      <c r="C323" s="38"/>
      <c r="D323" s="38" t="s">
        <v>3399</v>
      </c>
      <c r="E323" s="38"/>
      <c r="F323" s="38"/>
      <c r="G323" s="38"/>
      <c r="H323" s="38" t="s">
        <v>3400</v>
      </c>
      <c r="I323" s="38" t="s">
        <v>3780</v>
      </c>
      <c r="J323" s="38"/>
      <c r="K323" s="38">
        <v>600</v>
      </c>
      <c r="L323" s="38"/>
      <c r="M323" s="38"/>
      <c r="N323" s="38">
        <v>81.02</v>
      </c>
      <c r="O323" s="38">
        <v>0.25</v>
      </c>
      <c r="P323" s="38">
        <v>2.15</v>
      </c>
      <c r="Q323" s="38">
        <v>15.85</v>
      </c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>
        <v>100</v>
      </c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  <c r="AQ323" s="38">
        <v>239.8</v>
      </c>
      <c r="AR323" s="38"/>
      <c r="AS323" s="38"/>
      <c r="AT323" s="38">
        <v>3000</v>
      </c>
      <c r="AU323" s="38">
        <v>1900</v>
      </c>
      <c r="AV323" s="38">
        <v>500</v>
      </c>
      <c r="AW323" s="38">
        <v>700</v>
      </c>
      <c r="AX323" s="38">
        <v>3000</v>
      </c>
      <c r="AY323" s="38">
        <v>800</v>
      </c>
      <c r="AZ323" s="38"/>
      <c r="BA323" s="38"/>
      <c r="BB323" s="38"/>
    </row>
    <row r="324" spans="1:54">
      <c r="A324" s="38" t="s">
        <v>3783</v>
      </c>
      <c r="B324" s="38" t="s">
        <v>3652</v>
      </c>
      <c r="C324" s="38"/>
      <c r="D324" s="38" t="s">
        <v>3399</v>
      </c>
      <c r="E324" s="38"/>
      <c r="F324" s="38"/>
      <c r="G324" s="38"/>
      <c r="H324" s="38" t="s">
        <v>3400</v>
      </c>
      <c r="I324" s="38" t="s">
        <v>3780</v>
      </c>
      <c r="J324" s="38"/>
      <c r="K324" s="38">
        <v>600</v>
      </c>
      <c r="L324" s="38"/>
      <c r="M324" s="38"/>
      <c r="N324" s="38">
        <v>70.2</v>
      </c>
      <c r="O324" s="38">
        <v>0.74</v>
      </c>
      <c r="P324" s="38">
        <v>2.44</v>
      </c>
      <c r="Q324" s="38">
        <v>24.44</v>
      </c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>
        <v>200</v>
      </c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>
        <v>328.6</v>
      </c>
      <c r="AR324" s="38"/>
      <c r="AS324" s="38"/>
      <c r="AT324" s="38">
        <v>300</v>
      </c>
      <c r="AU324" s="38">
        <v>8800</v>
      </c>
      <c r="AV324" s="38">
        <v>1600</v>
      </c>
      <c r="AW324" s="38">
        <v>600</v>
      </c>
      <c r="AX324" s="38">
        <v>5300</v>
      </c>
      <c r="AY324" s="38">
        <v>4600</v>
      </c>
      <c r="AZ324" s="38"/>
      <c r="BA324" s="38"/>
      <c r="BB324" s="38"/>
    </row>
    <row r="325" spans="1:54">
      <c r="A325" s="38" t="s">
        <v>3784</v>
      </c>
      <c r="B325" s="38" t="s">
        <v>3652</v>
      </c>
      <c r="C325" s="38"/>
      <c r="D325" s="38" t="s">
        <v>3399</v>
      </c>
      <c r="E325" s="38"/>
      <c r="F325" s="38"/>
      <c r="G325" s="38"/>
      <c r="H325" s="38" t="s">
        <v>3400</v>
      </c>
      <c r="I325" s="38" t="s">
        <v>3780</v>
      </c>
      <c r="J325" s="38"/>
      <c r="K325" s="38">
        <v>600</v>
      </c>
      <c r="L325" s="38"/>
      <c r="M325" s="38"/>
      <c r="N325" s="38">
        <v>78.08</v>
      </c>
      <c r="O325" s="38">
        <v>0.33</v>
      </c>
      <c r="P325" s="38">
        <v>2.11</v>
      </c>
      <c r="Q325" s="38">
        <v>18.12</v>
      </c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>
        <v>100</v>
      </c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8">
        <v>224.5</v>
      </c>
      <c r="AR325" s="38"/>
      <c r="AS325" s="38"/>
      <c r="AT325" s="38"/>
      <c r="AU325" s="38">
        <v>5200</v>
      </c>
      <c r="AV325" s="38">
        <v>1800</v>
      </c>
      <c r="AW325" s="38">
        <v>500</v>
      </c>
      <c r="AX325" s="38">
        <v>5100</v>
      </c>
      <c r="AY325" s="38">
        <v>700</v>
      </c>
      <c r="AZ325" s="38"/>
      <c r="BA325" s="38"/>
      <c r="BB325" s="38"/>
    </row>
    <row r="326" spans="1:54">
      <c r="A326" s="38" t="s">
        <v>3785</v>
      </c>
      <c r="B326" s="38" t="s">
        <v>3652</v>
      </c>
      <c r="C326" s="38"/>
      <c r="D326" s="38" t="s">
        <v>3399</v>
      </c>
      <c r="E326" s="38"/>
      <c r="F326" s="38"/>
      <c r="G326" s="38"/>
      <c r="H326" s="38" t="s">
        <v>3400</v>
      </c>
      <c r="I326" s="38" t="s">
        <v>3780</v>
      </c>
      <c r="J326" s="38"/>
      <c r="K326" s="38">
        <v>600</v>
      </c>
      <c r="L326" s="38"/>
      <c r="M326" s="38"/>
      <c r="N326" s="38">
        <v>80.89</v>
      </c>
      <c r="O326" s="38">
        <v>0.15</v>
      </c>
      <c r="P326" s="38">
        <v>2.4300000000000002</v>
      </c>
      <c r="Q326" s="38">
        <v>14.86</v>
      </c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>
        <v>100</v>
      </c>
      <c r="AJ326" s="38"/>
      <c r="AK326" s="38"/>
      <c r="AL326" s="38">
        <v>100</v>
      </c>
      <c r="AM326" s="38"/>
      <c r="AN326" s="38"/>
      <c r="AO326" s="38"/>
      <c r="AP326" s="38"/>
      <c r="AQ326" s="38">
        <v>375.5</v>
      </c>
      <c r="AR326" s="38"/>
      <c r="AS326" s="38"/>
      <c r="AT326" s="38">
        <v>5400</v>
      </c>
      <c r="AU326" s="38">
        <v>3400</v>
      </c>
      <c r="AV326" s="38">
        <v>2300</v>
      </c>
      <c r="AW326" s="38">
        <v>5200</v>
      </c>
      <c r="AX326" s="38">
        <v>400</v>
      </c>
      <c r="AY326" s="38"/>
      <c r="AZ326" s="38"/>
      <c r="BA326" s="38"/>
      <c r="BB326" s="38"/>
    </row>
    <row r="327" spans="1:54">
      <c r="A327" s="38" t="s">
        <v>3786</v>
      </c>
      <c r="B327" s="38" t="s">
        <v>3652</v>
      </c>
      <c r="C327" s="38"/>
      <c r="D327" s="38" t="s">
        <v>3399</v>
      </c>
      <c r="E327" s="38"/>
      <c r="F327" s="38"/>
      <c r="G327" s="38"/>
      <c r="H327" s="38" t="s">
        <v>3400</v>
      </c>
      <c r="I327" s="38" t="s">
        <v>3780</v>
      </c>
      <c r="J327" s="38"/>
      <c r="K327" s="38">
        <v>600</v>
      </c>
      <c r="L327" s="38"/>
      <c r="M327" s="38"/>
      <c r="N327" s="38">
        <v>76.45</v>
      </c>
      <c r="O327" s="38">
        <v>0.79</v>
      </c>
      <c r="P327" s="38">
        <v>2.93</v>
      </c>
      <c r="Q327" s="38">
        <v>18.32</v>
      </c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>
        <v>100</v>
      </c>
      <c r="AJ327" s="38"/>
      <c r="AK327" s="38"/>
      <c r="AL327" s="38"/>
      <c r="AM327" s="38"/>
      <c r="AN327" s="38"/>
      <c r="AO327" s="38"/>
      <c r="AP327" s="38"/>
      <c r="AQ327" s="38">
        <v>388.3</v>
      </c>
      <c r="AR327" s="38"/>
      <c r="AS327" s="38"/>
      <c r="AT327" s="38">
        <v>800</v>
      </c>
      <c r="AU327" s="38">
        <v>9100</v>
      </c>
      <c r="AV327" s="38">
        <v>2100</v>
      </c>
      <c r="AW327" s="38">
        <v>1500</v>
      </c>
      <c r="AX327" s="38">
        <v>1100</v>
      </c>
      <c r="AY327" s="38">
        <v>500</v>
      </c>
      <c r="AZ327" s="38"/>
      <c r="BA327" s="38"/>
      <c r="BB327" s="38"/>
    </row>
    <row r="328" spans="1:54">
      <c r="A328" s="38" t="s">
        <v>3787</v>
      </c>
      <c r="B328" s="38" t="s">
        <v>1700</v>
      </c>
      <c r="C328" s="38" t="s">
        <v>3788</v>
      </c>
      <c r="D328" s="38" t="s">
        <v>3399</v>
      </c>
      <c r="E328" s="38" t="s">
        <v>3789</v>
      </c>
      <c r="F328" s="38"/>
      <c r="G328" s="38" t="s">
        <v>3790</v>
      </c>
      <c r="H328" s="38" t="s">
        <v>3400</v>
      </c>
      <c r="I328" s="38" t="s">
        <v>3791</v>
      </c>
      <c r="J328" s="38">
        <v>2.9</v>
      </c>
      <c r="K328" s="38">
        <v>400</v>
      </c>
      <c r="L328" s="38">
        <v>43.5</v>
      </c>
      <c r="M328" s="38"/>
      <c r="N328" s="38">
        <v>41.8</v>
      </c>
      <c r="O328" s="38">
        <v>3.2</v>
      </c>
      <c r="P328" s="38">
        <v>1</v>
      </c>
      <c r="Q328" s="38">
        <v>20.6</v>
      </c>
      <c r="R328" s="38">
        <v>7.5</v>
      </c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>
        <v>500</v>
      </c>
      <c r="AD328" s="38"/>
      <c r="AE328" s="38"/>
      <c r="AF328" s="38"/>
      <c r="AG328" s="38"/>
      <c r="AH328" s="38"/>
      <c r="AI328" s="38">
        <v>2100</v>
      </c>
      <c r="AJ328" s="38"/>
      <c r="AK328" s="38"/>
      <c r="AL328" s="38"/>
      <c r="AM328" s="38"/>
      <c r="AN328" s="38"/>
      <c r="AO328" s="38"/>
      <c r="AP328" s="38">
        <v>53.6</v>
      </c>
      <c r="AQ328" s="38">
        <v>5.7</v>
      </c>
      <c r="AR328" s="38" t="s">
        <v>3792</v>
      </c>
      <c r="AS328" s="38"/>
      <c r="AT328" s="38">
        <v>61000</v>
      </c>
      <c r="AU328" s="38">
        <v>55000</v>
      </c>
      <c r="AV328" s="38">
        <v>30000</v>
      </c>
      <c r="AW328" s="38">
        <v>31000</v>
      </c>
      <c r="AX328" s="38"/>
      <c r="AY328" s="38"/>
      <c r="AZ328" s="38" t="s">
        <v>3793</v>
      </c>
      <c r="BA328" s="38"/>
      <c r="BB328" s="38"/>
    </row>
    <row r="329" spans="1:54">
      <c r="A329" s="38" t="s">
        <v>3794</v>
      </c>
      <c r="B329" s="38" t="s">
        <v>1700</v>
      </c>
      <c r="C329" s="38" t="s">
        <v>3788</v>
      </c>
      <c r="D329" s="38" t="s">
        <v>3399</v>
      </c>
      <c r="E329" s="38" t="s">
        <v>3789</v>
      </c>
      <c r="F329" s="38"/>
      <c r="G329" s="38" t="s">
        <v>3790</v>
      </c>
      <c r="H329" s="38" t="s">
        <v>3400</v>
      </c>
      <c r="I329" s="38" t="s">
        <v>3791</v>
      </c>
      <c r="J329" s="38">
        <v>4.4000000000000004</v>
      </c>
      <c r="K329" s="38">
        <v>500</v>
      </c>
      <c r="L329" s="38">
        <v>45.8</v>
      </c>
      <c r="M329" s="38"/>
      <c r="N329" s="38">
        <v>41.8</v>
      </c>
      <c r="O329" s="38">
        <v>2.6</v>
      </c>
      <c r="P329" s="38">
        <v>1</v>
      </c>
      <c r="Q329" s="38">
        <v>18.399999999999999</v>
      </c>
      <c r="R329" s="38">
        <v>10.210000000000001</v>
      </c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>
        <v>500</v>
      </c>
      <c r="AD329" s="38"/>
      <c r="AE329" s="38"/>
      <c r="AF329" s="38"/>
      <c r="AG329" s="38"/>
      <c r="AH329" s="38"/>
      <c r="AI329" s="38">
        <v>2100</v>
      </c>
      <c r="AJ329" s="38"/>
      <c r="AK329" s="38"/>
      <c r="AL329" s="38"/>
      <c r="AM329" s="38"/>
      <c r="AN329" s="38"/>
      <c r="AO329" s="38"/>
      <c r="AP329" s="38">
        <v>49.8</v>
      </c>
      <c r="AQ329" s="38">
        <v>3.9</v>
      </c>
      <c r="AR329" s="38" t="s">
        <v>3792</v>
      </c>
      <c r="AS329" s="38"/>
      <c r="AT329" s="38">
        <v>69000</v>
      </c>
      <c r="AU329" s="38">
        <v>57000</v>
      </c>
      <c r="AV329" s="38">
        <v>34000</v>
      </c>
      <c r="AW329" s="38">
        <v>27000</v>
      </c>
      <c r="AX329" s="38"/>
      <c r="AY329" s="38"/>
      <c r="AZ329" s="38" t="s">
        <v>3793</v>
      </c>
      <c r="BA329" s="38"/>
      <c r="BB329" s="38"/>
    </row>
    <row r="330" spans="1:54">
      <c r="A330" s="38" t="s">
        <v>3795</v>
      </c>
      <c r="B330" s="38" t="s">
        <v>1700</v>
      </c>
      <c r="C330" s="38" t="s">
        <v>3788</v>
      </c>
      <c r="D330" s="38" t="s">
        <v>3399</v>
      </c>
      <c r="E330" s="38" t="s">
        <v>3789</v>
      </c>
      <c r="F330" s="38"/>
      <c r="G330" s="38" t="s">
        <v>3790</v>
      </c>
      <c r="H330" s="38" t="s">
        <v>3400</v>
      </c>
      <c r="I330" s="38" t="s">
        <v>3791</v>
      </c>
      <c r="J330" s="38">
        <v>4.8</v>
      </c>
      <c r="K330" s="38">
        <v>600</v>
      </c>
      <c r="L330" s="38">
        <v>47.5</v>
      </c>
      <c r="M330" s="38"/>
      <c r="N330" s="38">
        <v>41.1</v>
      </c>
      <c r="O330" s="38">
        <v>2.5</v>
      </c>
      <c r="P330" s="38">
        <v>0.8</v>
      </c>
      <c r="Q330" s="38">
        <v>17.600000000000001</v>
      </c>
      <c r="R330" s="38">
        <v>10.74</v>
      </c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>
        <v>500</v>
      </c>
      <c r="AD330" s="38"/>
      <c r="AE330" s="38"/>
      <c r="AF330" s="38"/>
      <c r="AG330" s="38"/>
      <c r="AH330" s="38"/>
      <c r="AI330" s="38">
        <v>2100</v>
      </c>
      <c r="AJ330" s="38"/>
      <c r="AK330" s="38"/>
      <c r="AL330" s="38"/>
      <c r="AM330" s="38"/>
      <c r="AN330" s="38"/>
      <c r="AO330" s="38"/>
      <c r="AP330" s="38">
        <v>47.7</v>
      </c>
      <c r="AQ330" s="38">
        <v>3.4</v>
      </c>
      <c r="AR330" s="38" t="s">
        <v>3792</v>
      </c>
      <c r="AS330" s="38"/>
      <c r="AT330" s="38">
        <v>69000</v>
      </c>
      <c r="AU330" s="38">
        <v>60000</v>
      </c>
      <c r="AV330" s="38">
        <v>34000</v>
      </c>
      <c r="AW330" s="38">
        <v>29000</v>
      </c>
      <c r="AX330" s="38"/>
      <c r="AY330" s="38"/>
      <c r="AZ330" s="38" t="s">
        <v>3793</v>
      </c>
      <c r="BA330" s="38"/>
      <c r="BB330" s="38"/>
    </row>
    <row r="331" spans="1:54">
      <c r="A331" s="38" t="s">
        <v>3796</v>
      </c>
      <c r="B331" s="38" t="s">
        <v>1700</v>
      </c>
      <c r="C331" s="38" t="s">
        <v>3788</v>
      </c>
      <c r="D331" s="38" t="s">
        <v>3399</v>
      </c>
      <c r="E331" s="38" t="s">
        <v>3789</v>
      </c>
      <c r="F331" s="38"/>
      <c r="G331" s="38" t="s">
        <v>3790</v>
      </c>
      <c r="H331" s="38" t="s">
        <v>3400</v>
      </c>
      <c r="I331" s="38" t="s">
        <v>3791</v>
      </c>
      <c r="J331" s="38">
        <v>2.5</v>
      </c>
      <c r="K331" s="38">
        <v>700</v>
      </c>
      <c r="L331" s="38">
        <v>52.8</v>
      </c>
      <c r="M331" s="38"/>
      <c r="N331" s="38">
        <v>43.9</v>
      </c>
      <c r="O331" s="38">
        <v>2</v>
      </c>
      <c r="P331" s="38">
        <v>0.9</v>
      </c>
      <c r="Q331" s="38">
        <v>14.9</v>
      </c>
      <c r="R331" s="38">
        <v>11.84</v>
      </c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>
        <v>500</v>
      </c>
      <c r="AD331" s="38"/>
      <c r="AE331" s="38"/>
      <c r="AF331" s="38"/>
      <c r="AG331" s="38"/>
      <c r="AH331" s="38"/>
      <c r="AI331" s="38">
        <v>3400</v>
      </c>
      <c r="AJ331" s="38"/>
      <c r="AK331" s="38"/>
      <c r="AL331" s="38"/>
      <c r="AM331" s="38"/>
      <c r="AN331" s="38"/>
      <c r="AO331" s="38"/>
      <c r="AP331" s="38">
        <v>44.7</v>
      </c>
      <c r="AQ331" s="38">
        <v>59</v>
      </c>
      <c r="AR331" s="38" t="s">
        <v>3792</v>
      </c>
      <c r="AS331" s="38"/>
      <c r="AT331" s="38">
        <v>75000</v>
      </c>
      <c r="AU331" s="38">
        <v>50000</v>
      </c>
      <c r="AV331" s="38">
        <v>34000</v>
      </c>
      <c r="AW331" s="38">
        <v>27000</v>
      </c>
      <c r="AX331" s="38"/>
      <c r="AY331" s="38"/>
      <c r="AZ331" s="38" t="s">
        <v>3793</v>
      </c>
      <c r="BA331" s="38"/>
      <c r="BB331" s="38"/>
    </row>
    <row r="332" spans="1:54">
      <c r="A332" s="38" t="s">
        <v>3797</v>
      </c>
      <c r="B332" s="38" t="s">
        <v>1700</v>
      </c>
      <c r="C332" s="38" t="s">
        <v>3788</v>
      </c>
      <c r="D332" s="38" t="s">
        <v>3399</v>
      </c>
      <c r="E332" s="38" t="s">
        <v>3789</v>
      </c>
      <c r="F332" s="38"/>
      <c r="G332" s="38" t="s">
        <v>3790</v>
      </c>
      <c r="H332" s="38" t="s">
        <v>3400</v>
      </c>
      <c r="I332" s="38" t="s">
        <v>3791</v>
      </c>
      <c r="J332" s="38">
        <v>2.6</v>
      </c>
      <c r="K332" s="38">
        <v>800</v>
      </c>
      <c r="L332" s="38">
        <v>51.8</v>
      </c>
      <c r="M332" s="38"/>
      <c r="N332" s="38">
        <v>42.1</v>
      </c>
      <c r="O332" s="38">
        <v>1.6</v>
      </c>
      <c r="P332" s="38">
        <v>1.1000000000000001</v>
      </c>
      <c r="Q332" s="38">
        <v>13.5</v>
      </c>
      <c r="R332" s="38">
        <v>11.44</v>
      </c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>
        <v>600</v>
      </c>
      <c r="AD332" s="38"/>
      <c r="AE332" s="38"/>
      <c r="AF332" s="38"/>
      <c r="AG332" s="38"/>
      <c r="AH332" s="38"/>
      <c r="AI332" s="38">
        <v>5000</v>
      </c>
      <c r="AJ332" s="38"/>
      <c r="AK332" s="38"/>
      <c r="AL332" s="38"/>
      <c r="AM332" s="38"/>
      <c r="AN332" s="38"/>
      <c r="AO332" s="38"/>
      <c r="AP332" s="38">
        <v>45.6</v>
      </c>
      <c r="AQ332" s="38">
        <v>63</v>
      </c>
      <c r="AR332" s="38" t="s">
        <v>3792</v>
      </c>
      <c r="AS332" s="38"/>
      <c r="AT332" s="38">
        <v>77000</v>
      </c>
      <c r="AU332" s="38">
        <v>53000</v>
      </c>
      <c r="AV332" s="38">
        <v>34000</v>
      </c>
      <c r="AW332" s="38">
        <v>27000</v>
      </c>
      <c r="AX332" s="38"/>
      <c r="AY332" s="38"/>
      <c r="AZ332" s="38" t="s">
        <v>3793</v>
      </c>
      <c r="BA332" s="38"/>
      <c r="BB332" s="38"/>
    </row>
    <row r="333" spans="1:54">
      <c r="A333" s="38" t="s">
        <v>3798</v>
      </c>
      <c r="B333" s="38" t="s">
        <v>3455</v>
      </c>
      <c r="C333" s="38"/>
      <c r="D333" s="38" t="s">
        <v>3351</v>
      </c>
      <c r="E333" s="38" t="s">
        <v>3799</v>
      </c>
      <c r="F333" s="38"/>
      <c r="G333" s="38" t="s">
        <v>3800</v>
      </c>
      <c r="H333" s="38" t="s">
        <v>3400</v>
      </c>
      <c r="I333" s="38" t="s">
        <v>3801</v>
      </c>
      <c r="J333" s="38"/>
      <c r="K333" s="38">
        <v>300</v>
      </c>
      <c r="L333" s="38">
        <v>0.3</v>
      </c>
      <c r="M333" s="38"/>
      <c r="N333" s="38">
        <v>54.1</v>
      </c>
      <c r="O333" s="38"/>
      <c r="P333" s="38">
        <v>5.9</v>
      </c>
      <c r="Q333" s="38"/>
      <c r="R333" s="38">
        <v>4.5</v>
      </c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>
        <v>78</v>
      </c>
      <c r="AQ333" s="38"/>
      <c r="AR333" s="38"/>
      <c r="AS333" s="38"/>
      <c r="AT333" s="38"/>
      <c r="AU333" s="38"/>
      <c r="AV333" s="38"/>
      <c r="AW333" s="38"/>
      <c r="AX333" s="38"/>
      <c r="AY333" s="38"/>
      <c r="AZ333" s="38"/>
      <c r="BA333" s="38"/>
      <c r="BB333" s="38"/>
    </row>
    <row r="334" spans="1:54">
      <c r="A334" s="38" t="s">
        <v>3802</v>
      </c>
      <c r="B334" s="38" t="s">
        <v>3455</v>
      </c>
      <c r="C334" s="38"/>
      <c r="D334" s="38" t="s">
        <v>3351</v>
      </c>
      <c r="E334" s="38" t="s">
        <v>3799</v>
      </c>
      <c r="F334" s="38"/>
      <c r="G334" s="38" t="s">
        <v>3803</v>
      </c>
      <c r="H334" s="38" t="s">
        <v>3400</v>
      </c>
      <c r="I334" s="38" t="s">
        <v>3801</v>
      </c>
      <c r="J334" s="38"/>
      <c r="K334" s="38">
        <v>300</v>
      </c>
      <c r="L334" s="38">
        <v>0.5</v>
      </c>
      <c r="M334" s="38"/>
      <c r="N334" s="38">
        <v>71.3</v>
      </c>
      <c r="O334" s="38"/>
      <c r="P334" s="38">
        <v>4.7</v>
      </c>
      <c r="Q334" s="38"/>
      <c r="R334" s="38">
        <v>5.7</v>
      </c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>
        <v>42.6</v>
      </c>
      <c r="AQ334" s="38">
        <v>6</v>
      </c>
      <c r="AR334" s="38" t="s">
        <v>3792</v>
      </c>
      <c r="AS334" s="38"/>
      <c r="AT334" s="38"/>
      <c r="AU334" s="38"/>
      <c r="AV334" s="38"/>
      <c r="AW334" s="38"/>
      <c r="AX334" s="38"/>
      <c r="AY334" s="38"/>
      <c r="AZ334" s="38"/>
      <c r="BA334" s="38"/>
      <c r="BB334" s="38"/>
    </row>
    <row r="335" spans="1:54">
      <c r="A335" s="38" t="s">
        <v>3804</v>
      </c>
      <c r="B335" s="38" t="s">
        <v>3455</v>
      </c>
      <c r="C335" s="38"/>
      <c r="D335" s="38" t="s">
        <v>3351</v>
      </c>
      <c r="E335" s="38" t="s">
        <v>3799</v>
      </c>
      <c r="F335" s="38"/>
      <c r="G335" s="38" t="s">
        <v>3800</v>
      </c>
      <c r="H335" s="38" t="s">
        <v>3400</v>
      </c>
      <c r="I335" s="38" t="s">
        <v>3801</v>
      </c>
      <c r="J335" s="38"/>
      <c r="K335" s="38">
        <v>450</v>
      </c>
      <c r="L335" s="38">
        <v>1</v>
      </c>
      <c r="M335" s="38"/>
      <c r="N335" s="38">
        <v>82.5</v>
      </c>
      <c r="O335" s="38"/>
      <c r="P335" s="38">
        <v>3.8</v>
      </c>
      <c r="Q335" s="38"/>
      <c r="R335" s="38">
        <v>6.6</v>
      </c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>
        <v>21.4</v>
      </c>
      <c r="AQ335" s="38">
        <v>4</v>
      </c>
      <c r="AR335" s="38" t="s">
        <v>3792</v>
      </c>
      <c r="AS335" s="38"/>
      <c r="AT335" s="38"/>
      <c r="AU335" s="38"/>
      <c r="AV335" s="38"/>
      <c r="AW335" s="38"/>
      <c r="AX335" s="38"/>
      <c r="AY335" s="38"/>
      <c r="AZ335" s="38"/>
      <c r="BA335" s="38"/>
      <c r="BB335" s="38"/>
    </row>
    <row r="336" spans="1:54">
      <c r="A336" s="38" t="s">
        <v>3805</v>
      </c>
      <c r="B336" s="38" t="s">
        <v>3455</v>
      </c>
      <c r="C336" s="38"/>
      <c r="D336" s="38" t="s">
        <v>3351</v>
      </c>
      <c r="E336" s="38" t="s">
        <v>3799</v>
      </c>
      <c r="F336" s="38"/>
      <c r="G336" s="38" t="s">
        <v>3803</v>
      </c>
      <c r="H336" s="38" t="s">
        <v>3400</v>
      </c>
      <c r="I336" s="38" t="s">
        <v>3801</v>
      </c>
      <c r="J336" s="38"/>
      <c r="K336" s="38">
        <v>450</v>
      </c>
      <c r="L336" s="38">
        <v>1.2</v>
      </c>
      <c r="M336" s="38"/>
      <c r="N336" s="38">
        <v>86.3</v>
      </c>
      <c r="O336" s="38"/>
      <c r="P336" s="38">
        <v>3.5</v>
      </c>
      <c r="Q336" s="38"/>
      <c r="R336" s="38">
        <v>6.7</v>
      </c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>
        <v>16.8</v>
      </c>
      <c r="AQ336" s="38">
        <v>23</v>
      </c>
      <c r="AR336" s="38" t="s">
        <v>3792</v>
      </c>
      <c r="AS336" s="38"/>
      <c r="AT336" s="38"/>
      <c r="AU336" s="38"/>
      <c r="AV336" s="38"/>
      <c r="AW336" s="38"/>
      <c r="AX336" s="38"/>
      <c r="AY336" s="38"/>
      <c r="AZ336" s="38"/>
      <c r="BA336" s="38"/>
      <c r="BB336" s="38"/>
    </row>
    <row r="337" spans="1:54">
      <c r="A337" s="38" t="s">
        <v>3806</v>
      </c>
      <c r="B337" s="38" t="s">
        <v>3455</v>
      </c>
      <c r="C337" s="38"/>
      <c r="D337" s="38" t="s">
        <v>3351</v>
      </c>
      <c r="E337" s="38" t="s">
        <v>3799</v>
      </c>
      <c r="F337" s="38"/>
      <c r="G337" s="38" t="s">
        <v>3800</v>
      </c>
      <c r="H337" s="38" t="s">
        <v>3400</v>
      </c>
      <c r="I337" s="38" t="s">
        <v>3801</v>
      </c>
      <c r="J337" s="38"/>
      <c r="K337" s="38">
        <v>600</v>
      </c>
      <c r="L337" s="38">
        <v>1.2</v>
      </c>
      <c r="M337" s="38"/>
      <c r="N337" s="38">
        <v>90</v>
      </c>
      <c r="O337" s="38"/>
      <c r="P337" s="38">
        <v>2.6</v>
      </c>
      <c r="Q337" s="38"/>
      <c r="R337" s="38">
        <v>6.7</v>
      </c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38"/>
      <c r="AP337" s="38">
        <v>8.1999999999999993</v>
      </c>
      <c r="AQ337" s="38">
        <v>196</v>
      </c>
      <c r="AR337" s="38" t="s">
        <v>3792</v>
      </c>
      <c r="AS337" s="38"/>
      <c r="AT337" s="38"/>
      <c r="AU337" s="38"/>
      <c r="AV337" s="38"/>
      <c r="AW337" s="38"/>
      <c r="AX337" s="38"/>
      <c r="AY337" s="38"/>
      <c r="AZ337" s="38"/>
      <c r="BA337" s="38"/>
      <c r="BB337" s="38"/>
    </row>
    <row r="338" spans="1:54">
      <c r="A338" s="38" t="s">
        <v>3807</v>
      </c>
      <c r="B338" s="38" t="s">
        <v>3455</v>
      </c>
      <c r="C338" s="38"/>
      <c r="D338" s="38" t="s">
        <v>3351</v>
      </c>
      <c r="E338" s="38" t="s">
        <v>3799</v>
      </c>
      <c r="F338" s="38"/>
      <c r="G338" s="38" t="s">
        <v>3803</v>
      </c>
      <c r="H338" s="38" t="s">
        <v>3400</v>
      </c>
      <c r="I338" s="38" t="s">
        <v>3801</v>
      </c>
      <c r="J338" s="38"/>
      <c r="K338" s="38">
        <v>600</v>
      </c>
      <c r="L338" s="38">
        <v>1.3</v>
      </c>
      <c r="M338" s="38"/>
      <c r="N338" s="38">
        <v>92.3</v>
      </c>
      <c r="O338" s="38"/>
      <c r="P338" s="38">
        <v>2.2999999999999998</v>
      </c>
      <c r="Q338" s="38"/>
      <c r="R338" s="38">
        <v>9.1</v>
      </c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>
        <v>6.4</v>
      </c>
      <c r="AQ338" s="38">
        <v>127</v>
      </c>
      <c r="AR338" s="38" t="s">
        <v>3792</v>
      </c>
      <c r="AS338" s="38"/>
      <c r="AT338" s="38"/>
      <c r="AU338" s="38"/>
      <c r="AV338" s="38"/>
      <c r="AW338" s="38"/>
      <c r="AX338" s="38"/>
      <c r="AY338" s="38"/>
      <c r="AZ338" s="38"/>
      <c r="BA338" s="38"/>
      <c r="BB338" s="38"/>
    </row>
    <row r="339" spans="1:54">
      <c r="A339" s="38" t="s">
        <v>3808</v>
      </c>
      <c r="B339" s="38" t="s">
        <v>3455</v>
      </c>
      <c r="C339" s="38"/>
      <c r="D339" s="38" t="s">
        <v>3351</v>
      </c>
      <c r="E339" s="38" t="s">
        <v>3799</v>
      </c>
      <c r="F339" s="38"/>
      <c r="G339" s="38" t="s">
        <v>3800</v>
      </c>
      <c r="H339" s="38" t="s">
        <v>3400</v>
      </c>
      <c r="I339" s="38" t="s">
        <v>3801</v>
      </c>
      <c r="J339" s="38"/>
      <c r="K339" s="38">
        <v>750</v>
      </c>
      <c r="L339" s="38">
        <v>1.1000000000000001</v>
      </c>
      <c r="M339" s="38"/>
      <c r="N339" s="38">
        <v>92.5</v>
      </c>
      <c r="O339" s="38"/>
      <c r="P339" s="38">
        <v>1.4</v>
      </c>
      <c r="Q339" s="38"/>
      <c r="R339" s="38">
        <v>10.199999999999999</v>
      </c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38"/>
      <c r="AP339" s="38">
        <v>2.6</v>
      </c>
      <c r="AQ339" s="38">
        <v>128</v>
      </c>
      <c r="AR339" s="38" t="s">
        <v>3792</v>
      </c>
      <c r="AS339" s="38"/>
      <c r="AT339" s="38"/>
      <c r="AU339" s="38"/>
      <c r="AV339" s="38"/>
      <c r="AW339" s="38"/>
      <c r="AX339" s="38"/>
      <c r="AY339" s="38"/>
      <c r="AZ339" s="38"/>
      <c r="BA339" s="38"/>
      <c r="BB339" s="38"/>
    </row>
    <row r="340" spans="1:54">
      <c r="A340" s="38" t="s">
        <v>3809</v>
      </c>
      <c r="B340" s="38" t="s">
        <v>3455</v>
      </c>
      <c r="C340" s="38"/>
      <c r="D340" s="38" t="s">
        <v>3351</v>
      </c>
      <c r="E340" s="38" t="s">
        <v>3799</v>
      </c>
      <c r="F340" s="38"/>
      <c r="G340" s="38" t="s">
        <v>3803</v>
      </c>
      <c r="H340" s="38" t="s">
        <v>3400</v>
      </c>
      <c r="I340" s="38" t="s">
        <v>3801</v>
      </c>
      <c r="J340" s="38"/>
      <c r="K340" s="38">
        <v>750</v>
      </c>
      <c r="L340" s="38"/>
      <c r="M340" s="38"/>
      <c r="N340" s="38">
        <v>92.5</v>
      </c>
      <c r="O340" s="38"/>
      <c r="P340" s="38">
        <v>1.1000000000000001</v>
      </c>
      <c r="Q340" s="38"/>
      <c r="R340" s="38">
        <v>10.4</v>
      </c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8">
        <v>2.6</v>
      </c>
      <c r="AQ340" s="38"/>
      <c r="AR340" s="38"/>
      <c r="AS340" s="38"/>
      <c r="AT340" s="38"/>
      <c r="AU340" s="38"/>
      <c r="AV340" s="38"/>
      <c r="AW340" s="38"/>
      <c r="AX340" s="38"/>
      <c r="AY340" s="38"/>
      <c r="AZ340" s="38"/>
      <c r="BA340" s="38"/>
      <c r="BB340" s="38"/>
    </row>
    <row r="341" spans="1:54">
      <c r="A341" s="38" t="s">
        <v>3810</v>
      </c>
      <c r="B341" s="38" t="s">
        <v>3409</v>
      </c>
      <c r="C341" s="38"/>
      <c r="D341" s="38" t="s">
        <v>3351</v>
      </c>
      <c r="E341" s="38" t="s">
        <v>3811</v>
      </c>
      <c r="F341" s="38"/>
      <c r="G341" s="38" t="s">
        <v>3800</v>
      </c>
      <c r="H341" s="38" t="s">
        <v>3400</v>
      </c>
      <c r="I341" s="38" t="s">
        <v>3801</v>
      </c>
      <c r="J341" s="38"/>
      <c r="K341" s="38">
        <v>300</v>
      </c>
      <c r="L341" s="38">
        <v>8</v>
      </c>
      <c r="M341" s="38"/>
      <c r="N341" s="38">
        <v>50.3</v>
      </c>
      <c r="O341" s="38"/>
      <c r="P341" s="38">
        <v>6.2</v>
      </c>
      <c r="Q341" s="38"/>
      <c r="R341" s="38">
        <v>6.1</v>
      </c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38"/>
      <c r="AP341" s="38">
        <v>76.3</v>
      </c>
      <c r="AQ341" s="38"/>
      <c r="AR341" s="38"/>
      <c r="AS341" s="38"/>
      <c r="AT341" s="38"/>
      <c r="AU341" s="38"/>
      <c r="AV341" s="38"/>
      <c r="AW341" s="38"/>
      <c r="AX341" s="38"/>
      <c r="AY341" s="38"/>
      <c r="AZ341" s="38"/>
      <c r="BA341" s="38"/>
      <c r="BB341" s="38"/>
    </row>
    <row r="342" spans="1:54">
      <c r="A342" s="38" t="s">
        <v>3812</v>
      </c>
      <c r="B342" s="38" t="s">
        <v>3409</v>
      </c>
      <c r="C342" s="38"/>
      <c r="D342" s="38" t="s">
        <v>3351</v>
      </c>
      <c r="E342" s="38" t="s">
        <v>3811</v>
      </c>
      <c r="F342" s="38"/>
      <c r="G342" s="38" t="s">
        <v>3803</v>
      </c>
      <c r="H342" s="38" t="s">
        <v>3400</v>
      </c>
      <c r="I342" s="38" t="s">
        <v>3801</v>
      </c>
      <c r="J342" s="38"/>
      <c r="K342" s="38">
        <v>300</v>
      </c>
      <c r="L342" s="38">
        <v>19.100000000000001</v>
      </c>
      <c r="M342" s="38"/>
      <c r="N342" s="38">
        <v>76.2</v>
      </c>
      <c r="O342" s="38"/>
      <c r="P342" s="38">
        <v>5</v>
      </c>
      <c r="Q342" s="38"/>
      <c r="R342" s="38">
        <v>9.4</v>
      </c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>
        <v>33.5</v>
      </c>
      <c r="AQ342" s="38"/>
      <c r="AR342" s="38"/>
      <c r="AS342" s="38"/>
      <c r="AT342" s="38"/>
      <c r="AU342" s="38"/>
      <c r="AV342" s="38"/>
      <c r="AW342" s="38"/>
      <c r="AX342" s="38"/>
      <c r="AY342" s="38"/>
      <c r="AZ342" s="38"/>
      <c r="BA342" s="38"/>
      <c r="BB342" s="38"/>
    </row>
    <row r="343" spans="1:54">
      <c r="A343" s="38" t="s">
        <v>3813</v>
      </c>
      <c r="B343" s="38" t="s">
        <v>3409</v>
      </c>
      <c r="C343" s="38"/>
      <c r="D343" s="38" t="s">
        <v>3351</v>
      </c>
      <c r="E343" s="38" t="s">
        <v>3811</v>
      </c>
      <c r="F343" s="38"/>
      <c r="G343" s="38" t="s">
        <v>3800</v>
      </c>
      <c r="H343" s="38" t="s">
        <v>3400</v>
      </c>
      <c r="I343" s="38" t="s">
        <v>3801</v>
      </c>
      <c r="J343" s="38"/>
      <c r="K343" s="38">
        <v>450</v>
      </c>
      <c r="L343" s="38">
        <v>22.4</v>
      </c>
      <c r="M343" s="38"/>
      <c r="N343" s="38">
        <v>84.1</v>
      </c>
      <c r="O343" s="38"/>
      <c r="P343" s="38">
        <v>3.6</v>
      </c>
      <c r="Q343" s="38"/>
      <c r="R343" s="38">
        <v>9.8000000000000007</v>
      </c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38"/>
      <c r="AP343" s="38">
        <v>19.399999999999999</v>
      </c>
      <c r="AQ343" s="38"/>
      <c r="AR343" s="38"/>
      <c r="AS343" s="38"/>
      <c r="AT343" s="38"/>
      <c r="AU343" s="38"/>
      <c r="AV343" s="38"/>
      <c r="AW343" s="38"/>
      <c r="AX343" s="38"/>
      <c r="AY343" s="38"/>
      <c r="AZ343" s="38"/>
      <c r="BA343" s="38"/>
      <c r="BB343" s="38"/>
    </row>
    <row r="344" spans="1:54">
      <c r="A344" s="38" t="s">
        <v>3814</v>
      </c>
      <c r="B344" s="38" t="s">
        <v>3409</v>
      </c>
      <c r="C344" s="38"/>
      <c r="D344" s="38" t="s">
        <v>3351</v>
      </c>
      <c r="E344" s="38" t="s">
        <v>3811</v>
      </c>
      <c r="F344" s="38"/>
      <c r="G344" s="38" t="s">
        <v>3803</v>
      </c>
      <c r="H344" s="38" t="s">
        <v>3400</v>
      </c>
      <c r="I344" s="38" t="s">
        <v>3801</v>
      </c>
      <c r="J344" s="38"/>
      <c r="K344" s="38">
        <v>450</v>
      </c>
      <c r="L344" s="38">
        <v>22.9</v>
      </c>
      <c r="M344" s="38"/>
      <c r="N344" s="38">
        <v>86.4</v>
      </c>
      <c r="O344" s="38"/>
      <c r="P344" s="38">
        <v>3.5</v>
      </c>
      <c r="Q344" s="38"/>
      <c r="R344" s="38">
        <v>10.1</v>
      </c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8">
        <v>15.9</v>
      </c>
      <c r="AQ344" s="38">
        <v>16</v>
      </c>
      <c r="AR344" s="38" t="s">
        <v>3792</v>
      </c>
      <c r="AS344" s="38"/>
      <c r="AT344" s="38"/>
      <c r="AU344" s="38"/>
      <c r="AV344" s="38"/>
      <c r="AW344" s="38"/>
      <c r="AX344" s="38"/>
      <c r="AY344" s="38"/>
      <c r="AZ344" s="38"/>
      <c r="BA344" s="38"/>
      <c r="BB344" s="38"/>
    </row>
    <row r="345" spans="1:54">
      <c r="A345" s="38" t="s">
        <v>3815</v>
      </c>
      <c r="B345" s="38" t="s">
        <v>3409</v>
      </c>
      <c r="C345" s="38"/>
      <c r="D345" s="38" t="s">
        <v>3351</v>
      </c>
      <c r="E345" s="38" t="s">
        <v>3811</v>
      </c>
      <c r="F345" s="38"/>
      <c r="G345" s="38" t="s">
        <v>3800</v>
      </c>
      <c r="H345" s="38" t="s">
        <v>3400</v>
      </c>
      <c r="I345" s="38" t="s">
        <v>3801</v>
      </c>
      <c r="J345" s="38"/>
      <c r="K345" s="38">
        <v>600</v>
      </c>
      <c r="L345" s="38">
        <v>24.5</v>
      </c>
      <c r="M345" s="38"/>
      <c r="N345" s="38">
        <v>90.1</v>
      </c>
      <c r="O345" s="38"/>
      <c r="P345" s="38">
        <v>2.4</v>
      </c>
      <c r="Q345" s="38"/>
      <c r="R345" s="38">
        <v>10.9</v>
      </c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>
        <v>8.8000000000000007</v>
      </c>
      <c r="AQ345" s="38"/>
      <c r="AR345" s="38"/>
      <c r="AS345" s="38"/>
      <c r="AT345" s="38"/>
      <c r="AU345" s="38"/>
      <c r="AV345" s="38"/>
      <c r="AW345" s="38"/>
      <c r="AX345" s="38"/>
      <c r="AY345" s="38"/>
      <c r="AZ345" s="38"/>
      <c r="BA345" s="38"/>
      <c r="BB345" s="38"/>
    </row>
    <row r="346" spans="1:54">
      <c r="A346" s="38" t="s">
        <v>3816</v>
      </c>
      <c r="B346" s="38" t="s">
        <v>3409</v>
      </c>
      <c r="C346" s="38"/>
      <c r="D346" s="38" t="s">
        <v>3351</v>
      </c>
      <c r="E346" s="38" t="s">
        <v>3811</v>
      </c>
      <c r="F346" s="38"/>
      <c r="G346" s="38" t="s">
        <v>3803</v>
      </c>
      <c r="H346" s="38" t="s">
        <v>3400</v>
      </c>
      <c r="I346" s="38" t="s">
        <v>3817</v>
      </c>
      <c r="J346" s="38"/>
      <c r="K346" s="38">
        <v>600</v>
      </c>
      <c r="L346" s="38">
        <v>24.5</v>
      </c>
      <c r="M346" s="38"/>
      <c r="N346" s="38">
        <v>90.3</v>
      </c>
      <c r="O346" s="38"/>
      <c r="P346" s="38">
        <v>2.1</v>
      </c>
      <c r="Q346" s="38"/>
      <c r="R346" s="38">
        <v>11.3</v>
      </c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>
        <v>7.4</v>
      </c>
      <c r="AQ346" s="38">
        <v>22</v>
      </c>
      <c r="AR346" s="38" t="s">
        <v>3792</v>
      </c>
      <c r="AS346" s="38"/>
      <c r="AT346" s="38"/>
      <c r="AU346" s="38"/>
      <c r="AV346" s="38"/>
      <c r="AW346" s="38"/>
      <c r="AX346" s="38"/>
      <c r="AY346" s="38"/>
      <c r="AZ346" s="38"/>
      <c r="BA346" s="38"/>
      <c r="BB346" s="38"/>
    </row>
    <row r="347" spans="1:54">
      <c r="A347" s="38" t="s">
        <v>3818</v>
      </c>
      <c r="B347" s="38" t="s">
        <v>3409</v>
      </c>
      <c r="C347" s="38"/>
      <c r="D347" s="38" t="s">
        <v>3351</v>
      </c>
      <c r="E347" s="38" t="s">
        <v>3811</v>
      </c>
      <c r="F347" s="38"/>
      <c r="G347" s="38" t="s">
        <v>3800</v>
      </c>
      <c r="H347" s="38" t="s">
        <v>3400</v>
      </c>
      <c r="I347" s="38" t="s">
        <v>3819</v>
      </c>
      <c r="J347" s="38"/>
      <c r="K347" s="38">
        <v>750</v>
      </c>
      <c r="L347" s="38">
        <v>26.2</v>
      </c>
      <c r="M347" s="38"/>
      <c r="N347" s="38">
        <v>92.2</v>
      </c>
      <c r="O347" s="38"/>
      <c r="P347" s="38">
        <v>1.6</v>
      </c>
      <c r="Q347" s="38"/>
      <c r="R347" s="38">
        <v>12.1</v>
      </c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>
        <v>4.2</v>
      </c>
      <c r="AQ347" s="38"/>
      <c r="AR347" s="38"/>
      <c r="AS347" s="38"/>
      <c r="AT347" s="38"/>
      <c r="AU347" s="38"/>
      <c r="AV347" s="38"/>
      <c r="AW347" s="38"/>
      <c r="AX347" s="38"/>
      <c r="AY347" s="38"/>
      <c r="AZ347" s="38"/>
      <c r="BA347" s="38"/>
      <c r="BB347" s="38"/>
    </row>
    <row r="348" spans="1:54">
      <c r="A348" s="38" t="s">
        <v>3820</v>
      </c>
      <c r="B348" s="38" t="s">
        <v>3409</v>
      </c>
      <c r="C348" s="38"/>
      <c r="D348" s="38" t="s">
        <v>3351</v>
      </c>
      <c r="E348" s="38" t="s">
        <v>3811</v>
      </c>
      <c r="F348" s="38"/>
      <c r="G348" s="38" t="s">
        <v>3803</v>
      </c>
      <c r="H348" s="38" t="s">
        <v>3400</v>
      </c>
      <c r="I348" s="38" t="s">
        <v>3801</v>
      </c>
      <c r="J348" s="38"/>
      <c r="K348" s="38">
        <v>750</v>
      </c>
      <c r="L348" s="38">
        <v>25.8</v>
      </c>
      <c r="M348" s="38"/>
      <c r="N348" s="38">
        <v>93.7</v>
      </c>
      <c r="O348" s="38"/>
      <c r="P348" s="38">
        <v>1.2</v>
      </c>
      <c r="Q348" s="38"/>
      <c r="R348" s="38">
        <v>11.9</v>
      </c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>
        <v>4.0999999999999996</v>
      </c>
      <c r="AQ348" s="38"/>
      <c r="AR348" s="38"/>
      <c r="AS348" s="38"/>
      <c r="AT348" s="38"/>
      <c r="AU348" s="38"/>
      <c r="AV348" s="38"/>
      <c r="AW348" s="38"/>
      <c r="AX348" s="38"/>
      <c r="AY348" s="38"/>
      <c r="AZ348" s="38"/>
      <c r="BA348" s="38"/>
      <c r="BB348" s="38"/>
    </row>
    <row r="349" spans="1:54">
      <c r="A349" s="38" t="s">
        <v>3821</v>
      </c>
      <c r="B349" s="38" t="s">
        <v>3652</v>
      </c>
      <c r="C349" s="38" t="s">
        <v>3822</v>
      </c>
      <c r="D349" s="38" t="s">
        <v>3399</v>
      </c>
      <c r="E349" s="38"/>
      <c r="F349" s="38"/>
      <c r="G349" s="38" t="s">
        <v>3800</v>
      </c>
      <c r="H349" s="38" t="s">
        <v>3400</v>
      </c>
      <c r="I349" s="38" t="s">
        <v>3801</v>
      </c>
      <c r="J349" s="38"/>
      <c r="K349" s="38">
        <v>300</v>
      </c>
      <c r="L349" s="38">
        <v>3.6</v>
      </c>
      <c r="M349" s="38"/>
      <c r="N349" s="38">
        <v>53.2</v>
      </c>
      <c r="O349" s="38"/>
      <c r="P349" s="38">
        <v>6.2</v>
      </c>
      <c r="Q349" s="38"/>
      <c r="R349" s="38">
        <v>7.4</v>
      </c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>
        <v>74.3</v>
      </c>
      <c r="AQ349" s="38"/>
      <c r="AR349" s="38"/>
      <c r="AS349" s="38"/>
      <c r="AT349" s="38"/>
      <c r="AU349" s="38"/>
      <c r="AV349" s="38"/>
      <c r="AW349" s="38"/>
      <c r="AX349" s="38"/>
      <c r="AY349" s="38"/>
      <c r="AZ349" s="38"/>
      <c r="BA349" s="38"/>
      <c r="BB349" s="38"/>
    </row>
    <row r="350" spans="1:54">
      <c r="A350" s="38" t="s">
        <v>3823</v>
      </c>
      <c r="B350" s="38" t="s">
        <v>3652</v>
      </c>
      <c r="C350" s="38" t="s">
        <v>3822</v>
      </c>
      <c r="D350" s="38" t="s">
        <v>3399</v>
      </c>
      <c r="E350" s="38"/>
      <c r="F350" s="38"/>
      <c r="G350" s="38" t="s">
        <v>3803</v>
      </c>
      <c r="H350" s="38" t="s">
        <v>3400</v>
      </c>
      <c r="I350" s="38" t="s">
        <v>3801</v>
      </c>
      <c r="J350" s="38"/>
      <c r="K350" s="38">
        <v>300</v>
      </c>
      <c r="L350" s="38">
        <v>6.8</v>
      </c>
      <c r="M350" s="38"/>
      <c r="N350" s="38">
        <v>69.3</v>
      </c>
      <c r="O350" s="38"/>
      <c r="P350" s="38">
        <v>5.4</v>
      </c>
      <c r="Q350" s="38"/>
      <c r="R350" s="38">
        <v>8.1</v>
      </c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>
        <v>48.6</v>
      </c>
      <c r="AQ350" s="38"/>
      <c r="AR350" s="38"/>
      <c r="AS350" s="38"/>
      <c r="AT350" s="38"/>
      <c r="AU350" s="38"/>
      <c r="AV350" s="38"/>
      <c r="AW350" s="38"/>
      <c r="AX350" s="38"/>
      <c r="AY350" s="38"/>
      <c r="AZ350" s="38"/>
      <c r="BA350" s="38"/>
      <c r="BB350" s="38"/>
    </row>
    <row r="351" spans="1:54">
      <c r="A351" s="38" t="s">
        <v>3824</v>
      </c>
      <c r="B351" s="38" t="s">
        <v>3652</v>
      </c>
      <c r="C351" s="38" t="s">
        <v>3822</v>
      </c>
      <c r="D351" s="38" t="s">
        <v>3399</v>
      </c>
      <c r="E351" s="38"/>
      <c r="F351" s="38"/>
      <c r="G351" s="38" t="s">
        <v>3800</v>
      </c>
      <c r="H351" s="38" t="s">
        <v>3400</v>
      </c>
      <c r="I351" s="38" t="s">
        <v>3801</v>
      </c>
      <c r="J351" s="38"/>
      <c r="K351" s="38">
        <v>450</v>
      </c>
      <c r="L351" s="38">
        <v>11.1</v>
      </c>
      <c r="M351" s="38"/>
      <c r="N351" s="38">
        <v>78.8</v>
      </c>
      <c r="O351" s="38"/>
      <c r="P351" s="38">
        <v>4.2</v>
      </c>
      <c r="Q351" s="38"/>
      <c r="R351" s="38">
        <v>9.6</v>
      </c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>
        <v>25.3</v>
      </c>
      <c r="AQ351" s="38"/>
      <c r="AR351" s="38"/>
      <c r="AS351" s="38"/>
      <c r="AT351" s="38"/>
      <c r="AU351" s="38"/>
      <c r="AV351" s="38"/>
      <c r="AW351" s="38"/>
      <c r="AX351" s="38"/>
      <c r="AY351" s="38"/>
      <c r="AZ351" s="38"/>
      <c r="BA351" s="38"/>
      <c r="BB351" s="38"/>
    </row>
    <row r="352" spans="1:54">
      <c r="A352" s="38" t="s">
        <v>3825</v>
      </c>
      <c r="B352" s="38" t="s">
        <v>3652</v>
      </c>
      <c r="C352" s="38" t="s">
        <v>3822</v>
      </c>
      <c r="D352" s="38" t="s">
        <v>3399</v>
      </c>
      <c r="E352" s="38"/>
      <c r="F352" s="38"/>
      <c r="G352" s="38" t="s">
        <v>3803</v>
      </c>
      <c r="H352" s="38" t="s">
        <v>3400</v>
      </c>
      <c r="I352" s="38" t="s">
        <v>3801</v>
      </c>
      <c r="J352" s="38"/>
      <c r="K352" s="38">
        <v>450</v>
      </c>
      <c r="L352" s="38">
        <v>12</v>
      </c>
      <c r="M352" s="38"/>
      <c r="N352" s="38">
        <v>82.9</v>
      </c>
      <c r="O352" s="38"/>
      <c r="P352" s="38">
        <v>3.5</v>
      </c>
      <c r="Q352" s="38"/>
      <c r="R352" s="38">
        <v>10</v>
      </c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>
        <v>18.5</v>
      </c>
      <c r="AQ352" s="38">
        <v>17</v>
      </c>
      <c r="AR352" s="38" t="s">
        <v>3792</v>
      </c>
      <c r="AS352" s="38"/>
      <c r="AT352" s="38"/>
      <c r="AU352" s="38"/>
      <c r="AV352" s="38"/>
      <c r="AW352" s="38"/>
      <c r="AX352" s="38"/>
      <c r="AY352" s="38"/>
      <c r="AZ352" s="38"/>
      <c r="BA352" s="38"/>
      <c r="BB352" s="38"/>
    </row>
    <row r="353" spans="1:54">
      <c r="A353" s="38" t="s">
        <v>3826</v>
      </c>
      <c r="B353" s="38" t="s">
        <v>3652</v>
      </c>
      <c r="C353" s="38" t="s">
        <v>3822</v>
      </c>
      <c r="D353" s="38" t="s">
        <v>3399</v>
      </c>
      <c r="E353" s="38"/>
      <c r="F353" s="38"/>
      <c r="G353" s="38" t="s">
        <v>3800</v>
      </c>
      <c r="H353" s="38" t="s">
        <v>3400</v>
      </c>
      <c r="I353" s="38" t="s">
        <v>3801</v>
      </c>
      <c r="J353" s="38"/>
      <c r="K353" s="38">
        <v>600</v>
      </c>
      <c r="L353" s="38">
        <v>13.2</v>
      </c>
      <c r="M353" s="38"/>
      <c r="N353" s="38">
        <v>87.7</v>
      </c>
      <c r="O353" s="38"/>
      <c r="P353" s="38">
        <v>2.2999999999999998</v>
      </c>
      <c r="Q353" s="38"/>
      <c r="R353" s="38">
        <v>10.4</v>
      </c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>
        <v>11.5</v>
      </c>
      <c r="AQ353" s="38"/>
      <c r="AR353" s="38"/>
      <c r="AS353" s="38"/>
      <c r="AT353" s="38"/>
      <c r="AU353" s="38"/>
      <c r="AV353" s="38"/>
      <c r="AW353" s="38"/>
      <c r="AX353" s="38"/>
      <c r="AY353" s="38"/>
      <c r="AZ353" s="38"/>
      <c r="BA353" s="38"/>
      <c r="BB353" s="38"/>
    </row>
    <row r="354" spans="1:54">
      <c r="A354" s="38" t="s">
        <v>3827</v>
      </c>
      <c r="B354" s="38" t="s">
        <v>3652</v>
      </c>
      <c r="C354" s="38" t="s">
        <v>3822</v>
      </c>
      <c r="D354" s="38" t="s">
        <v>3399</v>
      </c>
      <c r="E354" s="38"/>
      <c r="F354" s="38"/>
      <c r="G354" s="38" t="s">
        <v>3803</v>
      </c>
      <c r="H354" s="38" t="s">
        <v>3400</v>
      </c>
      <c r="I354" s="38" t="s">
        <v>3801</v>
      </c>
      <c r="J354" s="38"/>
      <c r="K354" s="38">
        <v>600</v>
      </c>
      <c r="L354" s="38">
        <v>13.4</v>
      </c>
      <c r="M354" s="38"/>
      <c r="N354" s="38">
        <v>88.4</v>
      </c>
      <c r="O354" s="38"/>
      <c r="P354" s="38">
        <v>2</v>
      </c>
      <c r="Q354" s="38"/>
      <c r="R354" s="38">
        <v>11.3</v>
      </c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38"/>
      <c r="AP354" s="38">
        <v>8.8000000000000007</v>
      </c>
      <c r="AQ354" s="38">
        <v>46</v>
      </c>
      <c r="AR354" s="38" t="s">
        <v>3792</v>
      </c>
      <c r="AS354" s="38"/>
      <c r="AT354" s="38"/>
      <c r="AU354" s="38"/>
      <c r="AV354" s="38"/>
      <c r="AW354" s="38"/>
      <c r="AX354" s="38"/>
      <c r="AY354" s="38"/>
      <c r="AZ354" s="38"/>
      <c r="BA354" s="38"/>
      <c r="BB354" s="38"/>
    </row>
    <row r="355" spans="1:54">
      <c r="A355" s="38" t="s">
        <v>3828</v>
      </c>
      <c r="B355" s="38" t="s">
        <v>3652</v>
      </c>
      <c r="C355" s="38" t="s">
        <v>3822</v>
      </c>
      <c r="D355" s="38" t="s">
        <v>3399</v>
      </c>
      <c r="E355" s="38"/>
      <c r="F355" s="38"/>
      <c r="G355" s="38" t="s">
        <v>3800</v>
      </c>
      <c r="H355" s="38" t="s">
        <v>3400</v>
      </c>
      <c r="I355" s="38" t="s">
        <v>3801</v>
      </c>
      <c r="J355" s="38"/>
      <c r="K355" s="38">
        <v>750</v>
      </c>
      <c r="L355" s="38">
        <v>13.9</v>
      </c>
      <c r="M355" s="38"/>
      <c r="N355" s="38">
        <v>87.5</v>
      </c>
      <c r="O355" s="38"/>
      <c r="P355" s="38">
        <v>1.5</v>
      </c>
      <c r="Q355" s="38"/>
      <c r="R355" s="38">
        <v>11.4</v>
      </c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38"/>
      <c r="AP355" s="38">
        <v>3.5</v>
      </c>
      <c r="AQ355" s="38"/>
      <c r="AR355" s="38"/>
      <c r="AS355" s="38"/>
      <c r="AT355" s="38"/>
      <c r="AU355" s="38"/>
      <c r="AV355" s="38"/>
      <c r="AW355" s="38"/>
      <c r="AX355" s="38"/>
      <c r="AY355" s="38"/>
      <c r="AZ355" s="38"/>
      <c r="BA355" s="38"/>
      <c r="BB355" s="38"/>
    </row>
    <row r="356" spans="1:54">
      <c r="A356" s="38" t="s">
        <v>3829</v>
      </c>
      <c r="B356" s="38" t="s">
        <v>3652</v>
      </c>
      <c r="C356" s="38" t="s">
        <v>3822</v>
      </c>
      <c r="D356" s="38" t="s">
        <v>3399</v>
      </c>
      <c r="E356" s="38"/>
      <c r="F356" s="38"/>
      <c r="G356" s="38" t="s">
        <v>3803</v>
      </c>
      <c r="H356" s="38" t="s">
        <v>3400</v>
      </c>
      <c r="I356" s="38" t="s">
        <v>3801</v>
      </c>
      <c r="J356" s="38"/>
      <c r="K356" s="38">
        <v>750</v>
      </c>
      <c r="L356" s="38">
        <v>13.4</v>
      </c>
      <c r="M356" s="38"/>
      <c r="N356" s="38">
        <v>93.2</v>
      </c>
      <c r="O356" s="38"/>
      <c r="P356" s="38">
        <v>1.3</v>
      </c>
      <c r="Q356" s="38"/>
      <c r="R356" s="38">
        <v>11.6</v>
      </c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38"/>
      <c r="AP356" s="38">
        <v>1.9</v>
      </c>
      <c r="AQ356" s="38"/>
      <c r="AR356" s="38"/>
      <c r="AS356" s="38"/>
      <c r="AT356" s="38"/>
      <c r="AU356" s="38"/>
      <c r="AV356" s="38"/>
      <c r="AW356" s="38"/>
      <c r="AX356" s="38"/>
      <c r="AY356" s="38"/>
      <c r="AZ356" s="38"/>
      <c r="BA356" s="38"/>
      <c r="BB356" s="38"/>
    </row>
    <row r="357" spans="1:54">
      <c r="A357" s="38" t="s">
        <v>3830</v>
      </c>
      <c r="B357" s="38" t="s">
        <v>2339</v>
      </c>
      <c r="C357" s="38"/>
      <c r="D357" s="38" t="s">
        <v>3351</v>
      </c>
      <c r="E357" s="38" t="s">
        <v>3811</v>
      </c>
      <c r="F357" s="38" t="s">
        <v>3831</v>
      </c>
      <c r="G357" s="38" t="s">
        <v>3800</v>
      </c>
      <c r="H357" s="38" t="s">
        <v>3400</v>
      </c>
      <c r="I357" s="38" t="s">
        <v>3801</v>
      </c>
      <c r="J357" s="38"/>
      <c r="K357" s="38">
        <v>300</v>
      </c>
      <c r="L357" s="38">
        <v>46.3</v>
      </c>
      <c r="M357" s="38"/>
      <c r="N357" s="38">
        <v>62.7</v>
      </c>
      <c r="O357" s="38"/>
      <c r="P357" s="38">
        <v>7.2</v>
      </c>
      <c r="Q357" s="38"/>
      <c r="R357" s="38">
        <v>4.9000000000000004</v>
      </c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>
        <v>70</v>
      </c>
      <c r="AQ357" s="38"/>
      <c r="AR357" s="38"/>
      <c r="AS357" s="38"/>
      <c r="AT357" s="38"/>
      <c r="AU357" s="38"/>
      <c r="AV357" s="38"/>
      <c r="AW357" s="38"/>
      <c r="AX357" s="38"/>
      <c r="AY357" s="38"/>
      <c r="AZ357" s="38"/>
      <c r="BA357" s="38"/>
      <c r="BB357" s="38"/>
    </row>
    <row r="358" spans="1:54">
      <c r="A358" s="38" t="s">
        <v>3832</v>
      </c>
      <c r="B358" s="38" t="s">
        <v>2339</v>
      </c>
      <c r="C358" s="38"/>
      <c r="D358" s="38" t="s">
        <v>3351</v>
      </c>
      <c r="E358" s="38" t="s">
        <v>3811</v>
      </c>
      <c r="F358" s="38" t="s">
        <v>3831</v>
      </c>
      <c r="G358" s="38" t="s">
        <v>3803</v>
      </c>
      <c r="H358" s="38" t="s">
        <v>3400</v>
      </c>
      <c r="I358" s="38" t="s">
        <v>3801</v>
      </c>
      <c r="J358" s="38"/>
      <c r="K358" s="38">
        <v>300</v>
      </c>
      <c r="L358" s="38">
        <v>55.8</v>
      </c>
      <c r="M358" s="38"/>
      <c r="N358" s="38">
        <v>69.5</v>
      </c>
      <c r="O358" s="38"/>
      <c r="P358" s="38">
        <v>6.9</v>
      </c>
      <c r="Q358" s="38"/>
      <c r="R358" s="38">
        <v>7.7</v>
      </c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>
        <v>55.2</v>
      </c>
      <c r="AQ358" s="38"/>
      <c r="AR358" s="38"/>
      <c r="AS358" s="38"/>
      <c r="AT358" s="38"/>
      <c r="AU358" s="38"/>
      <c r="AV358" s="38"/>
      <c r="AW358" s="38"/>
      <c r="AX358" s="38"/>
      <c r="AY358" s="38"/>
      <c r="AZ358" s="38"/>
      <c r="BA358" s="38"/>
      <c r="BB358" s="38"/>
    </row>
    <row r="359" spans="1:54">
      <c r="A359" s="38" t="s">
        <v>3833</v>
      </c>
      <c r="B359" s="38" t="s">
        <v>2339</v>
      </c>
      <c r="C359" s="38"/>
      <c r="D359" s="38" t="s">
        <v>3351</v>
      </c>
      <c r="E359" s="38" t="s">
        <v>3811</v>
      </c>
      <c r="F359" s="38" t="s">
        <v>3831</v>
      </c>
      <c r="G359" s="38" t="s">
        <v>3800</v>
      </c>
      <c r="H359" s="38" t="s">
        <v>3400</v>
      </c>
      <c r="I359" s="38" t="s">
        <v>3801</v>
      </c>
      <c r="J359" s="38"/>
      <c r="K359" s="38">
        <v>450</v>
      </c>
      <c r="L359" s="38">
        <v>68.599999999999994</v>
      </c>
      <c r="M359" s="38"/>
      <c r="N359" s="38">
        <v>74.5</v>
      </c>
      <c r="O359" s="38"/>
      <c r="P359" s="38">
        <v>4.5</v>
      </c>
      <c r="Q359" s="38"/>
      <c r="R359" s="38">
        <v>9.1</v>
      </c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>
        <v>27.5</v>
      </c>
      <c r="AQ359" s="38"/>
      <c r="AR359" s="38"/>
      <c r="AS359" s="38"/>
      <c r="AT359" s="38"/>
      <c r="AU359" s="38"/>
      <c r="AV359" s="38"/>
      <c r="AW359" s="38"/>
      <c r="AX359" s="38"/>
      <c r="AY359" s="38"/>
      <c r="AZ359" s="38"/>
      <c r="BA359" s="38"/>
      <c r="BB359" s="38"/>
    </row>
    <row r="360" spans="1:54">
      <c r="A360" s="38" t="s">
        <v>3834</v>
      </c>
      <c r="B360" s="38" t="s">
        <v>2339</v>
      </c>
      <c r="C360" s="38" t="s">
        <v>3822</v>
      </c>
      <c r="D360" s="38" t="s">
        <v>3351</v>
      </c>
      <c r="E360" s="38" t="s">
        <v>3811</v>
      </c>
      <c r="F360" s="38" t="s">
        <v>3831</v>
      </c>
      <c r="G360" s="38" t="s">
        <v>3803</v>
      </c>
      <c r="H360" s="38" t="s">
        <v>3400</v>
      </c>
      <c r="I360" s="38" t="s">
        <v>3801</v>
      </c>
      <c r="J360" s="38"/>
      <c r="K360" s="38">
        <v>450</v>
      </c>
      <c r="L360" s="38">
        <v>71.8</v>
      </c>
      <c r="M360" s="38"/>
      <c r="N360" s="38">
        <v>78.7</v>
      </c>
      <c r="O360" s="38"/>
      <c r="P360" s="38">
        <v>4</v>
      </c>
      <c r="Q360" s="38"/>
      <c r="R360" s="38">
        <v>9.3000000000000007</v>
      </c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>
        <v>19.100000000000001</v>
      </c>
      <c r="AQ360" s="38">
        <v>14</v>
      </c>
      <c r="AR360" s="38" t="s">
        <v>3792</v>
      </c>
      <c r="AS360" s="38"/>
      <c r="AT360" s="38"/>
      <c r="AU360" s="38"/>
      <c r="AV360" s="38"/>
      <c r="AW360" s="38"/>
      <c r="AX360" s="38"/>
      <c r="AY360" s="38"/>
      <c r="AZ360" s="38"/>
      <c r="BA360" s="38"/>
      <c r="BB360" s="38"/>
    </row>
    <row r="361" spans="1:54">
      <c r="A361" s="38" t="s">
        <v>3835</v>
      </c>
      <c r="B361" s="38" t="s">
        <v>2339</v>
      </c>
      <c r="C361" s="38"/>
      <c r="D361" s="38" t="s">
        <v>3351</v>
      </c>
      <c r="E361" s="38" t="s">
        <v>3811</v>
      </c>
      <c r="F361" s="38" t="s">
        <v>3831</v>
      </c>
      <c r="G361" s="38" t="s">
        <v>3800</v>
      </c>
      <c r="H361" s="38" t="s">
        <v>3400</v>
      </c>
      <c r="I361" s="38" t="s">
        <v>3801</v>
      </c>
      <c r="J361" s="38"/>
      <c r="K361" s="38">
        <v>600</v>
      </c>
      <c r="L361" s="38">
        <v>72.2</v>
      </c>
      <c r="M361" s="38"/>
      <c r="N361" s="38">
        <v>80.099999999999994</v>
      </c>
      <c r="O361" s="38"/>
      <c r="P361" s="38">
        <v>2.7</v>
      </c>
      <c r="Q361" s="38"/>
      <c r="R361" s="38">
        <v>11.1</v>
      </c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>
        <v>18.899999999999999</v>
      </c>
      <c r="AQ361" s="38"/>
      <c r="AR361" s="38"/>
      <c r="AS361" s="38"/>
      <c r="AT361" s="38"/>
      <c r="AU361" s="38"/>
      <c r="AV361" s="38"/>
      <c r="AW361" s="38"/>
      <c r="AX361" s="38"/>
      <c r="AY361" s="38"/>
      <c r="AZ361" s="38"/>
      <c r="BA361" s="38"/>
      <c r="BB361" s="38"/>
    </row>
    <row r="362" spans="1:54">
      <c r="A362" s="38" t="s">
        <v>3836</v>
      </c>
      <c r="B362" s="38" t="s">
        <v>2339</v>
      </c>
      <c r="C362" s="38"/>
      <c r="D362" s="38" t="s">
        <v>3351</v>
      </c>
      <c r="E362" s="38" t="s">
        <v>3811</v>
      </c>
      <c r="F362" s="38" t="s">
        <v>3831</v>
      </c>
      <c r="G362" s="38" t="s">
        <v>3803</v>
      </c>
      <c r="H362" s="38" t="s">
        <v>3400</v>
      </c>
      <c r="I362" s="38" t="s">
        <v>3801</v>
      </c>
      <c r="J362" s="38"/>
      <c r="K362" s="38">
        <v>600</v>
      </c>
      <c r="L362" s="38">
        <v>73</v>
      </c>
      <c r="M362" s="38"/>
      <c r="N362" s="38">
        <v>83.4</v>
      </c>
      <c r="O362" s="38"/>
      <c r="P362" s="38">
        <v>2</v>
      </c>
      <c r="Q362" s="38"/>
      <c r="R362" s="38">
        <v>11.9</v>
      </c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>
        <v>15.7</v>
      </c>
      <c r="AQ362" s="38">
        <v>19</v>
      </c>
      <c r="AR362" s="38" t="s">
        <v>3792</v>
      </c>
      <c r="AS362" s="38"/>
      <c r="AT362" s="38"/>
      <c r="AU362" s="38"/>
      <c r="AV362" s="38"/>
      <c r="AW362" s="38"/>
      <c r="AX362" s="38"/>
      <c r="AY362" s="38"/>
      <c r="AZ362" s="38"/>
      <c r="BA362" s="38"/>
      <c r="BB362" s="38"/>
    </row>
    <row r="363" spans="1:54">
      <c r="A363" s="38" t="s">
        <v>3837</v>
      </c>
      <c r="B363" s="38" t="s">
        <v>2339</v>
      </c>
      <c r="C363" s="38"/>
      <c r="D363" s="38" t="s">
        <v>3351</v>
      </c>
      <c r="E363" s="38" t="s">
        <v>3811</v>
      </c>
      <c r="F363" s="38" t="s">
        <v>3831</v>
      </c>
      <c r="G363" s="38" t="s">
        <v>3800</v>
      </c>
      <c r="H363" s="38" t="s">
        <v>3400</v>
      </c>
      <c r="I363" s="38" t="s">
        <v>3801</v>
      </c>
      <c r="J363" s="38"/>
      <c r="K363" s="38">
        <v>750</v>
      </c>
      <c r="L363" s="38">
        <v>74.8</v>
      </c>
      <c r="M363" s="38"/>
      <c r="N363" s="38">
        <v>86.4</v>
      </c>
      <c r="O363" s="38"/>
      <c r="P363" s="38">
        <v>1.5</v>
      </c>
      <c r="Q363" s="38"/>
      <c r="R363" s="38">
        <v>12.4</v>
      </c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>
        <v>10.1</v>
      </c>
      <c r="AQ363" s="38"/>
      <c r="AR363" s="38"/>
      <c r="AS363" s="38"/>
      <c r="AT363" s="38"/>
      <c r="AU363" s="38"/>
      <c r="AV363" s="38"/>
      <c r="AW363" s="38"/>
      <c r="AX363" s="38"/>
      <c r="AY363" s="38"/>
      <c r="AZ363" s="38"/>
      <c r="BA363" s="38"/>
      <c r="BB363" s="38"/>
    </row>
    <row r="364" spans="1:54">
      <c r="A364" s="38" t="s">
        <v>3838</v>
      </c>
      <c r="B364" s="38" t="s">
        <v>2339</v>
      </c>
      <c r="C364" s="38"/>
      <c r="D364" s="38" t="s">
        <v>3351</v>
      </c>
      <c r="E364" s="38" t="s">
        <v>3811</v>
      </c>
      <c r="F364" s="38" t="s">
        <v>3831</v>
      </c>
      <c r="G364" s="38" t="s">
        <v>3803</v>
      </c>
      <c r="H364" s="38" t="s">
        <v>3400</v>
      </c>
      <c r="I364" s="38" t="s">
        <v>3801</v>
      </c>
      <c r="J364" s="38"/>
      <c r="K364" s="38">
        <v>750</v>
      </c>
      <c r="L364" s="38">
        <v>76.400000000000006</v>
      </c>
      <c r="M364" s="38"/>
      <c r="N364" s="38">
        <v>90.6</v>
      </c>
      <c r="O364" s="38"/>
      <c r="P364" s="38">
        <v>1.4</v>
      </c>
      <c r="Q364" s="38"/>
      <c r="R364" s="38">
        <v>12.5</v>
      </c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38"/>
      <c r="AP364" s="38">
        <v>3.9</v>
      </c>
      <c r="AQ364" s="38"/>
      <c r="AR364" s="38"/>
      <c r="AS364" s="38"/>
      <c r="AT364" s="38"/>
      <c r="AU364" s="38"/>
      <c r="AV364" s="38"/>
      <c r="AW364" s="38"/>
      <c r="AX364" s="38"/>
      <c r="AY364" s="38"/>
      <c r="AZ364" s="38"/>
      <c r="BA364" s="38"/>
      <c r="BB364" s="38"/>
    </row>
    <row r="365" spans="1:54">
      <c r="A365" s="38" t="s">
        <v>3839</v>
      </c>
      <c r="B365" s="38" t="s">
        <v>3652</v>
      </c>
      <c r="C365" s="38" t="s">
        <v>3822</v>
      </c>
      <c r="D365" s="38" t="s">
        <v>3399</v>
      </c>
      <c r="E365" s="38"/>
      <c r="F365" s="38"/>
      <c r="G365" s="38" t="s">
        <v>3756</v>
      </c>
      <c r="H365" s="38" t="s">
        <v>3400</v>
      </c>
      <c r="I365" s="38" t="s">
        <v>3840</v>
      </c>
      <c r="J365" s="38"/>
      <c r="K365" s="38">
        <v>550</v>
      </c>
      <c r="L365" s="38"/>
      <c r="M365" s="38">
        <v>86.3</v>
      </c>
      <c r="N365" s="38"/>
      <c r="O365" s="38">
        <v>0.3</v>
      </c>
      <c r="P365" s="38"/>
      <c r="Q365" s="38"/>
      <c r="R365" s="38">
        <v>6.6</v>
      </c>
      <c r="S365" s="38">
        <v>0.1</v>
      </c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  <c r="AQ365" s="38"/>
      <c r="AR365" s="38"/>
      <c r="AS365" s="38"/>
      <c r="AT365" s="38"/>
      <c r="AU365" s="38"/>
      <c r="AV365" s="38"/>
      <c r="AW365" s="38"/>
      <c r="AX365" s="38"/>
      <c r="AY365" s="38"/>
      <c r="AZ365" s="38"/>
      <c r="BA365" s="38"/>
      <c r="BB365" s="38"/>
    </row>
    <row r="366" spans="1:54">
      <c r="A366" s="38" t="s">
        <v>3841</v>
      </c>
      <c r="B366" s="38" t="s">
        <v>3409</v>
      </c>
      <c r="C366" s="38"/>
      <c r="D366" s="38" t="s">
        <v>3399</v>
      </c>
      <c r="E366" s="38"/>
      <c r="F366" s="38"/>
      <c r="G366" s="38" t="s">
        <v>3756</v>
      </c>
      <c r="H366" s="38" t="s">
        <v>3400</v>
      </c>
      <c r="I366" s="38" t="s">
        <v>3842</v>
      </c>
      <c r="J366" s="38"/>
      <c r="K366" s="38">
        <v>525</v>
      </c>
      <c r="L366" s="38">
        <v>19.8</v>
      </c>
      <c r="M366" s="38"/>
      <c r="N366" s="38">
        <v>69.599999999999994</v>
      </c>
      <c r="O366" s="38">
        <v>1.5</v>
      </c>
      <c r="P366" s="38">
        <v>2.1</v>
      </c>
      <c r="Q366" s="38">
        <v>7.1</v>
      </c>
      <c r="R366" s="38">
        <v>10.1</v>
      </c>
      <c r="S366" s="38"/>
      <c r="T366" s="38">
        <v>0.113</v>
      </c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38"/>
      <c r="AP366" s="38"/>
      <c r="AQ366" s="38">
        <v>0.6</v>
      </c>
      <c r="AR366" s="38" t="s">
        <v>3792</v>
      </c>
      <c r="AS366" s="38"/>
      <c r="AT366" s="38"/>
      <c r="AU366" s="38"/>
      <c r="AV366" s="38"/>
      <c r="AW366" s="38"/>
      <c r="AX366" s="38"/>
      <c r="AY366" s="38"/>
      <c r="AZ366" s="38"/>
      <c r="BA366" s="38"/>
      <c r="BB366" s="38"/>
    </row>
    <row r="367" spans="1:54">
      <c r="A367" s="38" t="s">
        <v>3843</v>
      </c>
      <c r="B367" s="38" t="s">
        <v>3409</v>
      </c>
      <c r="C367" s="38"/>
      <c r="D367" s="38" t="s">
        <v>3399</v>
      </c>
      <c r="E367" s="38"/>
      <c r="F367" s="38"/>
      <c r="G367" s="38" t="s">
        <v>3844</v>
      </c>
      <c r="H367" s="38" t="s">
        <v>3400</v>
      </c>
      <c r="I367" s="38" t="s">
        <v>3842</v>
      </c>
      <c r="J367" s="38"/>
      <c r="K367" s="38">
        <v>525</v>
      </c>
      <c r="L367" s="38">
        <v>21.6</v>
      </c>
      <c r="M367" s="38"/>
      <c r="N367" s="38">
        <v>49.3</v>
      </c>
      <c r="O367" s="38">
        <v>1.2</v>
      </c>
      <c r="P367" s="38">
        <v>3.7</v>
      </c>
      <c r="Q367" s="38">
        <v>24.1</v>
      </c>
      <c r="R367" s="38">
        <v>6.8</v>
      </c>
      <c r="S367" s="38"/>
      <c r="T367" s="38">
        <v>2.3E-2</v>
      </c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  <c r="AQ367" s="38">
        <v>1.6</v>
      </c>
      <c r="AR367" s="38" t="s">
        <v>3792</v>
      </c>
      <c r="AS367" s="38"/>
      <c r="AT367" s="38"/>
      <c r="AU367" s="38"/>
      <c r="AV367" s="38"/>
      <c r="AW367" s="38"/>
      <c r="AX367" s="38"/>
      <c r="AY367" s="38"/>
      <c r="AZ367" s="38"/>
      <c r="BA367" s="38"/>
      <c r="BB367" s="38"/>
    </row>
    <row r="368" spans="1:54">
      <c r="A368" s="38" t="s">
        <v>3744</v>
      </c>
      <c r="B368" s="38" t="s">
        <v>3409</v>
      </c>
      <c r="C368" s="38"/>
      <c r="D368" s="38" t="s">
        <v>3399</v>
      </c>
      <c r="E368" s="38"/>
      <c r="F368" s="38"/>
      <c r="G368" s="38" t="s">
        <v>3844</v>
      </c>
      <c r="H368" s="38" t="s">
        <v>3400</v>
      </c>
      <c r="I368" s="38" t="s">
        <v>3842</v>
      </c>
      <c r="J368" s="38"/>
      <c r="K368" s="38">
        <v>550</v>
      </c>
      <c r="L368" s="38">
        <v>26.4</v>
      </c>
      <c r="M368" s="38"/>
      <c r="N368" s="38">
        <v>49.6</v>
      </c>
      <c r="O368" s="38">
        <v>1.1000000000000001</v>
      </c>
      <c r="P368" s="38">
        <v>2.9</v>
      </c>
      <c r="Q368" s="38">
        <v>20</v>
      </c>
      <c r="R368" s="38">
        <v>7.1</v>
      </c>
      <c r="S368" s="38"/>
      <c r="T368" s="38">
        <v>1.2E-2</v>
      </c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  <c r="AQ368" s="38">
        <v>2.4</v>
      </c>
      <c r="AR368" s="38" t="s">
        <v>3792</v>
      </c>
      <c r="AS368" s="38"/>
      <c r="AT368" s="38"/>
      <c r="AU368" s="38"/>
      <c r="AV368" s="38"/>
      <c r="AW368" s="38"/>
      <c r="AX368" s="38"/>
      <c r="AY368" s="38"/>
      <c r="AZ368" s="38"/>
      <c r="BA368" s="38"/>
      <c r="BB368" s="38"/>
    </row>
    <row r="369" spans="1:54">
      <c r="A369" s="38" t="s">
        <v>3845</v>
      </c>
      <c r="B369" s="38" t="s">
        <v>3409</v>
      </c>
      <c r="C369" s="38" t="s">
        <v>3512</v>
      </c>
      <c r="D369" s="38" t="s">
        <v>3399</v>
      </c>
      <c r="E369" s="38" t="s">
        <v>3846</v>
      </c>
      <c r="F369" s="38"/>
      <c r="G369" s="38" t="s">
        <v>3756</v>
      </c>
      <c r="H369" s="38" t="s">
        <v>3400</v>
      </c>
      <c r="I369" s="38" t="s">
        <v>3847</v>
      </c>
      <c r="J369" s="38"/>
      <c r="K369" s="38">
        <v>250</v>
      </c>
      <c r="L369" s="38">
        <v>2.6</v>
      </c>
      <c r="M369" s="38"/>
      <c r="N369" s="38">
        <v>55.3</v>
      </c>
      <c r="O369" s="38">
        <v>0.43</v>
      </c>
      <c r="P369" s="38">
        <v>6</v>
      </c>
      <c r="Q369" s="38">
        <v>35.6</v>
      </c>
      <c r="R369" s="38">
        <v>5.4</v>
      </c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38"/>
      <c r="AP369" s="38">
        <v>74.400000000000006</v>
      </c>
      <c r="AQ369" s="38">
        <v>0.4</v>
      </c>
      <c r="AR369" s="38"/>
      <c r="AS369" s="38"/>
      <c r="AT369" s="38"/>
      <c r="AU369" s="38"/>
      <c r="AV369" s="38"/>
      <c r="AW369" s="38"/>
      <c r="AX369" s="38"/>
      <c r="AY369" s="38"/>
      <c r="AZ369" s="38"/>
      <c r="BA369" s="38"/>
      <c r="BB369" s="38"/>
    </row>
    <row r="370" spans="1:54">
      <c r="A370" s="38" t="s">
        <v>3848</v>
      </c>
      <c r="B370" s="38" t="s">
        <v>3409</v>
      </c>
      <c r="C370" s="38" t="s">
        <v>3512</v>
      </c>
      <c r="D370" s="38" t="s">
        <v>3399</v>
      </c>
      <c r="E370" s="38" t="s">
        <v>3846</v>
      </c>
      <c r="F370" s="38"/>
      <c r="G370" s="38" t="s">
        <v>3756</v>
      </c>
      <c r="H370" s="38" t="s">
        <v>3400</v>
      </c>
      <c r="I370" s="38" t="s">
        <v>3847</v>
      </c>
      <c r="J370" s="38"/>
      <c r="K370" s="38">
        <v>500</v>
      </c>
      <c r="L370" s="38">
        <v>7.8</v>
      </c>
      <c r="M370" s="38"/>
      <c r="N370" s="38">
        <v>84.4</v>
      </c>
      <c r="O370" s="38">
        <v>1.07</v>
      </c>
      <c r="P370" s="38">
        <v>2.4</v>
      </c>
      <c r="Q370" s="38">
        <v>4.3</v>
      </c>
      <c r="R370" s="38">
        <v>8</v>
      </c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38"/>
      <c r="AP370" s="38">
        <v>13.4</v>
      </c>
      <c r="AQ370" s="38">
        <v>62.2</v>
      </c>
      <c r="AR370" s="38"/>
      <c r="AS370" s="38"/>
      <c r="AT370" s="38"/>
      <c r="AU370" s="38"/>
      <c r="AV370" s="38"/>
      <c r="AW370" s="38"/>
      <c r="AX370" s="38"/>
      <c r="AY370" s="38"/>
      <c r="AZ370" s="38"/>
      <c r="BA370" s="38"/>
      <c r="BB370" s="38"/>
    </row>
    <row r="371" spans="1:54">
      <c r="A371" s="38" t="s">
        <v>3849</v>
      </c>
      <c r="B371" s="38" t="s">
        <v>3471</v>
      </c>
      <c r="C371" s="38" t="s">
        <v>3850</v>
      </c>
      <c r="D371" s="38" t="s">
        <v>3351</v>
      </c>
      <c r="E371" s="38" t="s">
        <v>3851</v>
      </c>
      <c r="F371" s="38" t="s">
        <v>3852</v>
      </c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38"/>
      <c r="AP371" s="38"/>
      <c r="AQ371" s="38"/>
      <c r="AR371" s="38"/>
      <c r="AS371" s="38"/>
      <c r="AT371" s="38"/>
      <c r="AU371" s="38"/>
      <c r="AV371" s="38"/>
      <c r="AW371" s="38"/>
      <c r="AX371" s="38"/>
      <c r="AY371" s="38"/>
      <c r="AZ371" s="38"/>
      <c r="BA371" s="38"/>
      <c r="BB371" s="38"/>
    </row>
    <row r="372" spans="1:54">
      <c r="A372" s="38" t="s">
        <v>3853</v>
      </c>
      <c r="B372" s="38" t="s">
        <v>3455</v>
      </c>
      <c r="C372" s="38" t="s">
        <v>3854</v>
      </c>
      <c r="D372" s="38" t="s">
        <v>3399</v>
      </c>
      <c r="E372" s="38"/>
      <c r="F372" s="38"/>
      <c r="G372" s="38" t="s">
        <v>3855</v>
      </c>
      <c r="H372" s="38" t="s">
        <v>3400</v>
      </c>
      <c r="I372" s="38" t="s">
        <v>3856</v>
      </c>
      <c r="J372" s="38"/>
      <c r="K372" s="38">
        <v>300</v>
      </c>
      <c r="L372" s="38">
        <v>4.5</v>
      </c>
      <c r="M372" s="38"/>
      <c r="N372" s="38">
        <v>63.9</v>
      </c>
      <c r="O372" s="38">
        <v>0.3</v>
      </c>
      <c r="P372" s="38">
        <v>5.4</v>
      </c>
      <c r="Q372" s="38">
        <v>30.4</v>
      </c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38"/>
      <c r="AP372" s="38"/>
      <c r="AQ372" s="38">
        <v>2.9</v>
      </c>
      <c r="AR372" s="38" t="s">
        <v>3857</v>
      </c>
      <c r="AS372" s="38"/>
      <c r="AT372" s="38"/>
      <c r="AU372" s="38"/>
      <c r="AV372" s="38"/>
      <c r="AW372" s="38"/>
      <c r="AX372" s="38"/>
      <c r="AY372" s="38"/>
      <c r="AZ372" s="38"/>
      <c r="BA372" s="38"/>
      <c r="BB372" s="38"/>
    </row>
    <row r="373" spans="1:54">
      <c r="A373" s="38" t="s">
        <v>3858</v>
      </c>
      <c r="B373" s="38" t="s">
        <v>3455</v>
      </c>
      <c r="C373" s="38" t="s">
        <v>3854</v>
      </c>
      <c r="D373" s="38" t="s">
        <v>3399</v>
      </c>
      <c r="E373" s="38"/>
      <c r="F373" s="38"/>
      <c r="G373" s="38" t="s">
        <v>3859</v>
      </c>
      <c r="H373" s="38" t="s">
        <v>3400</v>
      </c>
      <c r="I373" s="38" t="s">
        <v>3856</v>
      </c>
      <c r="J373" s="38"/>
      <c r="K373" s="38">
        <v>400</v>
      </c>
      <c r="L373" s="38">
        <v>7.9</v>
      </c>
      <c r="M373" s="38"/>
      <c r="N373" s="38">
        <v>70.7</v>
      </c>
      <c r="O373" s="38">
        <v>0.4</v>
      </c>
      <c r="P373" s="38">
        <v>5.4</v>
      </c>
      <c r="Q373" s="38">
        <v>30.4</v>
      </c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/>
      <c r="AQ373" s="38">
        <v>4.8</v>
      </c>
      <c r="AR373" s="38" t="s">
        <v>3857</v>
      </c>
      <c r="AS373" s="38"/>
      <c r="AT373" s="38"/>
      <c r="AU373" s="38"/>
      <c r="AV373" s="38"/>
      <c r="AW373" s="38"/>
      <c r="AX373" s="38"/>
      <c r="AY373" s="38"/>
      <c r="AZ373" s="38"/>
      <c r="BA373" s="38"/>
      <c r="BB373" s="38"/>
    </row>
    <row r="374" spans="1:54">
      <c r="A374" s="38" t="s">
        <v>3860</v>
      </c>
      <c r="B374" s="38" t="s">
        <v>3455</v>
      </c>
      <c r="C374" s="38" t="s">
        <v>3854</v>
      </c>
      <c r="D374" s="38" t="s">
        <v>3399</v>
      </c>
      <c r="E374" s="38"/>
      <c r="F374" s="38"/>
      <c r="G374" s="38" t="s">
        <v>3859</v>
      </c>
      <c r="H374" s="38" t="s">
        <v>3400</v>
      </c>
      <c r="I374" s="38" t="s">
        <v>3856</v>
      </c>
      <c r="J374" s="38"/>
      <c r="K374" s="38">
        <v>500</v>
      </c>
      <c r="L374" s="38">
        <v>7.7</v>
      </c>
      <c r="M374" s="38"/>
      <c r="N374" s="38">
        <v>90.5</v>
      </c>
      <c r="O374" s="38">
        <v>0.3</v>
      </c>
      <c r="P374" s="38">
        <v>2.5</v>
      </c>
      <c r="Q374" s="38">
        <v>6.7</v>
      </c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38"/>
      <c r="AP374" s="38"/>
      <c r="AQ374" s="38">
        <v>175.4</v>
      </c>
      <c r="AR374" s="38" t="s">
        <v>3857</v>
      </c>
      <c r="AS374" s="38"/>
      <c r="AT374" s="38"/>
      <c r="AU374" s="38"/>
      <c r="AV374" s="38"/>
      <c r="AW374" s="38"/>
      <c r="AX374" s="38"/>
      <c r="AY374" s="38"/>
      <c r="AZ374" s="38"/>
      <c r="BA374" s="38"/>
      <c r="BB374" s="38"/>
    </row>
    <row r="375" spans="1:54">
      <c r="A375" s="38" t="s">
        <v>3861</v>
      </c>
      <c r="B375" s="38" t="s">
        <v>3652</v>
      </c>
      <c r="C375" s="38" t="s">
        <v>3862</v>
      </c>
      <c r="D375" s="38" t="s">
        <v>3399</v>
      </c>
      <c r="E375" s="38" t="s">
        <v>3863</v>
      </c>
      <c r="F375" s="38"/>
      <c r="G375" s="38" t="s">
        <v>3756</v>
      </c>
      <c r="H375" s="38" t="s">
        <v>3400</v>
      </c>
      <c r="I375" s="38" t="s">
        <v>3864</v>
      </c>
      <c r="J375" s="38">
        <v>4.5</v>
      </c>
      <c r="K375" s="38">
        <v>300</v>
      </c>
      <c r="L375" s="38">
        <v>10.41</v>
      </c>
      <c r="M375" s="38"/>
      <c r="N375" s="38">
        <v>68.81</v>
      </c>
      <c r="O375" s="38">
        <v>1.88</v>
      </c>
      <c r="P375" s="38">
        <v>4.29</v>
      </c>
      <c r="Q375" s="38">
        <v>24.99</v>
      </c>
      <c r="R375" s="38">
        <v>7.27</v>
      </c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38"/>
      <c r="AP375" s="38"/>
      <c r="AQ375" s="38">
        <v>5.61</v>
      </c>
      <c r="AR375" s="38" t="s">
        <v>3865</v>
      </c>
      <c r="AS375" s="38"/>
      <c r="AT375" s="38"/>
      <c r="AU375" s="38"/>
      <c r="AV375" s="38"/>
      <c r="AW375" s="38"/>
      <c r="AX375" s="38"/>
      <c r="AY375" s="38"/>
      <c r="AZ375" s="38"/>
      <c r="BA375" s="38"/>
      <c r="BB375" s="38"/>
    </row>
    <row r="376" spans="1:54">
      <c r="A376" s="38" t="s">
        <v>3866</v>
      </c>
      <c r="B376" s="38" t="s">
        <v>3652</v>
      </c>
      <c r="C376" s="38" t="s">
        <v>3862</v>
      </c>
      <c r="D376" s="38" t="s">
        <v>3351</v>
      </c>
      <c r="E376" s="38" t="s">
        <v>3863</v>
      </c>
      <c r="F376" s="38"/>
      <c r="G376" s="38" t="s">
        <v>3756</v>
      </c>
      <c r="H376" s="38" t="s">
        <v>3400</v>
      </c>
      <c r="I376" s="38" t="s">
        <v>3864</v>
      </c>
      <c r="J376" s="38">
        <v>0.42</v>
      </c>
      <c r="K376" s="38">
        <v>700</v>
      </c>
      <c r="L376" s="38">
        <v>17.18</v>
      </c>
      <c r="M376" s="38"/>
      <c r="N376" s="38">
        <v>81.98</v>
      </c>
      <c r="O376" s="38">
        <v>1.3</v>
      </c>
      <c r="P376" s="38">
        <v>1.27</v>
      </c>
      <c r="Q376" s="38">
        <v>15.45</v>
      </c>
      <c r="R376" s="38">
        <v>11.32</v>
      </c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38"/>
      <c r="AP376" s="38"/>
      <c r="AQ376" s="38">
        <v>448.2</v>
      </c>
      <c r="AR376" s="38" t="s">
        <v>3865</v>
      </c>
      <c r="AS376" s="38"/>
      <c r="AT376" s="38"/>
      <c r="AU376" s="38"/>
      <c r="AV376" s="38"/>
      <c r="AW376" s="38"/>
      <c r="AX376" s="38"/>
      <c r="AY376" s="38"/>
      <c r="AZ376" s="38"/>
      <c r="BA376" s="38"/>
      <c r="BB376" s="38"/>
    </row>
    <row r="377" spans="1:54">
      <c r="A377" s="38" t="s">
        <v>3867</v>
      </c>
      <c r="B377" s="38" t="s">
        <v>3449</v>
      </c>
      <c r="C377" s="38" t="s">
        <v>3868</v>
      </c>
      <c r="D377" s="38" t="s">
        <v>3399</v>
      </c>
      <c r="E377" s="38" t="s">
        <v>3863</v>
      </c>
      <c r="F377" s="38"/>
      <c r="G377" s="38" t="s">
        <v>3756</v>
      </c>
      <c r="H377" s="38" t="s">
        <v>3400</v>
      </c>
      <c r="I377" s="38" t="s">
        <v>3864</v>
      </c>
      <c r="J377" s="38">
        <v>1.29</v>
      </c>
      <c r="K377" s="38">
        <v>300</v>
      </c>
      <c r="L377" s="38">
        <v>1.24</v>
      </c>
      <c r="M377" s="38"/>
      <c r="N377" s="38">
        <v>68.27</v>
      </c>
      <c r="O377" s="38">
        <v>1.91</v>
      </c>
      <c r="P377" s="38">
        <v>3.85</v>
      </c>
      <c r="Q377" s="38">
        <v>25.89</v>
      </c>
      <c r="R377" s="38">
        <v>7.76</v>
      </c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38"/>
      <c r="AP377" s="38"/>
      <c r="AQ377" s="38">
        <v>3.14</v>
      </c>
      <c r="AR377" s="38" t="s">
        <v>3865</v>
      </c>
      <c r="AS377" s="38"/>
      <c r="AT377" s="38"/>
      <c r="AU377" s="38"/>
      <c r="AV377" s="38"/>
      <c r="AW377" s="38"/>
      <c r="AX377" s="38"/>
      <c r="AY377" s="38"/>
      <c r="AZ377" s="38"/>
      <c r="BA377" s="38"/>
      <c r="BB377" s="38"/>
    </row>
    <row r="378" spans="1:54">
      <c r="A378" s="38" t="s">
        <v>3869</v>
      </c>
      <c r="B378" s="38" t="s">
        <v>3449</v>
      </c>
      <c r="C378" s="38" t="s">
        <v>3870</v>
      </c>
      <c r="D378" s="38" t="s">
        <v>3399</v>
      </c>
      <c r="E378" s="38" t="s">
        <v>3863</v>
      </c>
      <c r="F378" s="38"/>
      <c r="G378" s="38" t="s">
        <v>3756</v>
      </c>
      <c r="H378" s="38" t="s">
        <v>3400</v>
      </c>
      <c r="I378" s="38" t="s">
        <v>3864</v>
      </c>
      <c r="J378" s="38">
        <v>0.35</v>
      </c>
      <c r="K378" s="38">
        <v>700</v>
      </c>
      <c r="L378" s="38">
        <v>8.91</v>
      </c>
      <c r="M378" s="38"/>
      <c r="N378" s="38">
        <v>83.76</v>
      </c>
      <c r="O378" s="38">
        <v>1.1399999999999999</v>
      </c>
      <c r="P378" s="38">
        <v>1.75</v>
      </c>
      <c r="Q378" s="38">
        <v>13.34</v>
      </c>
      <c r="R378" s="38">
        <v>10.57</v>
      </c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38"/>
      <c r="AP378" s="38"/>
      <c r="AQ378" s="38">
        <v>448.2</v>
      </c>
      <c r="AR378" s="38" t="s">
        <v>3865</v>
      </c>
      <c r="AS378" s="38"/>
      <c r="AT378" s="38"/>
      <c r="AU378" s="38"/>
      <c r="AV378" s="38"/>
      <c r="AW378" s="38"/>
      <c r="AX378" s="38"/>
      <c r="AY378" s="38"/>
      <c r="AZ378" s="38"/>
      <c r="BA378" s="38"/>
      <c r="BB378" s="38"/>
    </row>
    <row r="379" spans="1:54">
      <c r="A379" s="38" t="s">
        <v>3871</v>
      </c>
      <c r="B379" s="38" t="s">
        <v>3455</v>
      </c>
      <c r="C379" s="38"/>
      <c r="D379" s="38" t="s">
        <v>3399</v>
      </c>
      <c r="E379" s="38" t="s">
        <v>3872</v>
      </c>
      <c r="F379" s="38"/>
      <c r="G379" s="38" t="s">
        <v>3873</v>
      </c>
      <c r="H379" s="38" t="s">
        <v>3400</v>
      </c>
      <c r="I379" s="38" t="s">
        <v>3874</v>
      </c>
      <c r="J379" s="38"/>
      <c r="K379" s="38">
        <v>350</v>
      </c>
      <c r="L379" s="38">
        <v>1.4</v>
      </c>
      <c r="M379" s="38"/>
      <c r="N379" s="38">
        <v>69.64</v>
      </c>
      <c r="O379" s="38">
        <v>0</v>
      </c>
      <c r="P379" s="38">
        <v>3.79</v>
      </c>
      <c r="Q379" s="38">
        <v>26.58</v>
      </c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38"/>
      <c r="AP379" s="38">
        <v>50.8</v>
      </c>
      <c r="AQ379" s="38"/>
      <c r="AR379" s="38"/>
      <c r="AS379" s="38"/>
      <c r="AT379" s="38"/>
      <c r="AU379" s="38"/>
      <c r="AV379" s="38"/>
      <c r="AW379" s="38"/>
      <c r="AX379" s="38"/>
      <c r="AY379" s="38"/>
      <c r="AZ379" s="38"/>
      <c r="BA379" s="38"/>
      <c r="BB379" s="38"/>
    </row>
    <row r="380" spans="1:54">
      <c r="A380" s="38" t="s">
        <v>3875</v>
      </c>
      <c r="B380" s="38" t="s">
        <v>3455</v>
      </c>
      <c r="C380" s="38"/>
      <c r="D380" s="38" t="s">
        <v>3399</v>
      </c>
      <c r="E380" s="38" t="s">
        <v>3872</v>
      </c>
      <c r="F380" s="38"/>
      <c r="G380" s="38" t="s">
        <v>3873</v>
      </c>
      <c r="H380" s="38" t="s">
        <v>3400</v>
      </c>
      <c r="I380" s="38" t="s">
        <v>3876</v>
      </c>
      <c r="J380" s="38"/>
      <c r="K380" s="38">
        <v>450</v>
      </c>
      <c r="L380" s="38">
        <v>2.9</v>
      </c>
      <c r="M380" s="38"/>
      <c r="N380" s="38">
        <v>79.86</v>
      </c>
      <c r="O380" s="38">
        <v>0</v>
      </c>
      <c r="P380" s="38">
        <v>2.68</v>
      </c>
      <c r="Q380" s="38">
        <v>17.47</v>
      </c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38"/>
      <c r="AP380" s="38">
        <v>34.9</v>
      </c>
      <c r="AQ380" s="38"/>
      <c r="AR380" s="38"/>
      <c r="AS380" s="38"/>
      <c r="AT380" s="38"/>
      <c r="AU380" s="38"/>
      <c r="AV380" s="38"/>
      <c r="AW380" s="38"/>
      <c r="AX380" s="38"/>
      <c r="AY380" s="38"/>
      <c r="AZ380" s="38"/>
      <c r="BA380" s="38"/>
      <c r="BB380" s="38"/>
    </row>
    <row r="381" spans="1:54">
      <c r="A381" s="38" t="s">
        <v>3877</v>
      </c>
      <c r="B381" s="38" t="s">
        <v>3455</v>
      </c>
      <c r="C381" s="38"/>
      <c r="D381" s="38" t="s">
        <v>3399</v>
      </c>
      <c r="E381" s="38" t="s">
        <v>3872</v>
      </c>
      <c r="F381" s="38"/>
      <c r="G381" s="38" t="s">
        <v>3873</v>
      </c>
      <c r="H381" s="38" t="s">
        <v>3400</v>
      </c>
      <c r="I381" s="38" t="s">
        <v>3876</v>
      </c>
      <c r="J381" s="38"/>
      <c r="K381" s="38">
        <v>550</v>
      </c>
      <c r="L381" s="38">
        <v>4.2</v>
      </c>
      <c r="M381" s="38"/>
      <c r="N381" s="38">
        <v>89.93</v>
      </c>
      <c r="O381" s="38">
        <v>0</v>
      </c>
      <c r="P381" s="38">
        <v>1.57</v>
      </c>
      <c r="Q381" s="38">
        <v>8.5</v>
      </c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38"/>
      <c r="AP381" s="38">
        <v>22</v>
      </c>
      <c r="AQ381" s="38"/>
      <c r="AR381" s="38"/>
      <c r="AS381" s="38"/>
      <c r="AT381" s="38"/>
      <c r="AU381" s="38"/>
      <c r="AV381" s="38"/>
      <c r="AW381" s="38"/>
      <c r="AX381" s="38"/>
      <c r="AY381" s="38"/>
      <c r="AZ381" s="38"/>
      <c r="BA381" s="38"/>
      <c r="BB381" s="38"/>
    </row>
    <row r="382" spans="1:54">
      <c r="A382" s="38" t="s">
        <v>3878</v>
      </c>
      <c r="B382" s="38" t="s">
        <v>3455</v>
      </c>
      <c r="C382" s="38"/>
      <c r="D382" s="38" t="s">
        <v>3399</v>
      </c>
      <c r="E382" s="38" t="s">
        <v>3872</v>
      </c>
      <c r="F382" s="38"/>
      <c r="G382" s="38" t="s">
        <v>3873</v>
      </c>
      <c r="H382" s="38" t="s">
        <v>3400</v>
      </c>
      <c r="I382" s="38" t="s">
        <v>3876</v>
      </c>
      <c r="J382" s="38"/>
      <c r="K382" s="38">
        <v>650</v>
      </c>
      <c r="L382" s="38">
        <v>5.9</v>
      </c>
      <c r="M382" s="38"/>
      <c r="N382" s="38">
        <v>94.61</v>
      </c>
      <c r="O382" s="38">
        <v>0</v>
      </c>
      <c r="P382" s="38">
        <v>1.97</v>
      </c>
      <c r="Q382" s="38">
        <v>3.42</v>
      </c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38"/>
      <c r="AP382" s="38">
        <v>15.2</v>
      </c>
      <c r="AQ382" s="38"/>
      <c r="AR382" s="38"/>
      <c r="AS382" s="38"/>
      <c r="AT382" s="38"/>
      <c r="AU382" s="38"/>
      <c r="AV382" s="38"/>
      <c r="AW382" s="38"/>
      <c r="AX382" s="38"/>
      <c r="AY382" s="38"/>
      <c r="AZ382" s="38"/>
      <c r="BA382" s="38"/>
      <c r="BB382" s="38"/>
    </row>
    <row r="383" spans="1:54">
      <c r="A383" s="38" t="s">
        <v>3879</v>
      </c>
      <c r="B383" s="38" t="s">
        <v>3455</v>
      </c>
      <c r="C383" s="38"/>
      <c r="D383" s="38" t="s">
        <v>3399</v>
      </c>
      <c r="E383" s="38" t="s">
        <v>3872</v>
      </c>
      <c r="F383" s="38"/>
      <c r="G383" s="38" t="s">
        <v>3880</v>
      </c>
      <c r="H383" s="38" t="s">
        <v>3400</v>
      </c>
      <c r="I383" s="38" t="s">
        <v>3876</v>
      </c>
      <c r="J383" s="38"/>
      <c r="K383" s="38">
        <v>350</v>
      </c>
      <c r="L383" s="38">
        <v>3.4</v>
      </c>
      <c r="M383" s="38"/>
      <c r="N383" s="38">
        <v>70.97</v>
      </c>
      <c r="O383" s="38">
        <v>1.37</v>
      </c>
      <c r="P383" s="38">
        <v>4.9400000000000004</v>
      </c>
      <c r="Q383" s="38">
        <v>22.73</v>
      </c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38"/>
      <c r="AP383" s="38">
        <v>38.700000000000003</v>
      </c>
      <c r="AQ383" s="38"/>
      <c r="AR383" s="38"/>
      <c r="AS383" s="38"/>
      <c r="AT383" s="38"/>
      <c r="AU383" s="38"/>
      <c r="AV383" s="38"/>
      <c r="AW383" s="38"/>
      <c r="AX383" s="38"/>
      <c r="AY383" s="38"/>
      <c r="AZ383" s="38"/>
      <c r="BA383" s="38"/>
      <c r="BB383" s="38"/>
    </row>
    <row r="384" spans="1:54">
      <c r="A384" s="38" t="s">
        <v>3881</v>
      </c>
      <c r="B384" s="38" t="s">
        <v>3455</v>
      </c>
      <c r="C384" s="38"/>
      <c r="D384" s="38" t="s">
        <v>3399</v>
      </c>
      <c r="E384" s="38" t="s">
        <v>3872</v>
      </c>
      <c r="F384" s="38"/>
      <c r="G384" s="38" t="s">
        <v>3880</v>
      </c>
      <c r="H384" s="38" t="s">
        <v>3400</v>
      </c>
      <c r="I384" s="38" t="s">
        <v>3876</v>
      </c>
      <c r="J384" s="38"/>
      <c r="K384" s="38">
        <v>450</v>
      </c>
      <c r="L384" s="38">
        <v>3.4</v>
      </c>
      <c r="M384" s="38"/>
      <c r="N384" s="38">
        <v>77.34</v>
      </c>
      <c r="O384" s="38">
        <v>1.01</v>
      </c>
      <c r="P384" s="38">
        <v>3.72</v>
      </c>
      <c r="Q384" s="38">
        <v>17.93</v>
      </c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38"/>
      <c r="AP384" s="38">
        <v>33</v>
      </c>
      <c r="AQ384" s="38"/>
      <c r="AR384" s="38"/>
      <c r="AS384" s="38"/>
      <c r="AT384" s="38"/>
      <c r="AU384" s="38"/>
      <c r="AV384" s="38"/>
      <c r="AW384" s="38"/>
      <c r="AX384" s="38"/>
      <c r="AY384" s="38"/>
      <c r="AZ384" s="38"/>
      <c r="BA384" s="38"/>
      <c r="BB384" s="38"/>
    </row>
    <row r="385" spans="1:54">
      <c r="A385" s="38" t="s">
        <v>3882</v>
      </c>
      <c r="B385" s="38" t="s">
        <v>3455</v>
      </c>
      <c r="C385" s="38"/>
      <c r="D385" s="38" t="s">
        <v>3399</v>
      </c>
      <c r="E385" s="38" t="s">
        <v>3872</v>
      </c>
      <c r="F385" s="38"/>
      <c r="G385" s="38" t="s">
        <v>3880</v>
      </c>
      <c r="H385" s="38" t="s">
        <v>3400</v>
      </c>
      <c r="I385" s="38" t="s">
        <v>3876</v>
      </c>
      <c r="J385" s="38"/>
      <c r="K385" s="38">
        <v>550</v>
      </c>
      <c r="L385" s="38">
        <v>0.7</v>
      </c>
      <c r="M385" s="38"/>
      <c r="N385" s="38">
        <v>82.32</v>
      </c>
      <c r="O385" s="38">
        <v>0.84</v>
      </c>
      <c r="P385" s="38">
        <v>2.96</v>
      </c>
      <c r="Q385" s="38">
        <v>13.88</v>
      </c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38"/>
      <c r="AP385" s="38">
        <v>21.6</v>
      </c>
      <c r="AQ385" s="38"/>
      <c r="AR385" s="38"/>
      <c r="AS385" s="38"/>
      <c r="AT385" s="38"/>
      <c r="AU385" s="38"/>
      <c r="AV385" s="38"/>
      <c r="AW385" s="38"/>
      <c r="AX385" s="38"/>
      <c r="AY385" s="38"/>
      <c r="AZ385" s="38"/>
      <c r="BA385" s="38"/>
      <c r="BB385" s="38"/>
    </row>
    <row r="386" spans="1:54">
      <c r="A386" s="38" t="s">
        <v>3883</v>
      </c>
      <c r="B386" s="38" t="s">
        <v>3455</v>
      </c>
      <c r="C386" s="38"/>
      <c r="D386" s="38" t="s">
        <v>3399</v>
      </c>
      <c r="E386" s="38" t="s">
        <v>3872</v>
      </c>
      <c r="F386" s="38"/>
      <c r="G386" s="38" t="s">
        <v>3880</v>
      </c>
      <c r="H386" s="38" t="s">
        <v>3400</v>
      </c>
      <c r="I386" s="38" t="s">
        <v>3876</v>
      </c>
      <c r="J386" s="38"/>
      <c r="K386" s="38">
        <v>650</v>
      </c>
      <c r="L386" s="38">
        <v>5</v>
      </c>
      <c r="M386" s="38"/>
      <c r="N386" s="38">
        <v>87.89</v>
      </c>
      <c r="O386" s="38">
        <v>1.47</v>
      </c>
      <c r="P386" s="38">
        <v>2.35</v>
      </c>
      <c r="Q386" s="38">
        <v>8.2899999999999991</v>
      </c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38"/>
      <c r="AP386" s="38">
        <v>13.4</v>
      </c>
      <c r="AQ386" s="38"/>
      <c r="AR386" s="38"/>
      <c r="AS386" s="38"/>
      <c r="AT386" s="38"/>
      <c r="AU386" s="38"/>
      <c r="AV386" s="38"/>
      <c r="AW386" s="38"/>
      <c r="AX386" s="38"/>
      <c r="AY386" s="38"/>
      <c r="AZ386" s="38"/>
      <c r="BA386" s="38"/>
      <c r="BB386" s="38"/>
    </row>
    <row r="387" spans="1:54">
      <c r="A387" s="38" t="s">
        <v>3884</v>
      </c>
      <c r="B387" s="38" t="s">
        <v>3652</v>
      </c>
      <c r="C387" s="38" t="s">
        <v>3885</v>
      </c>
      <c r="D387" s="38" t="s">
        <v>3399</v>
      </c>
      <c r="E387" s="38"/>
      <c r="F387" s="38"/>
      <c r="G387" s="38" t="s">
        <v>3886</v>
      </c>
      <c r="H387" s="38" t="s">
        <v>3400</v>
      </c>
      <c r="I387" s="38" t="s">
        <v>3887</v>
      </c>
      <c r="J387" s="38">
        <v>1.32</v>
      </c>
      <c r="K387" s="38">
        <v>250</v>
      </c>
      <c r="L387" s="38">
        <v>3.92</v>
      </c>
      <c r="M387" s="38"/>
      <c r="N387" s="38">
        <v>61.16</v>
      </c>
      <c r="O387" s="38">
        <v>0.82</v>
      </c>
      <c r="P387" s="38">
        <v>4.96</v>
      </c>
      <c r="Q387" s="38">
        <v>27.82</v>
      </c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38"/>
      <c r="AP387" s="38"/>
      <c r="AQ387" s="38">
        <v>1.86</v>
      </c>
      <c r="AR387" s="38" t="s">
        <v>3888</v>
      </c>
      <c r="AS387" s="38"/>
      <c r="AT387" s="38"/>
      <c r="AU387" s="38"/>
      <c r="AV387" s="38"/>
      <c r="AW387" s="38"/>
      <c r="AX387" s="38"/>
      <c r="AY387" s="38"/>
      <c r="AZ387" s="38"/>
      <c r="BA387" s="38"/>
      <c r="BB387" s="38"/>
    </row>
    <row r="388" spans="1:54">
      <c r="A388" s="38" t="s">
        <v>3889</v>
      </c>
      <c r="B388" s="38" t="s">
        <v>3652</v>
      </c>
      <c r="C388" s="38" t="s">
        <v>3885</v>
      </c>
      <c r="D388" s="38" t="s">
        <v>3399</v>
      </c>
      <c r="E388" s="38"/>
      <c r="F388" s="38"/>
      <c r="G388" s="38" t="s">
        <v>3886</v>
      </c>
      <c r="H388" s="38" t="s">
        <v>3400</v>
      </c>
      <c r="I388" s="38" t="s">
        <v>3887</v>
      </c>
      <c r="J388" s="38">
        <v>1.3</v>
      </c>
      <c r="K388" s="38">
        <v>300</v>
      </c>
      <c r="L388" s="38">
        <v>4.0999999999999996</v>
      </c>
      <c r="M388" s="38"/>
      <c r="N388" s="38">
        <v>70.540000000000006</v>
      </c>
      <c r="O388" s="38">
        <v>0.81</v>
      </c>
      <c r="P388" s="38">
        <v>4.1900000000000004</v>
      </c>
      <c r="Q388" s="38">
        <v>19.059999999999999</v>
      </c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38"/>
      <c r="AP388" s="38"/>
      <c r="AQ388" s="38">
        <v>2.42</v>
      </c>
      <c r="AR388" s="38" t="s">
        <v>3888</v>
      </c>
      <c r="AS388" s="38"/>
      <c r="AT388" s="38"/>
      <c r="AU388" s="38"/>
      <c r="AV388" s="38"/>
      <c r="AW388" s="38"/>
      <c r="AX388" s="38"/>
      <c r="AY388" s="38"/>
      <c r="AZ388" s="38"/>
      <c r="BA388" s="38"/>
      <c r="BB388" s="38"/>
    </row>
    <row r="389" spans="1:54">
      <c r="A389" s="38" t="s">
        <v>3890</v>
      </c>
      <c r="B389" s="38" t="s">
        <v>3652</v>
      </c>
      <c r="C389" s="38" t="s">
        <v>3891</v>
      </c>
      <c r="D389" s="38" t="s">
        <v>3399</v>
      </c>
      <c r="E389" s="38"/>
      <c r="F389" s="38"/>
      <c r="G389" s="38" t="s">
        <v>3756</v>
      </c>
      <c r="H389" s="38" t="s">
        <v>3400</v>
      </c>
      <c r="I389" s="38" t="s">
        <v>3887</v>
      </c>
      <c r="J389" s="38">
        <v>1.29</v>
      </c>
      <c r="K389" s="38">
        <v>350</v>
      </c>
      <c r="L389" s="38">
        <v>4.3499999999999996</v>
      </c>
      <c r="M389" s="38"/>
      <c r="N389" s="38">
        <v>72.92</v>
      </c>
      <c r="O389" s="38">
        <v>0.79</v>
      </c>
      <c r="P389" s="38">
        <v>3.79</v>
      </c>
      <c r="Q389" s="38">
        <v>16.86</v>
      </c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38"/>
      <c r="AP389" s="38"/>
      <c r="AQ389" s="38">
        <v>3.36</v>
      </c>
      <c r="AR389" s="38" t="s">
        <v>3888</v>
      </c>
      <c r="AS389" s="38"/>
      <c r="AT389" s="38"/>
      <c r="AU389" s="38"/>
      <c r="AV389" s="38"/>
      <c r="AW389" s="38"/>
      <c r="AX389" s="38"/>
      <c r="AY389" s="38"/>
      <c r="AZ389" s="38"/>
      <c r="BA389" s="38"/>
      <c r="BB389" s="38"/>
    </row>
    <row r="390" spans="1:54">
      <c r="A390" s="38" t="s">
        <v>3892</v>
      </c>
      <c r="B390" s="38" t="s">
        <v>3652</v>
      </c>
      <c r="C390" s="38" t="s">
        <v>3885</v>
      </c>
      <c r="D390" s="38" t="s">
        <v>3399</v>
      </c>
      <c r="E390" s="38"/>
      <c r="F390" s="38"/>
      <c r="G390" s="38" t="s">
        <v>3756</v>
      </c>
      <c r="H390" s="38" t="s">
        <v>3400</v>
      </c>
      <c r="I390" s="38" t="s">
        <v>3887</v>
      </c>
      <c r="J390" s="38">
        <v>1.35</v>
      </c>
      <c r="K390" s="38">
        <v>400</v>
      </c>
      <c r="L390" s="38">
        <v>5.12</v>
      </c>
      <c r="M390" s="38"/>
      <c r="N390" s="38">
        <v>75.23</v>
      </c>
      <c r="O390" s="38">
        <v>0.82</v>
      </c>
      <c r="P390" s="38">
        <v>3.37</v>
      </c>
      <c r="Q390" s="38">
        <v>14.11</v>
      </c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38"/>
      <c r="AP390" s="38"/>
      <c r="AQ390" s="38">
        <v>4.7</v>
      </c>
      <c r="AR390" s="38"/>
      <c r="AS390" s="38"/>
      <c r="AT390" s="38"/>
      <c r="AU390" s="38"/>
      <c r="AV390" s="38"/>
      <c r="AW390" s="38"/>
      <c r="AX390" s="38"/>
      <c r="AY390" s="38"/>
      <c r="AZ390" s="38"/>
      <c r="BA390" s="38"/>
      <c r="BB390" s="38"/>
    </row>
    <row r="391" spans="1:54">
      <c r="A391" s="38" t="s">
        <v>3893</v>
      </c>
      <c r="B391" s="38" t="s">
        <v>3652</v>
      </c>
      <c r="C391" s="38" t="s">
        <v>3891</v>
      </c>
      <c r="D391" s="38" t="s">
        <v>3399</v>
      </c>
      <c r="E391" s="38"/>
      <c r="F391" s="38"/>
      <c r="G391" s="38" t="s">
        <v>3756</v>
      </c>
      <c r="H391" s="38" t="s">
        <v>3400</v>
      </c>
      <c r="I391" s="38" t="s">
        <v>3887</v>
      </c>
      <c r="J391" s="38">
        <v>1.35</v>
      </c>
      <c r="K391" s="38">
        <v>450</v>
      </c>
      <c r="L391" s="38">
        <v>5.55</v>
      </c>
      <c r="M391" s="38"/>
      <c r="N391" s="38">
        <v>77.84</v>
      </c>
      <c r="O391" s="38">
        <v>0.86</v>
      </c>
      <c r="P391" s="38">
        <v>2.95</v>
      </c>
      <c r="Q391" s="38">
        <v>11.45</v>
      </c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38"/>
      <c r="AP391" s="38"/>
      <c r="AQ391" s="38">
        <v>7.79</v>
      </c>
      <c r="AR391" s="38" t="s">
        <v>3888</v>
      </c>
      <c r="AS391" s="38"/>
      <c r="AT391" s="38"/>
      <c r="AU391" s="38"/>
      <c r="AV391" s="38"/>
      <c r="AW391" s="38"/>
      <c r="AX391" s="38"/>
      <c r="AY391" s="38"/>
      <c r="AZ391" s="38"/>
      <c r="BA391" s="38"/>
      <c r="BB391" s="38"/>
    </row>
    <row r="392" spans="1:54">
      <c r="A392" s="38" t="s">
        <v>3894</v>
      </c>
      <c r="B392" s="38" t="s">
        <v>3652</v>
      </c>
      <c r="C392" s="38" t="s">
        <v>3885</v>
      </c>
      <c r="D392" s="38" t="s">
        <v>3399</v>
      </c>
      <c r="E392" s="38"/>
      <c r="F392" s="38"/>
      <c r="G392" s="38"/>
      <c r="H392" s="38" t="s">
        <v>3400</v>
      </c>
      <c r="I392" s="38" t="s">
        <v>3887</v>
      </c>
      <c r="J392" s="38">
        <v>1.25</v>
      </c>
      <c r="K392" s="38">
        <v>500</v>
      </c>
      <c r="L392" s="38">
        <v>5.56</v>
      </c>
      <c r="M392" s="38"/>
      <c r="N392" s="38">
        <v>80.849999999999994</v>
      </c>
      <c r="O392" s="38">
        <v>0.94</v>
      </c>
      <c r="P392" s="38">
        <v>2.5</v>
      </c>
      <c r="Q392" s="38">
        <v>8.8699999999999992</v>
      </c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38"/>
      <c r="AP392" s="38"/>
      <c r="AQ392" s="38">
        <v>17.079999999999998</v>
      </c>
      <c r="AR392" s="38" t="s">
        <v>3888</v>
      </c>
      <c r="AS392" s="38"/>
      <c r="AT392" s="38"/>
      <c r="AU392" s="38"/>
      <c r="AV392" s="38"/>
      <c r="AW392" s="38"/>
      <c r="AX392" s="38"/>
      <c r="AY392" s="38"/>
      <c r="AZ392" s="38"/>
      <c r="BA392" s="38"/>
      <c r="BB392" s="38"/>
    </row>
    <row r="393" spans="1:54">
      <c r="A393" s="38" t="s">
        <v>3895</v>
      </c>
      <c r="B393" s="38" t="s">
        <v>3652</v>
      </c>
      <c r="C393" s="38" t="s">
        <v>3891</v>
      </c>
      <c r="D393" s="38" t="s">
        <v>3399</v>
      </c>
      <c r="E393" s="38"/>
      <c r="F393" s="38"/>
      <c r="G393" s="38" t="s">
        <v>3756</v>
      </c>
      <c r="H393" s="38" t="s">
        <v>3400</v>
      </c>
      <c r="I393" s="38" t="s">
        <v>3887</v>
      </c>
      <c r="J393" s="38">
        <v>1.28</v>
      </c>
      <c r="K393" s="38">
        <v>550</v>
      </c>
      <c r="L393" s="38">
        <v>5.58</v>
      </c>
      <c r="M393" s="38"/>
      <c r="N393" s="38">
        <v>82.62</v>
      </c>
      <c r="O393" s="38">
        <v>0.84</v>
      </c>
      <c r="P393" s="38">
        <v>2.25</v>
      </c>
      <c r="Q393" s="38">
        <v>7.43</v>
      </c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38"/>
      <c r="AP393" s="38"/>
      <c r="AQ393" s="38">
        <v>30.57</v>
      </c>
      <c r="AR393" s="38" t="s">
        <v>3888</v>
      </c>
      <c r="AS393" s="38"/>
      <c r="AT393" s="38"/>
      <c r="AU393" s="38"/>
      <c r="AV393" s="38"/>
      <c r="AW393" s="38"/>
      <c r="AX393" s="38"/>
      <c r="AY393" s="38"/>
      <c r="AZ393" s="38"/>
      <c r="BA393" s="38"/>
      <c r="BB393" s="38"/>
    </row>
    <row r="394" spans="1:54">
      <c r="A394" s="38" t="s">
        <v>3896</v>
      </c>
      <c r="B394" s="38" t="s">
        <v>3463</v>
      </c>
      <c r="C394" s="38" t="s">
        <v>3897</v>
      </c>
      <c r="D394" s="38" t="s">
        <v>3351</v>
      </c>
      <c r="E394" s="38"/>
      <c r="F394" s="38" t="s">
        <v>3898</v>
      </c>
      <c r="G394" s="38" t="s">
        <v>3899</v>
      </c>
      <c r="H394" s="38" t="s">
        <v>3400</v>
      </c>
      <c r="I394" s="38" t="s">
        <v>3887</v>
      </c>
      <c r="J394" s="38">
        <v>4.5599999999999996</v>
      </c>
      <c r="K394" s="38">
        <v>750</v>
      </c>
      <c r="L394" s="38">
        <v>8.75</v>
      </c>
      <c r="M394" s="38"/>
      <c r="N394" s="38">
        <v>81.99</v>
      </c>
      <c r="O394" s="38">
        <v>0.52</v>
      </c>
      <c r="P394" s="38">
        <v>1.1399999999999999</v>
      </c>
      <c r="Q394" s="38">
        <v>3.04</v>
      </c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38"/>
      <c r="AP394" s="38"/>
      <c r="AQ394" s="38">
        <v>105.3</v>
      </c>
      <c r="AR394" s="38" t="s">
        <v>3888</v>
      </c>
      <c r="AS394" s="38"/>
      <c r="AT394" s="38"/>
      <c r="AU394" s="38"/>
      <c r="AV394" s="38"/>
      <c r="AW394" s="38"/>
      <c r="AX394" s="38"/>
      <c r="AY394" s="38"/>
      <c r="AZ394" s="38"/>
      <c r="BA394" s="38"/>
      <c r="BB394" s="38"/>
    </row>
    <row r="395" spans="1:54">
      <c r="A395" s="38" t="s">
        <v>3900</v>
      </c>
      <c r="B395" s="38" t="s">
        <v>3463</v>
      </c>
      <c r="C395" s="38" t="s">
        <v>3901</v>
      </c>
      <c r="D395" s="38" t="s">
        <v>3399</v>
      </c>
      <c r="E395" s="38"/>
      <c r="F395" s="38"/>
      <c r="G395" s="38" t="s">
        <v>3756</v>
      </c>
      <c r="H395" s="38" t="s">
        <v>3400</v>
      </c>
      <c r="I395" s="38" t="s">
        <v>3887</v>
      </c>
      <c r="J395" s="38">
        <v>1.69</v>
      </c>
      <c r="K395" s="38">
        <v>450</v>
      </c>
      <c r="L395" s="38">
        <v>10.23</v>
      </c>
      <c r="M395" s="38"/>
      <c r="N395" s="38">
        <v>70.44</v>
      </c>
      <c r="O395" s="38">
        <v>1.1100000000000001</v>
      </c>
      <c r="P395" s="38">
        <v>2.67</v>
      </c>
      <c r="Q395" s="38">
        <v>13.86</v>
      </c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38"/>
      <c r="AP395" s="38"/>
      <c r="AQ395" s="38">
        <v>12.96</v>
      </c>
      <c r="AR395" s="38" t="s">
        <v>3888</v>
      </c>
      <c r="AS395" s="38"/>
      <c r="AT395" s="38"/>
      <c r="AU395" s="38"/>
      <c r="AV395" s="38"/>
      <c r="AW395" s="38"/>
      <c r="AX395" s="38"/>
      <c r="AY395" s="38"/>
      <c r="AZ395" s="38"/>
      <c r="BA395" s="38"/>
      <c r="BB395" s="38"/>
    </row>
    <row r="396" spans="1:54">
      <c r="A396" s="38" t="s">
        <v>3902</v>
      </c>
      <c r="B396" s="38" t="s">
        <v>3424</v>
      </c>
      <c r="C396" s="38"/>
      <c r="D396" s="38" t="s">
        <v>3399</v>
      </c>
      <c r="E396" s="38"/>
      <c r="F396" s="38"/>
      <c r="G396" s="38" t="s">
        <v>3756</v>
      </c>
      <c r="H396" s="38" t="s">
        <v>3400</v>
      </c>
      <c r="I396" s="38" t="s">
        <v>3887</v>
      </c>
      <c r="J396" s="38">
        <v>1.28</v>
      </c>
      <c r="K396" s="38">
        <v>400</v>
      </c>
      <c r="L396" s="38">
        <v>20.75</v>
      </c>
      <c r="M396" s="38"/>
      <c r="N396" s="38">
        <v>55.98</v>
      </c>
      <c r="O396" s="38">
        <v>0.43</v>
      </c>
      <c r="P396" s="38">
        <v>3.4</v>
      </c>
      <c r="Q396" s="38">
        <v>18.16</v>
      </c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38"/>
      <c r="AP396" s="38"/>
      <c r="AQ396" s="38">
        <v>4.6900000000000004</v>
      </c>
      <c r="AR396" s="38" t="s">
        <v>3888</v>
      </c>
      <c r="AS396" s="38"/>
      <c r="AT396" s="38"/>
      <c r="AU396" s="38"/>
      <c r="AV396" s="38"/>
      <c r="AW396" s="38"/>
      <c r="AX396" s="38"/>
      <c r="AY396" s="38"/>
      <c r="AZ396" s="38"/>
      <c r="BA396" s="38"/>
      <c r="BB396" s="38"/>
    </row>
    <row r="397" spans="1:54">
      <c r="A397" s="38" t="s">
        <v>3903</v>
      </c>
      <c r="B397" s="38" t="s">
        <v>3652</v>
      </c>
      <c r="C397" s="38" t="s">
        <v>3904</v>
      </c>
      <c r="D397" s="38" t="s">
        <v>3399</v>
      </c>
      <c r="E397" s="38"/>
      <c r="F397" s="38"/>
      <c r="G397" s="38" t="s">
        <v>3756</v>
      </c>
      <c r="H397" s="38" t="s">
        <v>3400</v>
      </c>
      <c r="I397" s="38" t="s">
        <v>3905</v>
      </c>
      <c r="J397" s="38">
        <v>1.32</v>
      </c>
      <c r="K397" s="38">
        <v>400</v>
      </c>
      <c r="L397" s="38">
        <v>4.95</v>
      </c>
      <c r="M397" s="38"/>
      <c r="N397" s="38">
        <v>73.88</v>
      </c>
      <c r="O397" s="38">
        <v>1.33</v>
      </c>
      <c r="P397" s="38">
        <v>3.21</v>
      </c>
      <c r="Q397" s="38">
        <v>15.31</v>
      </c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38"/>
      <c r="AP397" s="38"/>
      <c r="AQ397" s="38">
        <v>17.920000000000002</v>
      </c>
      <c r="AR397" s="38" t="s">
        <v>3888</v>
      </c>
      <c r="AS397" s="38"/>
      <c r="AT397" s="38"/>
      <c r="AU397" s="38"/>
      <c r="AV397" s="38"/>
      <c r="AW397" s="38"/>
      <c r="AX397" s="38"/>
      <c r="AY397" s="38"/>
      <c r="AZ397" s="38"/>
      <c r="BA397" s="38"/>
      <c r="BB397" s="38"/>
    </row>
    <row r="398" spans="1:54">
      <c r="A398" s="38" t="s">
        <v>3906</v>
      </c>
      <c r="B398" s="38" t="s">
        <v>3424</v>
      </c>
      <c r="C398" s="38"/>
      <c r="D398" s="38" t="s">
        <v>3399</v>
      </c>
      <c r="E398" s="38"/>
      <c r="F398" s="38"/>
      <c r="G398" s="38" t="s">
        <v>3844</v>
      </c>
      <c r="H398" s="38" t="s">
        <v>3400</v>
      </c>
      <c r="I398" s="38" t="s">
        <v>3907</v>
      </c>
      <c r="J398" s="38"/>
      <c r="K398" s="38">
        <v>650</v>
      </c>
      <c r="L398" s="38"/>
      <c r="M398" s="38"/>
      <c r="N398" s="38">
        <v>74.2</v>
      </c>
      <c r="O398" s="38">
        <v>1.35</v>
      </c>
      <c r="P398" s="38"/>
      <c r="Q398" s="38"/>
      <c r="R398" s="38">
        <v>10.5</v>
      </c>
      <c r="S398" s="38">
        <v>3</v>
      </c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>
        <v>41.6</v>
      </c>
      <c r="AO398" s="38" t="s">
        <v>3908</v>
      </c>
      <c r="AP398" s="38">
        <v>20.6</v>
      </c>
      <c r="AQ398" s="38">
        <v>43.4</v>
      </c>
      <c r="AR398" s="38"/>
      <c r="AS398" s="38"/>
      <c r="AT398" s="38"/>
      <c r="AU398" s="38">
        <v>7820</v>
      </c>
      <c r="AV398" s="38">
        <v>5610</v>
      </c>
      <c r="AW398" s="38">
        <v>23500</v>
      </c>
      <c r="AX398" s="38"/>
      <c r="AY398" s="38"/>
      <c r="AZ398" s="38"/>
      <c r="BA398" s="38"/>
      <c r="BB398" s="38"/>
    </row>
    <row r="399" spans="1:54">
      <c r="A399" s="38" t="s">
        <v>3909</v>
      </c>
      <c r="B399" s="38" t="s">
        <v>3455</v>
      </c>
      <c r="C399" s="38" t="s">
        <v>3910</v>
      </c>
      <c r="D399" s="38" t="s">
        <v>3399</v>
      </c>
      <c r="E399" s="38"/>
      <c r="F399" s="38"/>
      <c r="G399" s="38" t="s">
        <v>3844</v>
      </c>
      <c r="H399" s="38"/>
      <c r="I399" s="38" t="s">
        <v>3907</v>
      </c>
      <c r="J399" s="38"/>
      <c r="K399" s="38">
        <v>650</v>
      </c>
      <c r="L399" s="38"/>
      <c r="M399" s="38"/>
      <c r="N399" s="38">
        <v>84.5</v>
      </c>
      <c r="O399" s="38">
        <v>0.48</v>
      </c>
      <c r="P399" s="38"/>
      <c r="Q399" s="38"/>
      <c r="R399" s="38">
        <v>7.85</v>
      </c>
      <c r="S399" s="38">
        <v>0.2</v>
      </c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>
        <v>32.5</v>
      </c>
      <c r="AO399" s="38" t="s">
        <v>3911</v>
      </c>
      <c r="AP399" s="38">
        <v>12.5</v>
      </c>
      <c r="AQ399" s="38">
        <v>52.1</v>
      </c>
      <c r="AR399" s="38" t="s">
        <v>3888</v>
      </c>
      <c r="AS399" s="38"/>
      <c r="AT399" s="38"/>
      <c r="AU399" s="38">
        <v>2620</v>
      </c>
      <c r="AV399" s="38">
        <v>860</v>
      </c>
      <c r="AW399" s="38">
        <v>1550</v>
      </c>
      <c r="AX399" s="38"/>
      <c r="AY399" s="38"/>
      <c r="AZ399" s="38"/>
      <c r="BA399" s="38"/>
      <c r="BB399" s="38"/>
    </row>
    <row r="400" spans="1:54">
      <c r="A400" s="38" t="s">
        <v>3912</v>
      </c>
      <c r="B400" s="38" t="s">
        <v>3409</v>
      </c>
      <c r="C400" s="38" t="s">
        <v>3512</v>
      </c>
      <c r="D400" s="38" t="s">
        <v>3399</v>
      </c>
      <c r="E400" s="38"/>
      <c r="F400" s="38"/>
      <c r="G400" s="38" t="s">
        <v>3844</v>
      </c>
      <c r="H400" s="38"/>
      <c r="I400" s="38" t="s">
        <v>3907</v>
      </c>
      <c r="J400" s="38"/>
      <c r="K400" s="38">
        <v>650</v>
      </c>
      <c r="L400" s="38"/>
      <c r="M400" s="38"/>
      <c r="N400" s="38">
        <v>76.3</v>
      </c>
      <c r="O400" s="38">
        <v>1.58</v>
      </c>
      <c r="P400" s="38"/>
      <c r="Q400" s="38"/>
      <c r="R400" s="38">
        <v>9.73</v>
      </c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>
        <v>43.1</v>
      </c>
      <c r="AO400" s="38" t="s">
        <v>3770</v>
      </c>
      <c r="AP400" s="38"/>
      <c r="AQ400" s="38">
        <v>48</v>
      </c>
      <c r="AR400" s="38" t="s">
        <v>3888</v>
      </c>
      <c r="AS400" s="38"/>
      <c r="AT400" s="38"/>
      <c r="AU400" s="38">
        <v>7040</v>
      </c>
      <c r="AV400" s="38">
        <v>5180</v>
      </c>
      <c r="AW400" s="38">
        <v>2920</v>
      </c>
      <c r="AX400" s="38"/>
      <c r="AY400" s="38"/>
      <c r="AZ400" s="38" t="s">
        <v>3913</v>
      </c>
      <c r="BA400" s="38"/>
      <c r="BB400" s="38"/>
    </row>
    <row r="401" spans="1:54">
      <c r="A401" s="38" t="s">
        <v>3914</v>
      </c>
      <c r="B401" s="38" t="s">
        <v>3652</v>
      </c>
      <c r="C401" s="38" t="s">
        <v>3915</v>
      </c>
      <c r="D401" s="38" t="s">
        <v>3399</v>
      </c>
      <c r="E401" s="38" t="s">
        <v>3916</v>
      </c>
      <c r="F401" s="38"/>
      <c r="G401" s="38" t="s">
        <v>3917</v>
      </c>
      <c r="H401" s="38" t="s">
        <v>3400</v>
      </c>
      <c r="I401" s="38" t="s">
        <v>3918</v>
      </c>
      <c r="J401" s="38"/>
      <c r="K401" s="38">
        <v>400</v>
      </c>
      <c r="L401" s="38">
        <v>7.5</v>
      </c>
      <c r="M401" s="38"/>
      <c r="N401" s="38">
        <v>68.760000000000005</v>
      </c>
      <c r="O401" s="38">
        <v>3.77</v>
      </c>
      <c r="P401" s="38">
        <v>4.07</v>
      </c>
      <c r="Q401" s="38">
        <v>23.49</v>
      </c>
      <c r="R401" s="38">
        <v>8.18</v>
      </c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38"/>
      <c r="AP401" s="38">
        <v>25.2</v>
      </c>
      <c r="AQ401" s="38">
        <v>2.67</v>
      </c>
      <c r="AR401" s="38" t="s">
        <v>3792</v>
      </c>
      <c r="AS401" s="38"/>
      <c r="AT401" s="38"/>
      <c r="AU401" s="38"/>
      <c r="AV401" s="38"/>
      <c r="AW401" s="38"/>
      <c r="AX401" s="38"/>
      <c r="AY401" s="38"/>
      <c r="AZ401" s="38"/>
      <c r="BA401" s="38"/>
      <c r="BB401" s="38"/>
    </row>
    <row r="402" spans="1:54">
      <c r="A402" s="38" t="s">
        <v>3919</v>
      </c>
      <c r="B402" s="38" t="s">
        <v>3652</v>
      </c>
      <c r="C402" s="38" t="s">
        <v>3920</v>
      </c>
      <c r="D402" s="38" t="s">
        <v>3399</v>
      </c>
      <c r="E402" s="38" t="s">
        <v>3916</v>
      </c>
      <c r="F402" s="38"/>
      <c r="G402" s="38" t="s">
        <v>3921</v>
      </c>
      <c r="H402" s="38" t="s">
        <v>3400</v>
      </c>
      <c r="I402" s="38" t="s">
        <v>3918</v>
      </c>
      <c r="J402" s="38"/>
      <c r="K402" s="38">
        <v>450</v>
      </c>
      <c r="L402" s="38">
        <v>8.1999999999999993</v>
      </c>
      <c r="M402" s="38"/>
      <c r="N402" s="38">
        <v>70.430000000000007</v>
      </c>
      <c r="O402" s="38">
        <v>3.69</v>
      </c>
      <c r="P402" s="38">
        <v>3.49</v>
      </c>
      <c r="Q402" s="38">
        <v>22.39</v>
      </c>
      <c r="R402" s="38">
        <v>8.18</v>
      </c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38"/>
      <c r="AP402" s="38">
        <v>20</v>
      </c>
      <c r="AQ402" s="38">
        <v>3.33</v>
      </c>
      <c r="AR402" s="38" t="s">
        <v>3792</v>
      </c>
      <c r="AS402" s="38"/>
      <c r="AT402" s="38"/>
      <c r="AU402" s="38"/>
      <c r="AV402" s="38"/>
      <c r="AW402" s="38"/>
      <c r="AX402" s="38"/>
      <c r="AY402" s="38"/>
      <c r="AZ402" s="38"/>
      <c r="BA402" s="38"/>
      <c r="BB402" s="38"/>
    </row>
    <row r="403" spans="1:54">
      <c r="A403" s="38" t="s">
        <v>3922</v>
      </c>
      <c r="B403" s="38" t="s">
        <v>3652</v>
      </c>
      <c r="C403" s="38" t="s">
        <v>3920</v>
      </c>
      <c r="D403" s="38" t="s">
        <v>3399</v>
      </c>
      <c r="E403" s="38" t="s">
        <v>3916</v>
      </c>
      <c r="F403" s="38"/>
      <c r="G403" s="38" t="s">
        <v>3921</v>
      </c>
      <c r="H403" s="38" t="s">
        <v>3400</v>
      </c>
      <c r="I403" s="38" t="s">
        <v>3918</v>
      </c>
      <c r="J403" s="38"/>
      <c r="K403" s="38">
        <v>500</v>
      </c>
      <c r="L403" s="38">
        <v>8.5</v>
      </c>
      <c r="M403" s="38"/>
      <c r="N403" s="38">
        <v>71.37</v>
      </c>
      <c r="O403" s="38">
        <v>3.91</v>
      </c>
      <c r="P403" s="38">
        <v>2.96</v>
      </c>
      <c r="Q403" s="38">
        <v>21.76</v>
      </c>
      <c r="R403" s="38">
        <v>9.1300000000000008</v>
      </c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>
        <v>16.5</v>
      </c>
      <c r="AQ403" s="38">
        <v>4.2300000000000004</v>
      </c>
      <c r="AR403" s="38" t="s">
        <v>3792</v>
      </c>
      <c r="AS403" s="38"/>
      <c r="AT403" s="38"/>
      <c r="AU403" s="38"/>
      <c r="AV403" s="38"/>
      <c r="AW403" s="38"/>
      <c r="AX403" s="38"/>
      <c r="AY403" s="38"/>
      <c r="AZ403" s="38"/>
      <c r="BA403" s="38"/>
      <c r="BB403" s="38"/>
    </row>
    <row r="404" spans="1:54">
      <c r="A404" s="38" t="s">
        <v>3923</v>
      </c>
      <c r="B404" s="38" t="s">
        <v>3652</v>
      </c>
      <c r="C404" s="38" t="s">
        <v>3920</v>
      </c>
      <c r="D404" s="38" t="s">
        <v>3399</v>
      </c>
      <c r="E404" s="38" t="s">
        <v>3916</v>
      </c>
      <c r="F404" s="38"/>
      <c r="G404" s="38" t="s">
        <v>3921</v>
      </c>
      <c r="H404" s="38" t="s">
        <v>3400</v>
      </c>
      <c r="I404" s="38" t="s">
        <v>3918</v>
      </c>
      <c r="J404" s="38"/>
      <c r="K404" s="38">
        <v>550</v>
      </c>
      <c r="L404" s="38">
        <v>8.9</v>
      </c>
      <c r="M404" s="38"/>
      <c r="N404" s="38">
        <v>72.959999999999994</v>
      </c>
      <c r="O404" s="38">
        <v>3.74</v>
      </c>
      <c r="P404" s="38">
        <v>2.67</v>
      </c>
      <c r="Q404" s="38">
        <v>20.63</v>
      </c>
      <c r="R404" s="38">
        <v>9.67</v>
      </c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38"/>
      <c r="AP404" s="38">
        <v>13.9</v>
      </c>
      <c r="AQ404" s="38">
        <v>3.78</v>
      </c>
      <c r="AR404" s="38" t="s">
        <v>3792</v>
      </c>
      <c r="AS404" s="38"/>
      <c r="AT404" s="38"/>
      <c r="AU404" s="38"/>
      <c r="AV404" s="38"/>
      <c r="AW404" s="38"/>
      <c r="AX404" s="38"/>
      <c r="AY404" s="38"/>
      <c r="AZ404" s="38"/>
      <c r="BA404" s="38"/>
      <c r="BB404" s="38"/>
    </row>
    <row r="405" spans="1:54">
      <c r="A405" s="38" t="s">
        <v>3924</v>
      </c>
      <c r="B405" s="38" t="s">
        <v>3652</v>
      </c>
      <c r="C405" s="38" t="s">
        <v>3920</v>
      </c>
      <c r="D405" s="38" t="s">
        <v>3399</v>
      </c>
      <c r="E405" s="38" t="s">
        <v>3916</v>
      </c>
      <c r="F405" s="38"/>
      <c r="G405" s="38" t="s">
        <v>3921</v>
      </c>
      <c r="H405" s="38" t="s">
        <v>3400</v>
      </c>
      <c r="I405" s="38" t="s">
        <v>3918</v>
      </c>
      <c r="J405" s="38"/>
      <c r="K405" s="38">
        <v>600</v>
      </c>
      <c r="L405" s="38">
        <v>9.1999999999999993</v>
      </c>
      <c r="M405" s="38"/>
      <c r="N405" s="38">
        <v>73.72</v>
      </c>
      <c r="O405" s="38">
        <v>3.84</v>
      </c>
      <c r="P405" s="38">
        <v>2.34</v>
      </c>
      <c r="Q405" s="38">
        <v>20.100000000000001</v>
      </c>
      <c r="R405" s="38">
        <v>9.89</v>
      </c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38"/>
      <c r="AP405" s="38">
        <v>11.6</v>
      </c>
      <c r="AQ405" s="38">
        <v>3.41</v>
      </c>
      <c r="AR405" s="38" t="s">
        <v>3792</v>
      </c>
      <c r="AS405" s="38"/>
      <c r="AT405" s="38"/>
      <c r="AU405" s="38"/>
      <c r="AV405" s="38"/>
      <c r="AW405" s="38"/>
      <c r="AX405" s="38"/>
      <c r="AY405" s="38"/>
      <c r="AZ405" s="38"/>
      <c r="BA405" s="38"/>
      <c r="BB405" s="38"/>
    </row>
    <row r="406" spans="1:54">
      <c r="A406" s="38" t="s">
        <v>3925</v>
      </c>
      <c r="B406" s="38" t="s">
        <v>3652</v>
      </c>
      <c r="C406" s="38" t="s">
        <v>3920</v>
      </c>
      <c r="D406" s="38" t="s">
        <v>3399</v>
      </c>
      <c r="E406" s="38" t="s">
        <v>3916</v>
      </c>
      <c r="F406" s="38"/>
      <c r="G406" s="38" t="s">
        <v>3926</v>
      </c>
      <c r="H406" s="38" t="s">
        <v>3400</v>
      </c>
      <c r="I406" s="38" t="s">
        <v>3918</v>
      </c>
      <c r="J406" s="38"/>
      <c r="K406" s="38">
        <v>400</v>
      </c>
      <c r="L406" s="38">
        <v>8.4</v>
      </c>
      <c r="M406" s="38"/>
      <c r="N406" s="38">
        <v>68.22</v>
      </c>
      <c r="O406" s="38">
        <v>3.91</v>
      </c>
      <c r="P406" s="38">
        <v>3.43</v>
      </c>
      <c r="Q406" s="38">
        <v>24.44</v>
      </c>
      <c r="R406" s="38">
        <v>7.59</v>
      </c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38"/>
      <c r="AP406" s="38">
        <v>21.4</v>
      </c>
      <c r="AQ406" s="38">
        <v>2.2599999999999998</v>
      </c>
      <c r="AR406" s="38" t="s">
        <v>3792</v>
      </c>
      <c r="AS406" s="38"/>
      <c r="AT406" s="38"/>
      <c r="AU406" s="38"/>
      <c r="AV406" s="38"/>
      <c r="AW406" s="38"/>
      <c r="AX406" s="38"/>
      <c r="AY406" s="38"/>
      <c r="AZ406" s="38"/>
      <c r="BA406" s="38"/>
      <c r="BB406" s="38"/>
    </row>
    <row r="407" spans="1:54">
      <c r="A407" s="38" t="s">
        <v>3927</v>
      </c>
      <c r="B407" s="38" t="s">
        <v>3652</v>
      </c>
      <c r="C407" s="38" t="s">
        <v>3920</v>
      </c>
      <c r="D407" s="38" t="s">
        <v>3399</v>
      </c>
      <c r="E407" s="38" t="s">
        <v>3916</v>
      </c>
      <c r="F407" s="38"/>
      <c r="G407" s="38" t="s">
        <v>3926</v>
      </c>
      <c r="H407" s="38" t="s">
        <v>3400</v>
      </c>
      <c r="I407" s="38" t="s">
        <v>3918</v>
      </c>
      <c r="J407" s="38"/>
      <c r="K407" s="38">
        <v>450</v>
      </c>
      <c r="L407" s="38">
        <v>8.5</v>
      </c>
      <c r="M407" s="38"/>
      <c r="N407" s="38">
        <v>68.650000000000006</v>
      </c>
      <c r="O407" s="38">
        <v>4.04</v>
      </c>
      <c r="P407" s="38">
        <v>3.15</v>
      </c>
      <c r="Q407" s="38">
        <v>24.16</v>
      </c>
      <c r="R407" s="38">
        <v>8.7100000000000009</v>
      </c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38"/>
      <c r="AP407" s="38">
        <v>18.7</v>
      </c>
      <c r="AQ407" s="38">
        <v>2.92</v>
      </c>
      <c r="AR407" s="38" t="s">
        <v>3792</v>
      </c>
      <c r="AS407" s="38"/>
      <c r="AT407" s="38"/>
      <c r="AU407" s="38"/>
      <c r="AV407" s="38"/>
      <c r="AW407" s="38"/>
      <c r="AX407" s="38"/>
      <c r="AY407" s="38"/>
      <c r="AZ407" s="38"/>
      <c r="BA407" s="38"/>
      <c r="BB407" s="38"/>
    </row>
    <row r="408" spans="1:54">
      <c r="A408" s="38" t="s">
        <v>3928</v>
      </c>
      <c r="B408" s="38" t="s">
        <v>3652</v>
      </c>
      <c r="C408" s="38" t="s">
        <v>3920</v>
      </c>
      <c r="D408" s="38" t="s">
        <v>3399</v>
      </c>
      <c r="E408" s="38" t="s">
        <v>3916</v>
      </c>
      <c r="F408" s="38"/>
      <c r="G408" s="38" t="s">
        <v>3926</v>
      </c>
      <c r="H408" s="38" t="s">
        <v>3400</v>
      </c>
      <c r="I408" s="38" t="s">
        <v>3918</v>
      </c>
      <c r="J408" s="38"/>
      <c r="K408" s="38">
        <v>500</v>
      </c>
      <c r="L408" s="38">
        <v>8.6</v>
      </c>
      <c r="M408" s="38"/>
      <c r="N408" s="38">
        <v>70.010000000000005</v>
      </c>
      <c r="O408" s="38">
        <v>3.83</v>
      </c>
      <c r="P408" s="38">
        <v>2.88</v>
      </c>
      <c r="Q408" s="38">
        <v>23.28</v>
      </c>
      <c r="R408" s="38">
        <v>9.52</v>
      </c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38"/>
      <c r="AP408" s="38">
        <v>15.2</v>
      </c>
      <c r="AQ408" s="38">
        <v>3.98</v>
      </c>
      <c r="AR408" s="38" t="s">
        <v>3792</v>
      </c>
      <c r="AS408" s="38"/>
      <c r="AT408" s="38"/>
      <c r="AU408" s="38"/>
      <c r="AV408" s="38"/>
      <c r="AW408" s="38"/>
      <c r="AX408" s="38"/>
      <c r="AY408" s="38"/>
      <c r="AZ408" s="38"/>
      <c r="BA408" s="38"/>
      <c r="BB408" s="38"/>
    </row>
    <row r="409" spans="1:54">
      <c r="A409" s="38" t="s">
        <v>3929</v>
      </c>
      <c r="B409" s="38" t="s">
        <v>3652</v>
      </c>
      <c r="C409" s="38" t="s">
        <v>3920</v>
      </c>
      <c r="D409" s="38" t="s">
        <v>3399</v>
      </c>
      <c r="E409" s="38" t="s">
        <v>3916</v>
      </c>
      <c r="F409" s="38"/>
      <c r="G409" s="38" t="s">
        <v>3926</v>
      </c>
      <c r="H409" s="38" t="s">
        <v>3400</v>
      </c>
      <c r="I409" s="38" t="s">
        <v>3918</v>
      </c>
      <c r="J409" s="38"/>
      <c r="K409" s="38">
        <v>550</v>
      </c>
      <c r="L409" s="38">
        <v>9.1</v>
      </c>
      <c r="M409" s="38"/>
      <c r="N409" s="38">
        <v>71.760000000000005</v>
      </c>
      <c r="O409" s="38">
        <v>4.21</v>
      </c>
      <c r="P409" s="38">
        <v>2.68</v>
      </c>
      <c r="Q409" s="38">
        <v>21.35</v>
      </c>
      <c r="R409" s="38">
        <v>9.6999999999999993</v>
      </c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38"/>
      <c r="AP409" s="38">
        <v>12.3</v>
      </c>
      <c r="AQ409" s="38">
        <v>3.26</v>
      </c>
      <c r="AR409" s="38" t="s">
        <v>3792</v>
      </c>
      <c r="AS409" s="38"/>
      <c r="AT409" s="38"/>
      <c r="AU409" s="38"/>
      <c r="AV409" s="38"/>
      <c r="AW409" s="38"/>
      <c r="AX409" s="38"/>
      <c r="AY409" s="38"/>
      <c r="AZ409" s="38"/>
      <c r="BA409" s="38"/>
      <c r="BB409" s="38"/>
    </row>
    <row r="410" spans="1:54">
      <c r="A410" s="38" t="s">
        <v>3930</v>
      </c>
      <c r="B410" s="38" t="s">
        <v>3652</v>
      </c>
      <c r="C410" s="38" t="s">
        <v>3920</v>
      </c>
      <c r="D410" s="38" t="s">
        <v>3399</v>
      </c>
      <c r="E410" s="38" t="s">
        <v>3916</v>
      </c>
      <c r="F410" s="38"/>
      <c r="G410" s="38" t="s">
        <v>3926</v>
      </c>
      <c r="H410" s="38" t="s">
        <v>3400</v>
      </c>
      <c r="I410" s="38" t="s">
        <v>3918</v>
      </c>
      <c r="J410" s="38"/>
      <c r="K410" s="38">
        <v>600</v>
      </c>
      <c r="L410" s="38">
        <v>9.3000000000000007</v>
      </c>
      <c r="M410" s="38"/>
      <c r="N410" s="38">
        <v>73.75</v>
      </c>
      <c r="O410" s="38">
        <v>3.53</v>
      </c>
      <c r="P410" s="38">
        <v>2.31</v>
      </c>
      <c r="Q410" s="38">
        <v>20.41</v>
      </c>
      <c r="R410" s="38">
        <v>10.15</v>
      </c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38"/>
      <c r="AP410" s="38">
        <v>10.8</v>
      </c>
      <c r="AQ410" s="38">
        <v>2.85</v>
      </c>
      <c r="AR410" s="38" t="s">
        <v>3792</v>
      </c>
      <c r="AS410" s="38"/>
      <c r="AT410" s="38"/>
      <c r="AU410" s="38"/>
      <c r="AV410" s="38"/>
      <c r="AW410" s="38"/>
      <c r="AX410" s="38"/>
      <c r="AY410" s="38"/>
      <c r="AZ410" s="38"/>
      <c r="BA410" s="38"/>
      <c r="BB410" s="38"/>
    </row>
    <row r="411" spans="1:54">
      <c r="A411" s="38" t="s">
        <v>3931</v>
      </c>
      <c r="B411" s="38" t="s">
        <v>3652</v>
      </c>
      <c r="C411" s="38" t="s">
        <v>3920</v>
      </c>
      <c r="D411" s="38" t="s">
        <v>3399</v>
      </c>
      <c r="E411" s="38" t="s">
        <v>3916</v>
      </c>
      <c r="F411" s="38"/>
      <c r="G411" s="38" t="s">
        <v>3932</v>
      </c>
      <c r="H411" s="38" t="s">
        <v>3400</v>
      </c>
      <c r="I411" s="38" t="s">
        <v>3918</v>
      </c>
      <c r="J411" s="38"/>
      <c r="K411" s="38">
        <v>400</v>
      </c>
      <c r="L411" s="38">
        <v>8.5</v>
      </c>
      <c r="M411" s="38"/>
      <c r="N411" s="38">
        <v>68.540000000000006</v>
      </c>
      <c r="O411" s="38">
        <v>3.63</v>
      </c>
      <c r="P411" s="38">
        <v>3.67</v>
      </c>
      <c r="Q411" s="38">
        <v>24.16</v>
      </c>
      <c r="R411" s="38">
        <v>8.07</v>
      </c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38"/>
      <c r="AP411" s="38">
        <v>19.8</v>
      </c>
      <c r="AQ411" s="38">
        <v>1.89</v>
      </c>
      <c r="AR411" s="38" t="s">
        <v>3792</v>
      </c>
      <c r="AS411" s="38"/>
      <c r="AT411" s="38"/>
      <c r="AU411" s="38"/>
      <c r="AV411" s="38"/>
      <c r="AW411" s="38"/>
      <c r="AX411" s="38"/>
      <c r="AY411" s="38"/>
      <c r="AZ411" s="38"/>
      <c r="BA411" s="38"/>
      <c r="BB411" s="38"/>
    </row>
    <row r="412" spans="1:54">
      <c r="A412" s="38" t="s">
        <v>3933</v>
      </c>
      <c r="B412" s="38" t="s">
        <v>3652</v>
      </c>
      <c r="C412" s="38" t="s">
        <v>3920</v>
      </c>
      <c r="D412" s="38" t="s">
        <v>3399</v>
      </c>
      <c r="E412" s="38" t="s">
        <v>3916</v>
      </c>
      <c r="F412" s="38"/>
      <c r="G412" s="38" t="s">
        <v>3932</v>
      </c>
      <c r="H412" s="38" t="s">
        <v>3400</v>
      </c>
      <c r="I412" s="38" t="s">
        <v>3918</v>
      </c>
      <c r="J412" s="38"/>
      <c r="K412" s="38">
        <v>450</v>
      </c>
      <c r="L412" s="38">
        <v>8.6</v>
      </c>
      <c r="M412" s="38"/>
      <c r="N412" s="38">
        <v>70.25</v>
      </c>
      <c r="O412" s="38">
        <v>3.59</v>
      </c>
      <c r="P412" s="38">
        <v>3.18</v>
      </c>
      <c r="Q412" s="38">
        <v>22.98</v>
      </c>
      <c r="R412" s="38">
        <v>8.4600000000000009</v>
      </c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38"/>
      <c r="AP412" s="38">
        <v>17.399999999999999</v>
      </c>
      <c r="AQ412" s="38">
        <v>2.71</v>
      </c>
      <c r="AR412" s="38" t="s">
        <v>3792</v>
      </c>
      <c r="AS412" s="38"/>
      <c r="AT412" s="38"/>
      <c r="AU412" s="38"/>
      <c r="AV412" s="38"/>
      <c r="AW412" s="38"/>
      <c r="AX412" s="38"/>
      <c r="AY412" s="38"/>
      <c r="AZ412" s="38"/>
      <c r="BA412" s="38"/>
      <c r="BB412" s="38"/>
    </row>
    <row r="413" spans="1:54">
      <c r="A413" s="38" t="s">
        <v>3934</v>
      </c>
      <c r="B413" s="38" t="s">
        <v>3652</v>
      </c>
      <c r="C413" s="38" t="s">
        <v>3920</v>
      </c>
      <c r="D413" s="38" t="s">
        <v>3399</v>
      </c>
      <c r="E413" s="38" t="s">
        <v>3916</v>
      </c>
      <c r="F413" s="38"/>
      <c r="G413" s="38" t="s">
        <v>3932</v>
      </c>
      <c r="H413" s="38" t="s">
        <v>3400</v>
      </c>
      <c r="I413" s="38" t="s">
        <v>3918</v>
      </c>
      <c r="J413" s="38"/>
      <c r="K413" s="38">
        <v>500</v>
      </c>
      <c r="L413" s="38">
        <v>8.6999999999999993</v>
      </c>
      <c r="M413" s="38"/>
      <c r="N413" s="38">
        <v>71.790000000000006</v>
      </c>
      <c r="O413" s="38">
        <v>3.33</v>
      </c>
      <c r="P413" s="38">
        <v>2.87</v>
      </c>
      <c r="Q413" s="38">
        <v>22.01</v>
      </c>
      <c r="R413" s="38">
        <v>9.3000000000000007</v>
      </c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38"/>
      <c r="AP413" s="38">
        <v>14.3</v>
      </c>
      <c r="AQ413" s="38">
        <v>3.64</v>
      </c>
      <c r="AR413" s="38" t="s">
        <v>3792</v>
      </c>
      <c r="AS413" s="38"/>
      <c r="AT413" s="38"/>
      <c r="AU413" s="38"/>
      <c r="AV413" s="38"/>
      <c r="AW413" s="38"/>
      <c r="AX413" s="38"/>
      <c r="AY413" s="38"/>
      <c r="AZ413" s="38"/>
      <c r="BA413" s="38"/>
      <c r="BB413" s="38"/>
    </row>
    <row r="414" spans="1:54">
      <c r="A414" s="38" t="s">
        <v>3935</v>
      </c>
      <c r="B414" s="38" t="s">
        <v>3652</v>
      </c>
      <c r="C414" s="38" t="s">
        <v>3920</v>
      </c>
      <c r="D414" s="38" t="s">
        <v>3399</v>
      </c>
      <c r="E414" s="38" t="s">
        <v>3916</v>
      </c>
      <c r="F414" s="38"/>
      <c r="G414" s="38" t="s">
        <v>3932</v>
      </c>
      <c r="H414" s="38" t="s">
        <v>3400</v>
      </c>
      <c r="I414" s="38" t="s">
        <v>3918</v>
      </c>
      <c r="J414" s="38"/>
      <c r="K414" s="38">
        <v>550</v>
      </c>
      <c r="L414" s="38">
        <v>9.1</v>
      </c>
      <c r="M414" s="38"/>
      <c r="N414" s="38">
        <v>72.13</v>
      </c>
      <c r="O414" s="38">
        <v>3.43</v>
      </c>
      <c r="P414" s="38">
        <v>2.81</v>
      </c>
      <c r="Q414" s="38">
        <v>21.63</v>
      </c>
      <c r="R414" s="38">
        <v>9.56</v>
      </c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38"/>
      <c r="AP414" s="38">
        <v>11.4</v>
      </c>
      <c r="AQ414" s="38">
        <v>2.83</v>
      </c>
      <c r="AR414" s="38" t="s">
        <v>3792</v>
      </c>
      <c r="AS414" s="38"/>
      <c r="AT414" s="38"/>
      <c r="AU414" s="38"/>
      <c r="AV414" s="38"/>
      <c r="AW414" s="38"/>
      <c r="AX414" s="38"/>
      <c r="AY414" s="38"/>
      <c r="AZ414" s="38"/>
      <c r="BA414" s="38"/>
      <c r="BB414" s="38"/>
    </row>
    <row r="415" spans="1:54">
      <c r="A415" s="38" t="s">
        <v>3936</v>
      </c>
      <c r="B415" s="38" t="s">
        <v>3652</v>
      </c>
      <c r="C415" s="38" t="s">
        <v>3920</v>
      </c>
      <c r="D415" s="38" t="s">
        <v>3399</v>
      </c>
      <c r="E415" s="38" t="s">
        <v>3916</v>
      </c>
      <c r="F415" s="38"/>
      <c r="G415" s="38" t="s">
        <v>3932</v>
      </c>
      <c r="H415" s="38" t="s">
        <v>3400</v>
      </c>
      <c r="I415" s="38" t="s">
        <v>3918</v>
      </c>
      <c r="J415" s="38"/>
      <c r="K415" s="38">
        <v>600</v>
      </c>
      <c r="L415" s="38">
        <v>9.5</v>
      </c>
      <c r="M415" s="38"/>
      <c r="N415" s="38">
        <v>73.16</v>
      </c>
      <c r="O415" s="38">
        <v>3.6</v>
      </c>
      <c r="P415" s="38">
        <v>2.63</v>
      </c>
      <c r="Q415" s="38">
        <v>20.61</v>
      </c>
      <c r="R415" s="38">
        <v>9.77</v>
      </c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38"/>
      <c r="AP415" s="38">
        <v>9.8000000000000007</v>
      </c>
      <c r="AQ415" s="38">
        <v>2.4700000000000002</v>
      </c>
      <c r="AR415" s="38" t="s">
        <v>3792</v>
      </c>
      <c r="AS415" s="38"/>
      <c r="AT415" s="38"/>
      <c r="AU415" s="38"/>
      <c r="AV415" s="38"/>
      <c r="AW415" s="38"/>
      <c r="AX415" s="38"/>
      <c r="AY415" s="38"/>
      <c r="AZ415" s="38"/>
      <c r="BA415" s="38"/>
      <c r="BB415" s="38"/>
    </row>
    <row r="416" spans="1:54">
      <c r="A416" s="38" t="s">
        <v>3937</v>
      </c>
      <c r="B416" s="38" t="s">
        <v>3652</v>
      </c>
      <c r="C416" s="38" t="s">
        <v>3938</v>
      </c>
      <c r="D416" s="38" t="s">
        <v>3399</v>
      </c>
      <c r="E416" s="38" t="s">
        <v>3939</v>
      </c>
      <c r="F416" s="38"/>
      <c r="G416" s="38" t="s">
        <v>3756</v>
      </c>
      <c r="H416" s="38" t="s">
        <v>3400</v>
      </c>
      <c r="I416" s="38" t="s">
        <v>3940</v>
      </c>
      <c r="J416" s="38"/>
      <c r="K416" s="38">
        <v>220</v>
      </c>
      <c r="L416" s="38">
        <v>6.2</v>
      </c>
      <c r="M416" s="38"/>
      <c r="N416" s="38">
        <v>62.47</v>
      </c>
      <c r="O416" s="38">
        <v>0.9</v>
      </c>
      <c r="P416" s="38">
        <v>5.28</v>
      </c>
      <c r="Q416" s="38">
        <v>31.09</v>
      </c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38"/>
      <c r="AP416" s="38">
        <v>69.8</v>
      </c>
      <c r="AQ416" s="38"/>
      <c r="AR416" s="38"/>
      <c r="AS416" s="38"/>
      <c r="AT416" s="38"/>
      <c r="AU416" s="38"/>
      <c r="AV416" s="38"/>
      <c r="AW416" s="38"/>
      <c r="AX416" s="38"/>
      <c r="AY416" s="38"/>
      <c r="AZ416" s="38" t="s">
        <v>3941</v>
      </c>
      <c r="BA416" s="38"/>
      <c r="BB416" s="38"/>
    </row>
    <row r="417" spans="1:54">
      <c r="A417" s="38" t="s">
        <v>3942</v>
      </c>
      <c r="B417" s="38" t="s">
        <v>3652</v>
      </c>
      <c r="C417" s="38" t="s">
        <v>3938</v>
      </c>
      <c r="D417" s="38" t="s">
        <v>3399</v>
      </c>
      <c r="E417" s="38" t="s">
        <v>3939</v>
      </c>
      <c r="F417" s="38"/>
      <c r="G417" s="38" t="s">
        <v>3756</v>
      </c>
      <c r="H417" s="38" t="s">
        <v>3400</v>
      </c>
      <c r="I417" s="38" t="s">
        <v>3940</v>
      </c>
      <c r="J417" s="38"/>
      <c r="K417" s="38">
        <v>250</v>
      </c>
      <c r="L417" s="38">
        <v>5</v>
      </c>
      <c r="M417" s="38"/>
      <c r="N417" s="38">
        <v>67.099999999999994</v>
      </c>
      <c r="O417" s="38">
        <v>0.98</v>
      </c>
      <c r="P417" s="38">
        <v>5.2</v>
      </c>
      <c r="Q417" s="38">
        <v>26.43</v>
      </c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38"/>
      <c r="AP417" s="38">
        <v>67.900000000000006</v>
      </c>
      <c r="AQ417" s="38"/>
      <c r="AR417" s="38"/>
      <c r="AS417" s="38"/>
      <c r="AT417" s="38"/>
      <c r="AU417" s="38"/>
      <c r="AV417" s="38"/>
      <c r="AW417" s="38"/>
      <c r="AX417" s="38"/>
      <c r="AY417" s="38"/>
      <c r="AZ417" s="38" t="s">
        <v>3941</v>
      </c>
      <c r="BA417" s="38"/>
      <c r="BB417" s="38"/>
    </row>
    <row r="418" spans="1:54">
      <c r="A418" s="38" t="s">
        <v>3943</v>
      </c>
      <c r="B418" s="38" t="s">
        <v>3652</v>
      </c>
      <c r="C418" s="38" t="s">
        <v>3938</v>
      </c>
      <c r="D418" s="38" t="s">
        <v>3399</v>
      </c>
      <c r="E418" s="38" t="s">
        <v>3939</v>
      </c>
      <c r="F418" s="38"/>
      <c r="G418" s="38" t="s">
        <v>3756</v>
      </c>
      <c r="H418" s="38" t="s">
        <v>3400</v>
      </c>
      <c r="I418" s="38" t="s">
        <v>3940</v>
      </c>
      <c r="J418" s="38"/>
      <c r="K418" s="38">
        <v>300</v>
      </c>
      <c r="L418" s="38">
        <v>4.3</v>
      </c>
      <c r="M418" s="38"/>
      <c r="N418" s="38">
        <v>73.22</v>
      </c>
      <c r="O418" s="38">
        <v>1.1299999999999999</v>
      </c>
      <c r="P418" s="38">
        <v>5.09</v>
      </c>
      <c r="Q418" s="38">
        <v>20.21</v>
      </c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38"/>
      <c r="AP418" s="38">
        <v>53.6</v>
      </c>
      <c r="AQ418" s="38"/>
      <c r="AR418" s="38"/>
      <c r="AS418" s="38"/>
      <c r="AT418" s="38"/>
      <c r="AU418" s="38"/>
      <c r="AV418" s="38"/>
      <c r="AW418" s="38"/>
      <c r="AX418" s="38"/>
      <c r="AY418" s="38"/>
      <c r="AZ418" s="38" t="s">
        <v>3941</v>
      </c>
      <c r="BA418" s="38"/>
      <c r="BB418" s="38"/>
    </row>
    <row r="419" spans="1:54">
      <c r="A419" s="38" t="s">
        <v>3944</v>
      </c>
      <c r="B419" s="38" t="s">
        <v>3652</v>
      </c>
      <c r="C419" s="38" t="s">
        <v>3938</v>
      </c>
      <c r="D419" s="38" t="s">
        <v>3399</v>
      </c>
      <c r="E419" s="38" t="s">
        <v>3939</v>
      </c>
      <c r="F419" s="38"/>
      <c r="G419" s="38" t="s">
        <v>3756</v>
      </c>
      <c r="H419" s="38" t="s">
        <v>3400</v>
      </c>
      <c r="I419" s="38" t="s">
        <v>3940</v>
      </c>
      <c r="J419" s="38"/>
      <c r="K419" s="38">
        <v>350</v>
      </c>
      <c r="L419" s="38">
        <v>4.9000000000000004</v>
      </c>
      <c r="M419" s="38"/>
      <c r="N419" s="38">
        <v>73.37</v>
      </c>
      <c r="O419" s="38">
        <v>1.17</v>
      </c>
      <c r="P419" s="38">
        <v>4.5199999999999996</v>
      </c>
      <c r="Q419" s="38">
        <v>20.58</v>
      </c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38"/>
      <c r="AP419" s="38">
        <v>56.6</v>
      </c>
      <c r="AQ419" s="38"/>
      <c r="AR419" s="38"/>
      <c r="AS419" s="38"/>
      <c r="AT419" s="38"/>
      <c r="AU419" s="38"/>
      <c r="AV419" s="38"/>
      <c r="AW419" s="38"/>
      <c r="AX419" s="38"/>
      <c r="AY419" s="38"/>
      <c r="AZ419" s="38" t="s">
        <v>3941</v>
      </c>
      <c r="BA419" s="38"/>
      <c r="BB419" s="38"/>
    </row>
    <row r="420" spans="1:54">
      <c r="A420" s="38" t="s">
        <v>3945</v>
      </c>
      <c r="B420" s="38" t="s">
        <v>3652</v>
      </c>
      <c r="C420" s="38" t="s">
        <v>3938</v>
      </c>
      <c r="D420" s="38" t="s">
        <v>3399</v>
      </c>
      <c r="E420" s="38" t="s">
        <v>3939</v>
      </c>
      <c r="F420" s="38"/>
      <c r="G420" s="38" t="s">
        <v>3756</v>
      </c>
      <c r="H420" s="38" t="s">
        <v>3400</v>
      </c>
      <c r="I420" s="38" t="s">
        <v>3940</v>
      </c>
      <c r="J420" s="38"/>
      <c r="K420" s="38">
        <v>375</v>
      </c>
      <c r="L420" s="38">
        <v>8.6</v>
      </c>
      <c r="M420" s="38"/>
      <c r="N420" s="38">
        <v>78.2</v>
      </c>
      <c r="O420" s="38">
        <v>1.23</v>
      </c>
      <c r="P420" s="38">
        <v>4.3099999999999996</v>
      </c>
      <c r="Q420" s="38">
        <v>15.93</v>
      </c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38"/>
      <c r="AP420" s="38">
        <v>42.6</v>
      </c>
      <c r="AQ420" s="38"/>
      <c r="AR420" s="38"/>
      <c r="AS420" s="38"/>
      <c r="AT420" s="38"/>
      <c r="AU420" s="38"/>
      <c r="AV420" s="38"/>
      <c r="AW420" s="38"/>
      <c r="AX420" s="38"/>
      <c r="AY420" s="38"/>
      <c r="AZ420" s="38" t="s">
        <v>3941</v>
      </c>
      <c r="BA420" s="38"/>
      <c r="BB420" s="38"/>
    </row>
    <row r="421" spans="1:54">
      <c r="A421" s="38" t="s">
        <v>3946</v>
      </c>
      <c r="B421" s="38" t="s">
        <v>3652</v>
      </c>
      <c r="C421" s="38" t="s">
        <v>3947</v>
      </c>
      <c r="D421" s="38" t="s">
        <v>3399</v>
      </c>
      <c r="E421" s="38" t="s">
        <v>3939</v>
      </c>
      <c r="F421" s="38"/>
      <c r="G421" s="38" t="s">
        <v>3756</v>
      </c>
      <c r="H421" s="38" t="s">
        <v>3400</v>
      </c>
      <c r="I421" s="38" t="s">
        <v>3940</v>
      </c>
      <c r="J421" s="38"/>
      <c r="K421" s="38">
        <v>200</v>
      </c>
      <c r="L421" s="38">
        <v>7.3</v>
      </c>
      <c r="M421" s="38"/>
      <c r="N421" s="38">
        <v>61.11</v>
      </c>
      <c r="O421" s="38">
        <v>1.37</v>
      </c>
      <c r="P421" s="38">
        <v>6.13</v>
      </c>
      <c r="Q421" s="38">
        <v>30.74</v>
      </c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38"/>
      <c r="AP421" s="38">
        <v>72.5</v>
      </c>
      <c r="AQ421" s="38"/>
      <c r="AR421" s="38"/>
      <c r="AS421" s="38"/>
      <c r="AT421" s="38"/>
      <c r="AU421" s="38"/>
      <c r="AV421" s="38"/>
      <c r="AW421" s="38"/>
      <c r="AX421" s="38"/>
      <c r="AY421" s="38"/>
      <c r="AZ421" s="38" t="s">
        <v>3941</v>
      </c>
      <c r="BA421" s="38"/>
      <c r="BB421" s="38"/>
    </row>
    <row r="422" spans="1:54">
      <c r="A422" s="38" t="s">
        <v>3948</v>
      </c>
      <c r="B422" s="38" t="s">
        <v>3652</v>
      </c>
      <c r="C422" s="38" t="s">
        <v>3947</v>
      </c>
      <c r="D422" s="38" t="s">
        <v>3399</v>
      </c>
      <c r="E422" s="38" t="s">
        <v>3939</v>
      </c>
      <c r="F422" s="38"/>
      <c r="G422" s="38" t="s">
        <v>3756</v>
      </c>
      <c r="H422" s="38" t="s">
        <v>3400</v>
      </c>
      <c r="I422" s="38" t="s">
        <v>3940</v>
      </c>
      <c r="J422" s="38"/>
      <c r="K422" s="38">
        <v>250</v>
      </c>
      <c r="L422" s="38">
        <v>6.9</v>
      </c>
      <c r="M422" s="38"/>
      <c r="N422" s="38">
        <v>62.3</v>
      </c>
      <c r="O422" s="38">
        <v>1.44</v>
      </c>
      <c r="P422" s="38">
        <v>5.47</v>
      </c>
      <c r="Q422" s="38">
        <v>30.35</v>
      </c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38"/>
      <c r="AP422" s="38">
        <v>70.099999999999994</v>
      </c>
      <c r="AQ422" s="38"/>
      <c r="AR422" s="38"/>
      <c r="AS422" s="38"/>
      <c r="AT422" s="38"/>
      <c r="AU422" s="38"/>
      <c r="AV422" s="38"/>
      <c r="AW422" s="38"/>
      <c r="AX422" s="38"/>
      <c r="AY422" s="38"/>
      <c r="AZ422" s="38" t="s">
        <v>3941</v>
      </c>
      <c r="BA422" s="38"/>
      <c r="BB422" s="38"/>
    </row>
    <row r="423" spans="1:54">
      <c r="A423" s="38" t="s">
        <v>3949</v>
      </c>
      <c r="B423" s="38" t="s">
        <v>3652</v>
      </c>
      <c r="C423" s="38" t="s">
        <v>3947</v>
      </c>
      <c r="D423" s="38" t="s">
        <v>3399</v>
      </c>
      <c r="E423" s="38" t="s">
        <v>3939</v>
      </c>
      <c r="F423" s="38"/>
      <c r="G423" s="38" t="s">
        <v>3756</v>
      </c>
      <c r="H423" s="38" t="s">
        <v>3400</v>
      </c>
      <c r="I423" s="38" t="s">
        <v>3940</v>
      </c>
      <c r="J423" s="38"/>
      <c r="K423" s="38">
        <v>300</v>
      </c>
      <c r="L423" s="38">
        <v>7.1</v>
      </c>
      <c r="M423" s="38"/>
      <c r="N423" s="38">
        <v>68.87</v>
      </c>
      <c r="O423" s="38">
        <v>1.62</v>
      </c>
      <c r="P423" s="38">
        <v>6</v>
      </c>
      <c r="Q423" s="38">
        <v>22.79</v>
      </c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38"/>
      <c r="AP423" s="38">
        <v>61.2</v>
      </c>
      <c r="AQ423" s="38"/>
      <c r="AR423" s="38"/>
      <c r="AS423" s="38"/>
      <c r="AT423" s="38"/>
      <c r="AU423" s="38"/>
      <c r="AV423" s="38"/>
      <c r="AW423" s="38"/>
      <c r="AX423" s="38"/>
      <c r="AY423" s="38"/>
      <c r="AZ423" s="38" t="s">
        <v>3941</v>
      </c>
      <c r="BA423" s="38"/>
      <c r="BB423" s="38"/>
    </row>
    <row r="424" spans="1:54">
      <c r="A424" s="38" t="s">
        <v>3950</v>
      </c>
      <c r="B424" s="38" t="s">
        <v>3652</v>
      </c>
      <c r="C424" s="38" t="s">
        <v>3947</v>
      </c>
      <c r="D424" s="38" t="s">
        <v>3399</v>
      </c>
      <c r="E424" s="38" t="s">
        <v>3939</v>
      </c>
      <c r="F424" s="38"/>
      <c r="G424" s="38" t="s">
        <v>3756</v>
      </c>
      <c r="H424" s="38" t="s">
        <v>3400</v>
      </c>
      <c r="I424" s="38" t="s">
        <v>3940</v>
      </c>
      <c r="J424" s="38"/>
      <c r="K424" s="38">
        <v>350</v>
      </c>
      <c r="L424" s="38">
        <v>9.9</v>
      </c>
      <c r="M424" s="38"/>
      <c r="N424" s="38">
        <v>70.5</v>
      </c>
      <c r="O424" s="38">
        <v>1.6</v>
      </c>
      <c r="P424" s="38">
        <v>5.93</v>
      </c>
      <c r="Q424" s="38">
        <v>20.45</v>
      </c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38"/>
      <c r="AP424" s="38">
        <v>56.2</v>
      </c>
      <c r="AQ424" s="38"/>
      <c r="AR424" s="38"/>
      <c r="AS424" s="38"/>
      <c r="AT424" s="38"/>
      <c r="AU424" s="38"/>
      <c r="AV424" s="38"/>
      <c r="AW424" s="38"/>
      <c r="AX424" s="38"/>
      <c r="AY424" s="38"/>
      <c r="AZ424" s="38" t="s">
        <v>3941</v>
      </c>
      <c r="BA424" s="38"/>
      <c r="BB424" s="38"/>
    </row>
    <row r="425" spans="1:54">
      <c r="A425" s="38" t="s">
        <v>3951</v>
      </c>
      <c r="B425" s="38" t="s">
        <v>3652</v>
      </c>
      <c r="C425" s="38" t="s">
        <v>3947</v>
      </c>
      <c r="D425" s="38" t="s">
        <v>3399</v>
      </c>
      <c r="E425" s="38" t="s">
        <v>3939</v>
      </c>
      <c r="F425" s="38"/>
      <c r="G425" s="38" t="s">
        <v>3756</v>
      </c>
      <c r="H425" s="38" t="s">
        <v>3400</v>
      </c>
      <c r="I425" s="38" t="s">
        <v>3940</v>
      </c>
      <c r="J425" s="38"/>
      <c r="K425" s="38">
        <v>375</v>
      </c>
      <c r="L425" s="38">
        <v>14.2</v>
      </c>
      <c r="M425" s="38"/>
      <c r="N425" s="38">
        <v>72.19</v>
      </c>
      <c r="O425" s="38">
        <v>1.64</v>
      </c>
      <c r="P425" s="38">
        <v>4.8099999999999996</v>
      </c>
      <c r="Q425" s="38">
        <v>19.850000000000001</v>
      </c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38"/>
      <c r="AP425" s="38">
        <v>43.2</v>
      </c>
      <c r="AQ425" s="38"/>
      <c r="AR425" s="38"/>
      <c r="AS425" s="38"/>
      <c r="AT425" s="38"/>
      <c r="AU425" s="38"/>
      <c r="AV425" s="38"/>
      <c r="AW425" s="38"/>
      <c r="AX425" s="38"/>
      <c r="AY425" s="38"/>
      <c r="AZ425" s="38" t="s">
        <v>3941</v>
      </c>
      <c r="BA425" s="38"/>
      <c r="BB425" s="38"/>
    </row>
    <row r="426" spans="1:54">
      <c r="A426" s="38" t="s">
        <v>3952</v>
      </c>
      <c r="B426" s="38" t="s">
        <v>3424</v>
      </c>
      <c r="C426" s="38"/>
      <c r="D426" s="38" t="s">
        <v>3399</v>
      </c>
      <c r="E426" s="38"/>
      <c r="F426" s="38"/>
      <c r="G426" s="38" t="s">
        <v>3844</v>
      </c>
      <c r="H426" s="38" t="s">
        <v>3400</v>
      </c>
      <c r="I426" s="38" t="s">
        <v>3953</v>
      </c>
      <c r="J426" s="38"/>
      <c r="K426" s="38">
        <v>650</v>
      </c>
      <c r="L426" s="38"/>
      <c r="M426" s="38"/>
      <c r="N426" s="38">
        <v>74</v>
      </c>
      <c r="O426" s="38">
        <v>1.23</v>
      </c>
      <c r="P426" s="38"/>
      <c r="Q426" s="38"/>
      <c r="R426" s="38">
        <v>11.4</v>
      </c>
      <c r="S426" s="38">
        <v>3</v>
      </c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>
        <v>690</v>
      </c>
      <c r="AM426" s="38"/>
      <c r="AN426" s="38">
        <v>60.1</v>
      </c>
      <c r="AO426" s="38"/>
      <c r="AP426" s="38"/>
      <c r="AQ426" s="38">
        <v>43.4</v>
      </c>
      <c r="AR426" s="38" t="s">
        <v>3954</v>
      </c>
      <c r="AS426" s="38">
        <v>10.199999999999999</v>
      </c>
      <c r="AT426" s="38">
        <v>2000</v>
      </c>
      <c r="AU426" s="38">
        <v>7510</v>
      </c>
      <c r="AV426" s="38">
        <v>5340</v>
      </c>
      <c r="AW426" s="38">
        <v>21400</v>
      </c>
      <c r="AX426" s="38"/>
      <c r="AY426" s="38"/>
      <c r="AZ426" s="38" t="s">
        <v>3955</v>
      </c>
      <c r="BA426" s="38"/>
      <c r="BB426" s="38"/>
    </row>
    <row r="427" spans="1:54">
      <c r="A427" s="38" t="s">
        <v>3956</v>
      </c>
      <c r="B427" s="38" t="s">
        <v>3455</v>
      </c>
      <c r="C427" s="38" t="s">
        <v>3957</v>
      </c>
      <c r="D427" s="38" t="s">
        <v>3399</v>
      </c>
      <c r="E427" s="38"/>
      <c r="F427" s="38"/>
      <c r="G427" s="38" t="s">
        <v>3844</v>
      </c>
      <c r="H427" s="38" t="s">
        <v>3400</v>
      </c>
      <c r="I427" s="38" t="s">
        <v>3953</v>
      </c>
      <c r="J427" s="38"/>
      <c r="K427" s="38">
        <v>650</v>
      </c>
      <c r="L427" s="38"/>
      <c r="M427" s="38"/>
      <c r="N427" s="38">
        <v>83.3</v>
      </c>
      <c r="O427" s="38">
        <v>0.35299999999999998</v>
      </c>
      <c r="P427" s="38"/>
      <c r="Q427" s="38"/>
      <c r="R427" s="38">
        <v>5.82</v>
      </c>
      <c r="S427" s="38">
        <v>0.2</v>
      </c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>
        <v>620</v>
      </c>
      <c r="AM427" s="38"/>
      <c r="AN427" s="38">
        <v>34.200000000000003</v>
      </c>
      <c r="AO427" s="38"/>
      <c r="AP427" s="38"/>
      <c r="AQ427" s="38">
        <v>52.1</v>
      </c>
      <c r="AR427" s="38" t="s">
        <v>3954</v>
      </c>
      <c r="AS427" s="38">
        <v>4.1500000000000004</v>
      </c>
      <c r="AT427" s="38">
        <v>360</v>
      </c>
      <c r="AU427" s="38">
        <v>2570</v>
      </c>
      <c r="AV427" s="38">
        <v>620</v>
      </c>
      <c r="AW427" s="38">
        <v>1960</v>
      </c>
      <c r="AX427" s="38"/>
      <c r="AY427" s="38"/>
      <c r="AZ427" s="38" t="s">
        <v>3955</v>
      </c>
      <c r="BA427" s="38"/>
      <c r="BB427" s="38"/>
    </row>
    <row r="428" spans="1:54">
      <c r="A428" s="38" t="s">
        <v>3958</v>
      </c>
      <c r="B428" s="38" t="s">
        <v>3409</v>
      </c>
      <c r="C428" s="38" t="s">
        <v>3512</v>
      </c>
      <c r="D428" s="38" t="s">
        <v>3399</v>
      </c>
      <c r="E428" s="38"/>
      <c r="F428" s="38"/>
      <c r="G428" s="38" t="s">
        <v>3844</v>
      </c>
      <c r="H428" s="38" t="s">
        <v>3400</v>
      </c>
      <c r="I428" s="38" t="s">
        <v>3953</v>
      </c>
      <c r="J428" s="38"/>
      <c r="K428" s="38">
        <v>650</v>
      </c>
      <c r="L428" s="38"/>
      <c r="M428" s="38"/>
      <c r="N428" s="38">
        <v>78</v>
      </c>
      <c r="O428" s="38">
        <v>1.64</v>
      </c>
      <c r="P428" s="38"/>
      <c r="Q428" s="38"/>
      <c r="R428" s="38">
        <v>10.4</v>
      </c>
      <c r="S428" s="38">
        <v>0.89</v>
      </c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>
        <v>670</v>
      </c>
      <c r="AM428" s="38"/>
      <c r="AN428" s="38">
        <v>50.6</v>
      </c>
      <c r="AO428" s="38"/>
      <c r="AP428" s="38"/>
      <c r="AQ428" s="38">
        <v>48</v>
      </c>
      <c r="AR428" s="38" t="s">
        <v>3954</v>
      </c>
      <c r="AS428" s="38">
        <v>6.41</v>
      </c>
      <c r="AT428" s="38">
        <v>1890</v>
      </c>
      <c r="AU428" s="38">
        <v>7120</v>
      </c>
      <c r="AV428" s="38">
        <v>5250</v>
      </c>
      <c r="AW428" s="38">
        <v>2700</v>
      </c>
      <c r="AX428" s="38"/>
      <c r="AY428" s="38"/>
      <c r="AZ428" s="38" t="s">
        <v>3955</v>
      </c>
      <c r="BA428" s="38"/>
      <c r="BB428" s="38"/>
    </row>
    <row r="429" spans="1:54">
      <c r="A429" s="38" t="s">
        <v>3959</v>
      </c>
      <c r="B429" s="38" t="s">
        <v>1700</v>
      </c>
      <c r="C429" s="38" t="s">
        <v>3960</v>
      </c>
      <c r="D429" s="38" t="s">
        <v>3399</v>
      </c>
      <c r="E429" s="38" t="s">
        <v>3961</v>
      </c>
      <c r="F429" s="38"/>
      <c r="G429" s="38" t="s">
        <v>3756</v>
      </c>
      <c r="H429" s="38" t="s">
        <v>3400</v>
      </c>
      <c r="I429" s="38" t="s">
        <v>3962</v>
      </c>
      <c r="J429" s="38"/>
      <c r="K429" s="38">
        <v>400</v>
      </c>
      <c r="L429" s="38">
        <v>46.35</v>
      </c>
      <c r="M429" s="38"/>
      <c r="N429" s="38">
        <v>35.86</v>
      </c>
      <c r="O429" s="38">
        <v>2.57</v>
      </c>
      <c r="P429" s="38">
        <v>2.12</v>
      </c>
      <c r="Q429" s="38">
        <v>13.09</v>
      </c>
      <c r="R429" s="38">
        <v>9.86</v>
      </c>
      <c r="S429" s="38">
        <v>0.73</v>
      </c>
      <c r="T429" s="38"/>
      <c r="U429" s="38"/>
      <c r="V429" s="38"/>
      <c r="W429" s="38"/>
      <c r="X429" s="38"/>
      <c r="Y429" s="38">
        <v>55.47</v>
      </c>
      <c r="Z429" s="38">
        <v>0.53</v>
      </c>
      <c r="AA429" s="38"/>
      <c r="AB429" s="38"/>
      <c r="AC429" s="38">
        <v>1135.6199999999999</v>
      </c>
      <c r="AD429" s="38">
        <v>1.47</v>
      </c>
      <c r="AE429" s="38"/>
      <c r="AF429" s="38"/>
      <c r="AG429" s="38">
        <v>3.42</v>
      </c>
      <c r="AH429" s="38"/>
      <c r="AI429" s="38">
        <v>1558.08</v>
      </c>
      <c r="AJ429" s="38"/>
      <c r="AK429" s="38"/>
      <c r="AL429" s="38">
        <v>3630</v>
      </c>
      <c r="AM429" s="38"/>
      <c r="AN429" s="38"/>
      <c r="AO429" s="38"/>
      <c r="AP429" s="38">
        <v>38.18</v>
      </c>
      <c r="AQ429" s="38">
        <v>3.68</v>
      </c>
      <c r="AR429" s="38" t="s">
        <v>3792</v>
      </c>
      <c r="AS429" s="38"/>
      <c r="AT429" s="38">
        <v>18300</v>
      </c>
      <c r="AU429" s="38">
        <v>52950</v>
      </c>
      <c r="AV429" s="38">
        <v>12500</v>
      </c>
      <c r="AW429" s="38">
        <v>25170</v>
      </c>
      <c r="AX429" s="38"/>
      <c r="AY429" s="38"/>
      <c r="AZ429" s="38" t="s">
        <v>3963</v>
      </c>
      <c r="BA429" s="38"/>
      <c r="BB429" s="38"/>
    </row>
    <row r="430" spans="1:54">
      <c r="A430" s="38" t="s">
        <v>3964</v>
      </c>
      <c r="B430" s="38" t="s">
        <v>1700</v>
      </c>
      <c r="C430" s="38" t="s">
        <v>3965</v>
      </c>
      <c r="D430" s="38" t="s">
        <v>3399</v>
      </c>
      <c r="E430" s="38" t="s">
        <v>3961</v>
      </c>
      <c r="F430" s="38"/>
      <c r="G430" s="38" t="s">
        <v>3756</v>
      </c>
      <c r="H430" s="38" t="s">
        <v>3400</v>
      </c>
      <c r="I430" s="38" t="s">
        <v>3962</v>
      </c>
      <c r="J430" s="38"/>
      <c r="K430" s="38">
        <v>400</v>
      </c>
      <c r="L430" s="38">
        <v>48.65</v>
      </c>
      <c r="M430" s="38"/>
      <c r="N430" s="38">
        <v>38.92</v>
      </c>
      <c r="O430" s="38">
        <v>2.0299999999999998</v>
      </c>
      <c r="P430" s="38">
        <v>2.57</v>
      </c>
      <c r="Q430" s="38">
        <v>7.83</v>
      </c>
      <c r="R430" s="38">
        <v>10.08</v>
      </c>
      <c r="S430" s="38">
        <v>0.88200000000000001</v>
      </c>
      <c r="T430" s="38"/>
      <c r="U430" s="38"/>
      <c r="V430" s="38"/>
      <c r="W430" s="38"/>
      <c r="X430" s="38"/>
      <c r="Y430" s="38">
        <v>56.5</v>
      </c>
      <c r="Z430" s="38">
        <v>0.54</v>
      </c>
      <c r="AA430" s="38"/>
      <c r="AB430" s="38"/>
      <c r="AC430" s="38">
        <v>1140.3</v>
      </c>
      <c r="AD430" s="38">
        <v>1.95</v>
      </c>
      <c r="AE430" s="38"/>
      <c r="AF430" s="38"/>
      <c r="AG430" s="38">
        <v>3.85</v>
      </c>
      <c r="AH430" s="38"/>
      <c r="AI430" s="38">
        <v>1556.14</v>
      </c>
      <c r="AJ430" s="38"/>
      <c r="AK430" s="38"/>
      <c r="AL430" s="38">
        <v>3680</v>
      </c>
      <c r="AM430" s="38"/>
      <c r="AN430" s="38"/>
      <c r="AO430" s="38"/>
      <c r="AP430" s="38">
        <v>32.43</v>
      </c>
      <c r="AQ430" s="38">
        <v>4.26</v>
      </c>
      <c r="AR430" s="38" t="s">
        <v>3792</v>
      </c>
      <c r="AS430" s="38"/>
      <c r="AT430" s="38">
        <v>22740</v>
      </c>
      <c r="AU430" s="38">
        <v>55200</v>
      </c>
      <c r="AV430" s="38">
        <v>12560</v>
      </c>
      <c r="AW430" s="38">
        <v>27000</v>
      </c>
      <c r="AX430" s="38"/>
      <c r="AY430" s="38"/>
      <c r="AZ430" s="38" t="s">
        <v>3963</v>
      </c>
      <c r="BA430" s="38"/>
      <c r="BB430" s="38"/>
    </row>
    <row r="431" spans="1:54">
      <c r="A431" s="38" t="s">
        <v>3966</v>
      </c>
      <c r="B431" s="38" t="s">
        <v>1700</v>
      </c>
      <c r="C431" s="38" t="s">
        <v>3967</v>
      </c>
      <c r="D431" s="38" t="s">
        <v>3399</v>
      </c>
      <c r="E431" s="38" t="s">
        <v>3961</v>
      </c>
      <c r="F431" s="38"/>
      <c r="G431" s="38" t="s">
        <v>3844</v>
      </c>
      <c r="H431" s="38" t="s">
        <v>3400</v>
      </c>
      <c r="I431" s="38" t="s">
        <v>3962</v>
      </c>
      <c r="J431" s="38"/>
      <c r="K431" s="38">
        <v>400</v>
      </c>
      <c r="L431" s="38">
        <v>57.56</v>
      </c>
      <c r="M431" s="38"/>
      <c r="N431" s="38">
        <v>30.28</v>
      </c>
      <c r="O431" s="38">
        <v>1.89</v>
      </c>
      <c r="P431" s="38">
        <v>1.77</v>
      </c>
      <c r="Q431" s="38">
        <v>8.5</v>
      </c>
      <c r="R431" s="38">
        <v>10.46</v>
      </c>
      <c r="S431" s="38">
        <v>1.655</v>
      </c>
      <c r="T431" s="38"/>
      <c r="U431" s="38"/>
      <c r="V431" s="38"/>
      <c r="W431" s="38"/>
      <c r="X431" s="38"/>
      <c r="Y431" s="38">
        <v>70.510000000000005</v>
      </c>
      <c r="Z431" s="38">
        <v>0.64</v>
      </c>
      <c r="AA431" s="38"/>
      <c r="AB431" s="38"/>
      <c r="AC431" s="38">
        <v>1313.94</v>
      </c>
      <c r="AD431" s="38">
        <v>3.42</v>
      </c>
      <c r="AE431" s="38"/>
      <c r="AF431" s="38"/>
      <c r="AG431" s="38">
        <v>4.38</v>
      </c>
      <c r="AH431" s="38"/>
      <c r="AI431" s="38">
        <v>1988.55</v>
      </c>
      <c r="AJ431" s="38"/>
      <c r="AK431" s="38"/>
      <c r="AL431" s="38">
        <v>4240</v>
      </c>
      <c r="AM431" s="38"/>
      <c r="AN431" s="38"/>
      <c r="AO431" s="38"/>
      <c r="AP431" s="38">
        <v>30.77</v>
      </c>
      <c r="AQ431" s="38">
        <v>7.39</v>
      </c>
      <c r="AR431" s="38" t="s">
        <v>3792</v>
      </c>
      <c r="AS431" s="38"/>
      <c r="AT431" s="38">
        <v>27340</v>
      </c>
      <c r="AU431" s="38">
        <v>67730</v>
      </c>
      <c r="AV431" s="38">
        <v>14860</v>
      </c>
      <c r="AW431" s="38">
        <v>30290</v>
      </c>
      <c r="AX431" s="38"/>
      <c r="AY431" s="38"/>
      <c r="AZ431" s="38" t="s">
        <v>3963</v>
      </c>
      <c r="BA431" s="38"/>
      <c r="BB431" s="38"/>
    </row>
    <row r="432" spans="1:54">
      <c r="A432" s="38" t="s">
        <v>3968</v>
      </c>
      <c r="B432" s="38" t="s">
        <v>1700</v>
      </c>
      <c r="C432" s="38" t="s">
        <v>3960</v>
      </c>
      <c r="D432" s="38" t="s">
        <v>3399</v>
      </c>
      <c r="E432" s="38" t="s">
        <v>3961</v>
      </c>
      <c r="F432" s="38"/>
      <c r="G432" s="38" t="s">
        <v>3844</v>
      </c>
      <c r="H432" s="38" t="s">
        <v>3400</v>
      </c>
      <c r="I432" s="38" t="s">
        <v>3962</v>
      </c>
      <c r="J432" s="38"/>
      <c r="K432" s="38">
        <v>700</v>
      </c>
      <c r="L432" s="38">
        <v>59.28</v>
      </c>
      <c r="M432" s="38"/>
      <c r="N432" s="38">
        <v>33.68</v>
      </c>
      <c r="O432" s="38">
        <v>1.52</v>
      </c>
      <c r="P432" s="38">
        <v>0.76</v>
      </c>
      <c r="Q432" s="38">
        <v>4.76</v>
      </c>
      <c r="R432" s="38">
        <v>10.6</v>
      </c>
      <c r="S432" s="38">
        <v>0.83399999999999996</v>
      </c>
      <c r="T432" s="38"/>
      <c r="U432" s="38"/>
      <c r="V432" s="38"/>
      <c r="W432" s="38"/>
      <c r="X432" s="38"/>
      <c r="Y432" s="38">
        <v>61.09</v>
      </c>
      <c r="Z432" s="38">
        <v>0.01</v>
      </c>
      <c r="AA432" s="38"/>
      <c r="AB432" s="38"/>
      <c r="AC432" s="38">
        <v>1354.4</v>
      </c>
      <c r="AD432" s="38">
        <v>2.13</v>
      </c>
      <c r="AE432" s="38"/>
      <c r="AF432" s="38"/>
      <c r="AG432" s="38">
        <v>3.52</v>
      </c>
      <c r="AH432" s="38"/>
      <c r="AI432" s="38">
        <v>1906.31</v>
      </c>
      <c r="AJ432" s="38"/>
      <c r="AK432" s="38"/>
      <c r="AL432" s="38">
        <v>4840</v>
      </c>
      <c r="AM432" s="38"/>
      <c r="AN432" s="38"/>
      <c r="AO432" s="38"/>
      <c r="AP432" s="38">
        <v>25.28</v>
      </c>
      <c r="AQ432" s="38">
        <v>98.06</v>
      </c>
      <c r="AR432" s="38" t="s">
        <v>3792</v>
      </c>
      <c r="AS432" s="38"/>
      <c r="AT432" s="38">
        <v>22980</v>
      </c>
      <c r="AU432" s="38">
        <v>64310</v>
      </c>
      <c r="AV432" s="38">
        <v>15740</v>
      </c>
      <c r="AW432" s="38">
        <v>32390</v>
      </c>
      <c r="AX432" s="38"/>
      <c r="AY432" s="38"/>
      <c r="AZ432" s="38" t="s">
        <v>3963</v>
      </c>
      <c r="BA432" s="38"/>
      <c r="BB432" s="38"/>
    </row>
    <row r="433" spans="1:54">
      <c r="A433" s="38" t="s">
        <v>3969</v>
      </c>
      <c r="B433" s="38" t="s">
        <v>1700</v>
      </c>
      <c r="C433" s="38" t="s">
        <v>3965</v>
      </c>
      <c r="D433" s="38" t="s">
        <v>3399</v>
      </c>
      <c r="E433" s="38" t="s">
        <v>3961</v>
      </c>
      <c r="F433" s="38"/>
      <c r="G433" s="38" t="s">
        <v>3844</v>
      </c>
      <c r="H433" s="38" t="s">
        <v>3400</v>
      </c>
      <c r="I433" s="38" t="s">
        <v>3962</v>
      </c>
      <c r="J433" s="38"/>
      <c r="K433" s="38">
        <v>700</v>
      </c>
      <c r="L433" s="38">
        <v>61.72</v>
      </c>
      <c r="M433" s="38"/>
      <c r="N433" s="38">
        <v>34.92</v>
      </c>
      <c r="O433" s="38">
        <v>1.0900000000000001</v>
      </c>
      <c r="P433" s="38">
        <v>0.57999999999999996</v>
      </c>
      <c r="Q433" s="38">
        <v>1.68</v>
      </c>
      <c r="R433" s="38">
        <v>10.78</v>
      </c>
      <c r="S433" s="38">
        <v>1.133</v>
      </c>
      <c r="T433" s="38"/>
      <c r="U433" s="38"/>
      <c r="V433" s="38"/>
      <c r="W433" s="38"/>
      <c r="X433" s="38"/>
      <c r="Y433" s="38">
        <v>68.47</v>
      </c>
      <c r="Z433" s="38">
        <v>0.02</v>
      </c>
      <c r="AA433" s="38"/>
      <c r="AB433" s="38"/>
      <c r="AC433" s="38">
        <v>1369.38</v>
      </c>
      <c r="AD433" s="38">
        <v>3.2</v>
      </c>
      <c r="AE433" s="38"/>
      <c r="AF433" s="38"/>
      <c r="AG433" s="38">
        <v>4.3499999999999996</v>
      </c>
      <c r="AH433" s="38"/>
      <c r="AI433" s="38">
        <v>2019.61</v>
      </c>
      <c r="AJ433" s="38"/>
      <c r="AK433" s="38"/>
      <c r="AL433" s="38">
        <v>5230</v>
      </c>
      <c r="AM433" s="38"/>
      <c r="AN433" s="38"/>
      <c r="AO433" s="38"/>
      <c r="AP433" s="38">
        <v>19.43</v>
      </c>
      <c r="AQ433" s="38">
        <v>116.9</v>
      </c>
      <c r="AR433" s="38" t="s">
        <v>3792</v>
      </c>
      <c r="AS433" s="38"/>
      <c r="AT433" s="38">
        <v>29280</v>
      </c>
      <c r="AU433" s="38">
        <v>67920</v>
      </c>
      <c r="AV433" s="38">
        <v>15940</v>
      </c>
      <c r="AW433" s="38">
        <v>32720</v>
      </c>
      <c r="AX433" s="38"/>
      <c r="AY433" s="38"/>
      <c r="AZ433" s="38" t="s">
        <v>3963</v>
      </c>
      <c r="BA433" s="38"/>
      <c r="BB433" s="38"/>
    </row>
    <row r="434" spans="1:54">
      <c r="A434" s="38" t="s">
        <v>3970</v>
      </c>
      <c r="B434" s="38" t="s">
        <v>1700</v>
      </c>
      <c r="C434" s="38" t="s">
        <v>3967</v>
      </c>
      <c r="D434" s="38" t="s">
        <v>3399</v>
      </c>
      <c r="E434" s="38" t="s">
        <v>3961</v>
      </c>
      <c r="F434" s="38"/>
      <c r="G434" s="38" t="s">
        <v>3844</v>
      </c>
      <c r="H434" s="38" t="s">
        <v>3400</v>
      </c>
      <c r="I434" s="38" t="s">
        <v>3962</v>
      </c>
      <c r="J434" s="38"/>
      <c r="K434" s="38">
        <v>700</v>
      </c>
      <c r="L434" s="38">
        <v>71.81</v>
      </c>
      <c r="M434" s="38"/>
      <c r="N434" s="38">
        <v>24.29</v>
      </c>
      <c r="O434" s="38">
        <v>0.86</v>
      </c>
      <c r="P434" s="38">
        <v>0.45</v>
      </c>
      <c r="Q434" s="38">
        <v>2.59</v>
      </c>
      <c r="R434" s="38">
        <v>11.41</v>
      </c>
      <c r="S434" s="38">
        <v>1.835</v>
      </c>
      <c r="T434" s="38"/>
      <c r="U434" s="38"/>
      <c r="V434" s="38"/>
      <c r="W434" s="38"/>
      <c r="X434" s="38"/>
      <c r="Y434" s="38">
        <v>73.95</v>
      </c>
      <c r="Z434" s="38">
        <v>0.03</v>
      </c>
      <c r="AA434" s="38"/>
      <c r="AB434" s="38"/>
      <c r="AC434" s="38">
        <v>1501.9</v>
      </c>
      <c r="AD434" s="38">
        <v>4.74</v>
      </c>
      <c r="AE434" s="38"/>
      <c r="AF434" s="38"/>
      <c r="AG434" s="38">
        <v>4.51</v>
      </c>
      <c r="AH434" s="38"/>
      <c r="AI434" s="38">
        <v>2397.7199999999998</v>
      </c>
      <c r="AJ434" s="38"/>
      <c r="AK434" s="38"/>
      <c r="AL434" s="38">
        <v>5770</v>
      </c>
      <c r="AM434" s="38"/>
      <c r="AN434" s="38"/>
      <c r="AO434" s="38"/>
      <c r="AP434" s="38">
        <v>16.04</v>
      </c>
      <c r="AQ434" s="38">
        <v>73.540000000000006</v>
      </c>
      <c r="AR434" s="38" t="s">
        <v>3792</v>
      </c>
      <c r="AS434" s="38"/>
      <c r="AT434" s="38">
        <v>31200</v>
      </c>
      <c r="AU434" s="38">
        <v>81270</v>
      </c>
      <c r="AV434" s="38">
        <v>16860</v>
      </c>
      <c r="AW434" s="38">
        <v>36000</v>
      </c>
      <c r="AX434" s="38"/>
      <c r="AY434" s="38"/>
      <c r="AZ434" s="38" t="s">
        <v>3963</v>
      </c>
      <c r="BA434" s="38"/>
      <c r="BB434" s="38"/>
    </row>
    <row r="435" spans="1:54">
      <c r="A435" s="38" t="s">
        <v>3971</v>
      </c>
      <c r="B435" s="38" t="s">
        <v>3409</v>
      </c>
      <c r="C435" s="38" t="s">
        <v>3972</v>
      </c>
      <c r="D435" s="38" t="s">
        <v>3351</v>
      </c>
      <c r="E435" s="38" t="s">
        <v>3973</v>
      </c>
      <c r="F435" s="38" t="s">
        <v>3974</v>
      </c>
      <c r="G435" s="38" t="s">
        <v>3756</v>
      </c>
      <c r="H435" s="38" t="s">
        <v>3400</v>
      </c>
      <c r="I435" s="38" t="s">
        <v>3975</v>
      </c>
      <c r="J435" s="38"/>
      <c r="K435" s="38">
        <v>600</v>
      </c>
      <c r="L435" s="38"/>
      <c r="M435" s="38"/>
      <c r="N435" s="38">
        <v>53.5</v>
      </c>
      <c r="O435" s="38">
        <v>0.31</v>
      </c>
      <c r="P435" s="38"/>
      <c r="Q435" s="38"/>
      <c r="R435" s="38">
        <v>10.24</v>
      </c>
      <c r="S435" s="38"/>
      <c r="T435" s="38"/>
      <c r="U435" s="38"/>
      <c r="V435" s="38"/>
      <c r="W435" s="38"/>
      <c r="X435" s="38"/>
      <c r="Y435" s="38"/>
      <c r="Z435" s="38">
        <v>0.1</v>
      </c>
      <c r="AA435" s="38"/>
      <c r="AB435" s="38"/>
      <c r="AC435" s="38"/>
      <c r="AD435" s="38"/>
      <c r="AE435" s="38"/>
      <c r="AF435" s="38"/>
      <c r="AG435" s="38"/>
      <c r="AH435" s="38"/>
      <c r="AI435" s="38">
        <v>116</v>
      </c>
      <c r="AJ435" s="38"/>
      <c r="AK435" s="38"/>
      <c r="AL435" s="38">
        <v>1370</v>
      </c>
      <c r="AM435" s="38"/>
      <c r="AN435" s="38"/>
      <c r="AO435" s="38"/>
      <c r="AP435" s="38"/>
      <c r="AQ435" s="38"/>
      <c r="AR435" s="38"/>
      <c r="AS435" s="38"/>
      <c r="AT435" s="38">
        <v>2910</v>
      </c>
      <c r="AU435" s="38">
        <v>10470</v>
      </c>
      <c r="AV435" s="38">
        <v>3950</v>
      </c>
      <c r="AW435" s="38">
        <v>12230</v>
      </c>
      <c r="AX435" s="38"/>
      <c r="AY435" s="38"/>
      <c r="AZ435" s="38"/>
      <c r="BA435" s="38"/>
      <c r="BB435" s="38"/>
    </row>
    <row r="436" spans="1:54">
      <c r="A436" s="38" t="s">
        <v>3976</v>
      </c>
      <c r="B436" s="38" t="s">
        <v>3652</v>
      </c>
      <c r="C436" s="38" t="s">
        <v>3977</v>
      </c>
      <c r="D436" s="38" t="s">
        <v>3399</v>
      </c>
      <c r="E436" s="38" t="s">
        <v>1326</v>
      </c>
      <c r="F436" s="38"/>
      <c r="G436" s="38" t="s">
        <v>3756</v>
      </c>
      <c r="H436" s="38" t="s">
        <v>3400</v>
      </c>
      <c r="I436" s="38" t="s">
        <v>3978</v>
      </c>
      <c r="J436" s="38"/>
      <c r="K436" s="38">
        <v>400</v>
      </c>
      <c r="L436" s="38"/>
      <c r="M436" s="38"/>
      <c r="N436" s="38"/>
      <c r="O436" s="38"/>
      <c r="P436" s="38"/>
      <c r="Q436" s="38"/>
      <c r="R436" s="38">
        <v>7.76</v>
      </c>
      <c r="S436" s="38">
        <v>3.04</v>
      </c>
      <c r="T436" s="38"/>
      <c r="U436" s="38"/>
      <c r="V436" s="38"/>
      <c r="W436" s="38"/>
      <c r="X436" s="38"/>
      <c r="Y436" s="38"/>
      <c r="Z436" s="38">
        <v>9.67</v>
      </c>
      <c r="AA436" s="38"/>
      <c r="AB436" s="38"/>
      <c r="AC436" s="38">
        <v>632</v>
      </c>
      <c r="AD436" s="38">
        <v>239</v>
      </c>
      <c r="AE436" s="38"/>
      <c r="AF436" s="38"/>
      <c r="AG436" s="38">
        <v>129</v>
      </c>
      <c r="AH436" s="38"/>
      <c r="AI436" s="38">
        <v>2983</v>
      </c>
      <c r="AJ436" s="38"/>
      <c r="AK436" s="38"/>
      <c r="AL436" s="38"/>
      <c r="AM436" s="38"/>
      <c r="AN436" s="38">
        <v>29.9</v>
      </c>
      <c r="AO436" s="38" t="s">
        <v>3979</v>
      </c>
      <c r="AP436" s="38"/>
      <c r="AQ436" s="38">
        <v>33.44</v>
      </c>
      <c r="AR436" s="38" t="s">
        <v>3857</v>
      </c>
      <c r="AS436" s="38"/>
      <c r="AT436" s="38"/>
      <c r="AU436" s="38"/>
      <c r="AV436" s="38"/>
      <c r="AW436" s="38"/>
      <c r="AX436" s="38"/>
      <c r="AY436" s="38"/>
      <c r="AZ436" s="38"/>
      <c r="BA436" s="38"/>
      <c r="BB436" s="38"/>
    </row>
    <row r="437" spans="1:54">
      <c r="A437" s="38" t="s">
        <v>3980</v>
      </c>
      <c r="B437" s="38" t="s">
        <v>3652</v>
      </c>
      <c r="C437" s="38" t="s">
        <v>3977</v>
      </c>
      <c r="D437" s="38" t="s">
        <v>3399</v>
      </c>
      <c r="E437" s="38" t="s">
        <v>1326</v>
      </c>
      <c r="F437" s="38"/>
      <c r="G437" s="38" t="s">
        <v>3981</v>
      </c>
      <c r="H437" s="38" t="s">
        <v>3400</v>
      </c>
      <c r="I437" s="38" t="s">
        <v>3978</v>
      </c>
      <c r="J437" s="38"/>
      <c r="K437" s="38">
        <v>600</v>
      </c>
      <c r="L437" s="38"/>
      <c r="M437" s="38"/>
      <c r="N437" s="38"/>
      <c r="O437" s="38"/>
      <c r="P437" s="38"/>
      <c r="Q437" s="38"/>
      <c r="R437" s="38">
        <v>8.7200000000000006</v>
      </c>
      <c r="S437" s="38">
        <v>1.46</v>
      </c>
      <c r="T437" s="38"/>
      <c r="U437" s="38"/>
      <c r="V437" s="38"/>
      <c r="W437" s="38"/>
      <c r="X437" s="38"/>
      <c r="Y437" s="38"/>
      <c r="Z437" s="38">
        <v>9.76</v>
      </c>
      <c r="AA437" s="38"/>
      <c r="AB437" s="38"/>
      <c r="AC437" s="38">
        <v>740</v>
      </c>
      <c r="AD437" s="38">
        <v>253</v>
      </c>
      <c r="AE437" s="38"/>
      <c r="AF437" s="38"/>
      <c r="AG437" s="38">
        <v>134</v>
      </c>
      <c r="AH437" s="38"/>
      <c r="AI437" s="38">
        <v>3922</v>
      </c>
      <c r="AJ437" s="38"/>
      <c r="AK437" s="38"/>
      <c r="AL437" s="38"/>
      <c r="AM437" s="38"/>
      <c r="AN437" s="38">
        <v>11.67</v>
      </c>
      <c r="AO437" s="38" t="s">
        <v>3979</v>
      </c>
      <c r="AP437" s="38"/>
      <c r="AQ437" s="38">
        <v>37.18</v>
      </c>
      <c r="AR437" s="38" t="s">
        <v>3857</v>
      </c>
      <c r="AS437" s="38"/>
      <c r="AT437" s="38"/>
      <c r="AU437" s="38"/>
      <c r="AV437" s="38"/>
      <c r="AW437" s="38"/>
      <c r="AX437" s="38"/>
      <c r="AY437" s="38"/>
      <c r="AZ437" s="38"/>
      <c r="BA437" s="38"/>
      <c r="BB437" s="38"/>
    </row>
    <row r="438" spans="1:54">
      <c r="A438" s="38" t="s">
        <v>3982</v>
      </c>
      <c r="B438" s="38" t="s">
        <v>3471</v>
      </c>
      <c r="C438" s="38" t="s">
        <v>3983</v>
      </c>
      <c r="D438" s="38" t="s">
        <v>3351</v>
      </c>
      <c r="E438" s="38" t="s">
        <v>3973</v>
      </c>
      <c r="F438" s="38" t="s">
        <v>3974</v>
      </c>
      <c r="G438" s="38" t="s">
        <v>3756</v>
      </c>
      <c r="H438" s="38" t="s">
        <v>3400</v>
      </c>
      <c r="I438" s="38" t="s">
        <v>3984</v>
      </c>
      <c r="J438" s="38"/>
      <c r="K438" s="38">
        <v>750</v>
      </c>
      <c r="L438" s="38">
        <v>17.71</v>
      </c>
      <c r="M438" s="38"/>
      <c r="N438" s="38">
        <v>67.77</v>
      </c>
      <c r="O438" s="38">
        <v>0.68</v>
      </c>
      <c r="P438" s="38"/>
      <c r="Q438" s="38">
        <v>1.1100000000000001</v>
      </c>
      <c r="R438" s="38">
        <v>10.1</v>
      </c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38"/>
      <c r="AP438" s="38"/>
      <c r="AQ438" s="38">
        <v>226.4</v>
      </c>
      <c r="AR438" s="38" t="s">
        <v>3792</v>
      </c>
      <c r="AS438" s="38"/>
      <c r="AT438" s="38"/>
      <c r="AU438" s="38"/>
      <c r="AV438" s="38"/>
      <c r="AW438" s="38"/>
      <c r="AX438" s="38"/>
      <c r="AY438" s="38"/>
      <c r="AZ438" s="38"/>
      <c r="BA438" s="38"/>
      <c r="BB438" s="38"/>
    </row>
    <row r="439" spans="1:54">
      <c r="A439" s="38" t="s">
        <v>3985</v>
      </c>
      <c r="B439" s="38" t="s">
        <v>3409</v>
      </c>
      <c r="C439" s="38" t="s">
        <v>3986</v>
      </c>
      <c r="D439" s="38" t="s">
        <v>3399</v>
      </c>
      <c r="E439" s="38"/>
      <c r="F439" s="38"/>
      <c r="G439" s="38" t="s">
        <v>3756</v>
      </c>
      <c r="H439" s="38" t="s">
        <v>3400</v>
      </c>
      <c r="I439" s="38" t="s">
        <v>3987</v>
      </c>
      <c r="J439" s="38"/>
      <c r="K439" s="38">
        <v>450</v>
      </c>
      <c r="L439" s="38">
        <v>26.2</v>
      </c>
      <c r="M439" s="38"/>
      <c r="N439" s="38">
        <v>57.9</v>
      </c>
      <c r="O439" s="38">
        <v>0.83</v>
      </c>
      <c r="P439" s="38">
        <v>3.31</v>
      </c>
      <c r="Q439" s="38">
        <v>11.8</v>
      </c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38"/>
      <c r="AP439" s="38"/>
      <c r="AQ439" s="38"/>
      <c r="AR439" s="38"/>
      <c r="AS439" s="38"/>
      <c r="AT439" s="38"/>
      <c r="AU439" s="38"/>
      <c r="AV439" s="38"/>
      <c r="AW439" s="38"/>
      <c r="AX439" s="38"/>
      <c r="AY439" s="38"/>
      <c r="AZ439" s="38"/>
      <c r="BA439" s="38"/>
      <c r="BB439" s="38"/>
    </row>
    <row r="440" spans="1:54">
      <c r="A440" s="38" t="s">
        <v>3988</v>
      </c>
      <c r="B440" s="38" t="s">
        <v>3409</v>
      </c>
      <c r="C440" s="38" t="s">
        <v>3986</v>
      </c>
      <c r="D440" s="38" t="s">
        <v>3399</v>
      </c>
      <c r="E440" s="38"/>
      <c r="F440" s="38"/>
      <c r="G440" s="38" t="s">
        <v>3756</v>
      </c>
      <c r="H440" s="38" t="s">
        <v>3400</v>
      </c>
      <c r="I440" s="38" t="s">
        <v>3987</v>
      </c>
      <c r="J440" s="38"/>
      <c r="K440" s="38">
        <v>600</v>
      </c>
      <c r="L440" s="38"/>
      <c r="M440" s="38"/>
      <c r="N440" s="38">
        <v>59.3</v>
      </c>
      <c r="O440" s="38">
        <v>0.83</v>
      </c>
      <c r="P440" s="38">
        <v>2.34</v>
      </c>
      <c r="Q440" s="38">
        <v>5.5</v>
      </c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38"/>
      <c r="AP440" s="38"/>
      <c r="AQ440" s="38"/>
      <c r="AR440" s="38"/>
      <c r="AS440" s="38"/>
      <c r="AT440" s="38"/>
      <c r="AU440" s="38"/>
      <c r="AV440" s="38"/>
      <c r="AW440" s="38"/>
      <c r="AX440" s="38"/>
      <c r="AY440" s="38"/>
      <c r="AZ440" s="38"/>
      <c r="BA440" s="38"/>
      <c r="BB440" s="38"/>
    </row>
    <row r="441" spans="1:54">
      <c r="A441" s="38" t="s">
        <v>3989</v>
      </c>
      <c r="B441" s="38" t="s">
        <v>3409</v>
      </c>
      <c r="C441" s="38" t="s">
        <v>3990</v>
      </c>
      <c r="D441" s="38" t="s">
        <v>3399</v>
      </c>
      <c r="E441" s="38"/>
      <c r="F441" s="38"/>
      <c r="G441" s="38" t="s">
        <v>3756</v>
      </c>
      <c r="H441" s="38" t="s">
        <v>3400</v>
      </c>
      <c r="I441" s="38" t="s">
        <v>3987</v>
      </c>
      <c r="J441" s="38"/>
      <c r="K441" s="38">
        <v>450</v>
      </c>
      <c r="L441" s="38"/>
      <c r="M441" s="38"/>
      <c r="N441" s="38">
        <v>70.2</v>
      </c>
      <c r="O441" s="38">
        <v>0.46</v>
      </c>
      <c r="P441" s="38">
        <v>4.28</v>
      </c>
      <c r="Q441" s="38">
        <v>12.9</v>
      </c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38"/>
      <c r="AP441" s="38"/>
      <c r="AQ441" s="38"/>
      <c r="AR441" s="38"/>
      <c r="AS441" s="38"/>
      <c r="AT441" s="38"/>
      <c r="AU441" s="38"/>
      <c r="AV441" s="38"/>
      <c r="AW441" s="38"/>
      <c r="AX441" s="38"/>
      <c r="AY441" s="38"/>
      <c r="AZ441" s="38"/>
      <c r="BA441" s="38"/>
      <c r="BB441" s="38"/>
    </row>
    <row r="442" spans="1:54">
      <c r="A442" s="38" t="s">
        <v>3991</v>
      </c>
      <c r="B442" s="38" t="s">
        <v>3409</v>
      </c>
      <c r="C442" s="38" t="s">
        <v>3990</v>
      </c>
      <c r="D442" s="38" t="s">
        <v>3399</v>
      </c>
      <c r="E442" s="38"/>
      <c r="F442" s="38"/>
      <c r="G442" s="38" t="s">
        <v>3756</v>
      </c>
      <c r="H442" s="38" t="s">
        <v>3400</v>
      </c>
      <c r="I442" s="38" t="s">
        <v>3987</v>
      </c>
      <c r="J442" s="38"/>
      <c r="K442" s="38">
        <v>600</v>
      </c>
      <c r="L442" s="38"/>
      <c r="M442" s="38"/>
      <c r="N442" s="38">
        <v>77.8</v>
      </c>
      <c r="O442" s="38">
        <v>0.42</v>
      </c>
      <c r="P442" s="38">
        <v>4.28</v>
      </c>
      <c r="Q442" s="38">
        <v>12.9</v>
      </c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38"/>
      <c r="AP442" s="38"/>
      <c r="AQ442" s="38"/>
      <c r="AR442" s="38"/>
      <c r="AS442" s="38"/>
      <c r="AT442" s="38"/>
      <c r="AU442" s="38"/>
      <c r="AV442" s="38"/>
      <c r="AW442" s="38"/>
      <c r="AX442" s="38"/>
      <c r="AY442" s="38"/>
      <c r="AZ442" s="38"/>
      <c r="BA442" s="38"/>
      <c r="BB442" s="38"/>
    </row>
    <row r="443" spans="1:54">
      <c r="A443" s="38" t="s">
        <v>3992</v>
      </c>
      <c r="B443" s="38" t="s">
        <v>3424</v>
      </c>
      <c r="C443" s="38" t="s">
        <v>3993</v>
      </c>
      <c r="D443" s="38" t="s">
        <v>3399</v>
      </c>
      <c r="E443" s="38"/>
      <c r="F443" s="38"/>
      <c r="G443" s="38" t="s">
        <v>3756</v>
      </c>
      <c r="H443" s="38" t="s">
        <v>3400</v>
      </c>
      <c r="I443" s="38" t="s">
        <v>3987</v>
      </c>
      <c r="J443" s="38"/>
      <c r="K443" s="38">
        <v>450</v>
      </c>
      <c r="L443" s="38"/>
      <c r="M443" s="38"/>
      <c r="N443" s="38">
        <v>74.400000000000006</v>
      </c>
      <c r="O443" s="38">
        <v>1.01</v>
      </c>
      <c r="P443" s="38">
        <v>3.81</v>
      </c>
      <c r="Q443" s="38">
        <v>11.8</v>
      </c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38"/>
      <c r="AP443" s="38"/>
      <c r="AQ443" s="38"/>
      <c r="AR443" s="38"/>
      <c r="AS443" s="38"/>
      <c r="AT443" s="38"/>
      <c r="AU443" s="38"/>
      <c r="AV443" s="38"/>
      <c r="AW443" s="38"/>
      <c r="AX443" s="38"/>
      <c r="AY443" s="38"/>
      <c r="AZ443" s="38"/>
      <c r="BA443" s="38"/>
      <c r="BB443" s="38"/>
    </row>
    <row r="444" spans="1:54">
      <c r="A444" s="38" t="s">
        <v>3971</v>
      </c>
      <c r="B444" s="38" t="s">
        <v>3424</v>
      </c>
      <c r="C444" s="38" t="s">
        <v>3993</v>
      </c>
      <c r="D444" s="38" t="s">
        <v>3399</v>
      </c>
      <c r="E444" s="38"/>
      <c r="F444" s="38"/>
      <c r="G444" s="38" t="s">
        <v>3756</v>
      </c>
      <c r="H444" s="38" t="s">
        <v>3400</v>
      </c>
      <c r="I444" s="38" t="s">
        <v>3987</v>
      </c>
      <c r="J444" s="38"/>
      <c r="K444" s="38">
        <v>600</v>
      </c>
      <c r="L444" s="38"/>
      <c r="M444" s="38">
        <v>79.900000000000006</v>
      </c>
      <c r="N444" s="38"/>
      <c r="O444" s="38">
        <v>0.99</v>
      </c>
      <c r="P444" s="38">
        <v>3.81</v>
      </c>
      <c r="Q444" s="38">
        <v>11.8</v>
      </c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38"/>
      <c r="AP444" s="38"/>
      <c r="AQ444" s="38"/>
      <c r="AR444" s="38"/>
      <c r="AS444" s="38"/>
      <c r="AT444" s="38"/>
      <c r="AU444" s="38"/>
      <c r="AV444" s="38"/>
      <c r="AW444" s="38"/>
      <c r="AX444" s="38"/>
      <c r="AY444" s="38"/>
      <c r="AZ444" s="38"/>
      <c r="BA444" s="38"/>
      <c r="BB444" s="38"/>
    </row>
    <row r="445" spans="1:54">
      <c r="A445" s="38" t="s">
        <v>3994</v>
      </c>
      <c r="B445" s="38" t="s">
        <v>1700</v>
      </c>
      <c r="C445" s="38" t="s">
        <v>3995</v>
      </c>
      <c r="D445" s="38" t="s">
        <v>3399</v>
      </c>
      <c r="E445" s="38"/>
      <c r="F445" s="38"/>
      <c r="G445" s="38" t="s">
        <v>3756</v>
      </c>
      <c r="H445" s="38" t="s">
        <v>3400</v>
      </c>
      <c r="I445" s="38" t="s">
        <v>3987</v>
      </c>
      <c r="J445" s="38"/>
      <c r="K445" s="38">
        <v>450</v>
      </c>
      <c r="L445" s="38"/>
      <c r="M445" s="38"/>
      <c r="N445" s="38">
        <v>9.8000000000000007</v>
      </c>
      <c r="O445" s="38">
        <v>0.53</v>
      </c>
      <c r="P445" s="38">
        <v>0.91</v>
      </c>
      <c r="Q445" s="38">
        <v>3.6</v>
      </c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38"/>
      <c r="AP445" s="38"/>
      <c r="AQ445" s="38"/>
      <c r="AR445" s="38"/>
      <c r="AS445" s="38"/>
      <c r="AT445" s="38"/>
      <c r="AU445" s="38"/>
      <c r="AV445" s="38"/>
      <c r="AW445" s="38"/>
      <c r="AX445" s="38"/>
      <c r="AY445" s="38"/>
      <c r="AZ445" s="38"/>
      <c r="BA445" s="38"/>
      <c r="BB445" s="38"/>
    </row>
    <row r="446" spans="1:54">
      <c r="A446" s="38" t="s">
        <v>3996</v>
      </c>
      <c r="B446" s="38" t="s">
        <v>1700</v>
      </c>
      <c r="C446" s="38"/>
      <c r="D446" s="38" t="s">
        <v>3399</v>
      </c>
      <c r="E446" s="38"/>
      <c r="F446" s="38"/>
      <c r="G446" s="38" t="s">
        <v>3997</v>
      </c>
      <c r="H446" s="38" t="s">
        <v>3400</v>
      </c>
      <c r="I446" s="38" t="s">
        <v>3987</v>
      </c>
      <c r="J446" s="38"/>
      <c r="K446" s="38">
        <v>600</v>
      </c>
      <c r="L446" s="38"/>
      <c r="M446" s="38"/>
      <c r="N446" s="38">
        <v>8.6999999999999993</v>
      </c>
      <c r="O446" s="38">
        <v>0.33</v>
      </c>
      <c r="P446" s="38">
        <v>0.5</v>
      </c>
      <c r="Q446" s="38">
        <v>1.5</v>
      </c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38"/>
      <c r="AP446" s="38"/>
      <c r="AQ446" s="38"/>
      <c r="AR446" s="38"/>
      <c r="AS446" s="38"/>
      <c r="AT446" s="38"/>
      <c r="AU446" s="38"/>
      <c r="AV446" s="38"/>
      <c r="AW446" s="38"/>
      <c r="AX446" s="38"/>
      <c r="AY446" s="38"/>
      <c r="AZ446" s="38"/>
      <c r="BA446" s="38"/>
      <c r="BB446" s="38"/>
    </row>
    <row r="447" spans="1:54">
      <c r="A447" s="38" t="s">
        <v>3998</v>
      </c>
      <c r="B447" s="38" t="s">
        <v>1700</v>
      </c>
      <c r="C447" s="38" t="s">
        <v>3788</v>
      </c>
      <c r="D447" s="38" t="s">
        <v>3399</v>
      </c>
      <c r="E447" s="38"/>
      <c r="F447" s="38"/>
      <c r="G447" s="38" t="s">
        <v>3756</v>
      </c>
      <c r="H447" s="38" t="s">
        <v>3400</v>
      </c>
      <c r="I447" s="38" t="s">
        <v>3987</v>
      </c>
      <c r="J447" s="38"/>
      <c r="K447" s="38">
        <v>450</v>
      </c>
      <c r="L447" s="38"/>
      <c r="M447" s="38"/>
      <c r="N447" s="38">
        <v>33.700000000000003</v>
      </c>
      <c r="O447" s="38">
        <v>2.57</v>
      </c>
      <c r="P447" s="38">
        <v>2.5499999999999998</v>
      </c>
      <c r="Q447" s="38">
        <v>10.199999999999999</v>
      </c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38"/>
      <c r="AP447" s="38"/>
      <c r="AQ447" s="38"/>
      <c r="AR447" s="38"/>
      <c r="AS447" s="38"/>
      <c r="AT447" s="38"/>
      <c r="AU447" s="38"/>
      <c r="AV447" s="38"/>
      <c r="AW447" s="38"/>
      <c r="AX447" s="38"/>
      <c r="AY447" s="38"/>
      <c r="AZ447" s="38"/>
      <c r="BA447" s="38"/>
      <c r="BB447" s="38"/>
    </row>
    <row r="448" spans="1:54">
      <c r="A448" s="38" t="s">
        <v>3795</v>
      </c>
      <c r="B448" s="38" t="s">
        <v>1700</v>
      </c>
      <c r="C448" s="38" t="s">
        <v>3788</v>
      </c>
      <c r="D448" s="38" t="s">
        <v>3399</v>
      </c>
      <c r="E448" s="38"/>
      <c r="F448" s="38"/>
      <c r="G448" s="38" t="s">
        <v>3756</v>
      </c>
      <c r="H448" s="38" t="s">
        <v>3400</v>
      </c>
      <c r="I448" s="38" t="s">
        <v>3987</v>
      </c>
      <c r="J448" s="38"/>
      <c r="K448" s="38">
        <v>600</v>
      </c>
      <c r="L448" s="38"/>
      <c r="M448" s="38"/>
      <c r="N448" s="38">
        <v>35.6</v>
      </c>
      <c r="O448" s="38">
        <v>2.46</v>
      </c>
      <c r="P448" s="38">
        <v>1.79</v>
      </c>
      <c r="Q448" s="38">
        <v>7.9</v>
      </c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38"/>
      <c r="AP448" s="38"/>
      <c r="AQ448" s="38"/>
      <c r="AR448" s="38"/>
      <c r="AS448" s="38"/>
      <c r="AT448" s="38"/>
      <c r="AU448" s="38"/>
      <c r="AV448" s="38"/>
      <c r="AW448" s="38"/>
      <c r="AX448" s="38"/>
      <c r="AY448" s="38"/>
      <c r="AZ448" s="38"/>
      <c r="BA448" s="38"/>
      <c r="BB448" s="38"/>
    </row>
    <row r="449" spans="1:54">
      <c r="A449" s="38" t="s">
        <v>3999</v>
      </c>
      <c r="B449" s="38" t="s">
        <v>1700</v>
      </c>
      <c r="C449" s="38" t="s">
        <v>4000</v>
      </c>
      <c r="D449" s="38" t="s">
        <v>3399</v>
      </c>
      <c r="E449" s="38"/>
      <c r="F449" s="38"/>
      <c r="G449" s="38" t="s">
        <v>3756</v>
      </c>
      <c r="H449" s="38" t="s">
        <v>3400</v>
      </c>
      <c r="I449" s="38" t="s">
        <v>3987</v>
      </c>
      <c r="J449" s="38"/>
      <c r="K449" s="38">
        <v>450</v>
      </c>
      <c r="L449" s="38"/>
      <c r="M449" s="38"/>
      <c r="N449" s="38">
        <v>29.5</v>
      </c>
      <c r="O449" s="38">
        <v>1.39</v>
      </c>
      <c r="P449" s="38">
        <v>0.95</v>
      </c>
      <c r="Q449" s="38">
        <v>4.0999999999999996</v>
      </c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38"/>
      <c r="AP449" s="38"/>
      <c r="AQ449" s="38"/>
      <c r="AR449" s="38"/>
      <c r="AS449" s="38"/>
      <c r="AT449" s="38"/>
      <c r="AU449" s="38"/>
      <c r="AV449" s="38"/>
      <c r="AW449" s="38"/>
      <c r="AX449" s="38"/>
      <c r="AY449" s="38"/>
      <c r="AZ449" s="38"/>
      <c r="BA449" s="38"/>
      <c r="BB449" s="38"/>
    </row>
    <row r="450" spans="1:54">
      <c r="A450" s="38" t="s">
        <v>4001</v>
      </c>
      <c r="B450" s="38" t="s">
        <v>1700</v>
      </c>
      <c r="C450" s="38" t="s">
        <v>4000</v>
      </c>
      <c r="D450" s="38" t="s">
        <v>3399</v>
      </c>
      <c r="E450" s="38"/>
      <c r="F450" s="38"/>
      <c r="G450" s="38" t="s">
        <v>3756</v>
      </c>
      <c r="H450" s="38" t="s">
        <v>3400</v>
      </c>
      <c r="I450" s="38" t="s">
        <v>3987</v>
      </c>
      <c r="J450" s="38"/>
      <c r="K450" s="38">
        <v>600</v>
      </c>
      <c r="L450" s="38"/>
      <c r="M450" s="38"/>
      <c r="N450" s="38">
        <v>30.7</v>
      </c>
      <c r="O450" s="38">
        <v>1.1100000000000001</v>
      </c>
      <c r="P450" s="38">
        <v>0.46</v>
      </c>
      <c r="Q450" s="38">
        <v>1.2</v>
      </c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38"/>
      <c r="AP450" s="38"/>
      <c r="AQ450" s="38"/>
      <c r="AR450" s="38"/>
      <c r="AS450" s="38"/>
      <c r="AT450" s="38"/>
      <c r="AU450" s="38"/>
      <c r="AV450" s="38"/>
      <c r="AW450" s="38"/>
      <c r="AX450" s="38"/>
      <c r="AY450" s="38"/>
      <c r="AZ450" s="38"/>
      <c r="BA450" s="38"/>
      <c r="BB450" s="38"/>
    </row>
    <row r="451" spans="1:54">
      <c r="A451" s="38" t="s">
        <v>4002</v>
      </c>
      <c r="B451" s="38" t="s">
        <v>3409</v>
      </c>
      <c r="C451" s="38" t="s">
        <v>4003</v>
      </c>
      <c r="D451" s="38" t="s">
        <v>3399</v>
      </c>
      <c r="E451" s="38" t="s">
        <v>3961</v>
      </c>
      <c r="F451" s="38"/>
      <c r="G451" s="38" t="s">
        <v>3756</v>
      </c>
      <c r="H451" s="38" t="s">
        <v>3400</v>
      </c>
      <c r="I451" s="38" t="s">
        <v>4004</v>
      </c>
      <c r="J451" s="38"/>
      <c r="K451" s="38">
        <v>500</v>
      </c>
      <c r="L451" s="38">
        <v>16</v>
      </c>
      <c r="M451" s="38"/>
      <c r="N451" s="38">
        <v>66.48</v>
      </c>
      <c r="O451" s="38">
        <v>1.1000000000000001</v>
      </c>
      <c r="P451" s="38">
        <v>3.26</v>
      </c>
      <c r="Q451" s="38">
        <v>13.16</v>
      </c>
      <c r="R451" s="38">
        <v>10.050000000000001</v>
      </c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38"/>
      <c r="AP451" s="38"/>
      <c r="AQ451" s="38"/>
      <c r="AR451" s="38"/>
      <c r="AS451" s="38"/>
      <c r="AT451" s="38"/>
      <c r="AU451" s="38"/>
      <c r="AV451" s="38"/>
      <c r="AW451" s="38"/>
      <c r="AX451" s="38"/>
      <c r="AY451" s="38"/>
      <c r="AZ451" s="38"/>
      <c r="BA451" s="38"/>
      <c r="BB451" s="38"/>
    </row>
    <row r="452" spans="1:54">
      <c r="A452" s="38" t="s">
        <v>4005</v>
      </c>
      <c r="B452" s="38" t="s">
        <v>3409</v>
      </c>
      <c r="C452" s="38" t="s">
        <v>4006</v>
      </c>
      <c r="D452" s="38" t="s">
        <v>3399</v>
      </c>
      <c r="E452" s="38" t="s">
        <v>3961</v>
      </c>
      <c r="F452" s="38"/>
      <c r="G452" s="38" t="s">
        <v>3756</v>
      </c>
      <c r="H452" s="38" t="s">
        <v>3400</v>
      </c>
      <c r="I452" s="38" t="s">
        <v>4004</v>
      </c>
      <c r="J452" s="38"/>
      <c r="K452" s="38">
        <v>500</v>
      </c>
      <c r="L452" s="38">
        <v>11</v>
      </c>
      <c r="M452" s="38"/>
      <c r="N452" s="38">
        <v>67.94</v>
      </c>
      <c r="O452" s="38">
        <v>1.1200000000000001</v>
      </c>
      <c r="P452" s="38">
        <v>3.21</v>
      </c>
      <c r="Q452" s="38">
        <v>16.73</v>
      </c>
      <c r="R452" s="38">
        <v>8.44</v>
      </c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38"/>
      <c r="AP452" s="38"/>
      <c r="AQ452" s="38"/>
      <c r="AR452" s="38"/>
      <c r="AS452" s="38"/>
      <c r="AT452" s="38"/>
      <c r="AU452" s="38"/>
      <c r="AV452" s="38"/>
      <c r="AW452" s="38"/>
      <c r="AX452" s="38"/>
      <c r="AY452" s="38"/>
      <c r="AZ452" s="38"/>
      <c r="BA452" s="38"/>
      <c r="BB452" s="38"/>
    </row>
    <row r="453" spans="1:54">
      <c r="A453" s="38" t="s">
        <v>3794</v>
      </c>
      <c r="B453" s="38" t="s">
        <v>1700</v>
      </c>
      <c r="C453" s="38" t="s">
        <v>3788</v>
      </c>
      <c r="D453" s="38" t="s">
        <v>3399</v>
      </c>
      <c r="E453" s="38" t="s">
        <v>3961</v>
      </c>
      <c r="F453" s="38"/>
      <c r="G453" s="38" t="s">
        <v>3756</v>
      </c>
      <c r="H453" s="38" t="s">
        <v>3400</v>
      </c>
      <c r="I453" s="38" t="s">
        <v>4004</v>
      </c>
      <c r="J453" s="38"/>
      <c r="K453" s="38">
        <v>500</v>
      </c>
      <c r="L453" s="38">
        <v>50</v>
      </c>
      <c r="M453" s="38"/>
      <c r="N453" s="38">
        <v>36.96</v>
      </c>
      <c r="O453" s="38">
        <v>2.93</v>
      </c>
      <c r="P453" s="38">
        <v>1.93</v>
      </c>
      <c r="Q453" s="38">
        <v>8.19</v>
      </c>
      <c r="R453" s="38">
        <v>9.61</v>
      </c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38"/>
      <c r="AP453" s="38"/>
      <c r="AQ453" s="38"/>
      <c r="AR453" s="38"/>
      <c r="AS453" s="38"/>
      <c r="AT453" s="38"/>
      <c r="AU453" s="38"/>
      <c r="AV453" s="38"/>
      <c r="AW453" s="38"/>
      <c r="AX453" s="38"/>
      <c r="AY453" s="38"/>
      <c r="AZ453" s="38"/>
      <c r="BA453" s="38"/>
      <c r="BB453" s="38"/>
    </row>
    <row r="454" spans="1:54">
      <c r="A454" s="38" t="s">
        <v>4007</v>
      </c>
      <c r="B454" s="38" t="s">
        <v>3652</v>
      </c>
      <c r="C454" s="38" t="s">
        <v>4008</v>
      </c>
      <c r="D454" s="38" t="s">
        <v>3399</v>
      </c>
      <c r="E454" s="38" t="s">
        <v>3961</v>
      </c>
      <c r="F454" s="38"/>
      <c r="G454" s="38" t="s">
        <v>3756</v>
      </c>
      <c r="H454" s="38" t="s">
        <v>3400</v>
      </c>
      <c r="I454" s="38" t="s">
        <v>4004</v>
      </c>
      <c r="J454" s="38"/>
      <c r="K454" s="38">
        <v>500</v>
      </c>
      <c r="L454" s="38">
        <v>21</v>
      </c>
      <c r="M454" s="38"/>
      <c r="N454" s="38">
        <v>56.09</v>
      </c>
      <c r="O454" s="38">
        <v>2.5299999999999998</v>
      </c>
      <c r="P454" s="38">
        <v>3.77</v>
      </c>
      <c r="Q454" s="38">
        <v>16.61</v>
      </c>
      <c r="R454" s="38">
        <v>10.32</v>
      </c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38"/>
      <c r="AP454" s="38"/>
      <c r="AQ454" s="38"/>
      <c r="AR454" s="38"/>
      <c r="AS454" s="38"/>
      <c r="AT454" s="38"/>
      <c r="AU454" s="38"/>
      <c r="AV454" s="38"/>
      <c r="AW454" s="38"/>
      <c r="AX454" s="38"/>
      <c r="AY454" s="38"/>
      <c r="AZ454" s="38"/>
      <c r="BA454" s="38"/>
      <c r="BB454" s="38"/>
    </row>
    <row r="455" spans="1:54">
      <c r="A455" s="38" t="s">
        <v>4009</v>
      </c>
      <c r="B455" s="38" t="s">
        <v>3652</v>
      </c>
      <c r="C455" s="38" t="s">
        <v>4010</v>
      </c>
      <c r="D455" s="38" t="s">
        <v>3399</v>
      </c>
      <c r="E455" s="38" t="s">
        <v>3916</v>
      </c>
      <c r="F455" s="38"/>
      <c r="G455" s="38" t="s">
        <v>3756</v>
      </c>
      <c r="H455" s="38" t="s">
        <v>3400</v>
      </c>
      <c r="I455" s="38" t="s">
        <v>4011</v>
      </c>
      <c r="J455" s="38">
        <v>1.36</v>
      </c>
      <c r="K455" s="38">
        <v>500</v>
      </c>
      <c r="L455" s="38">
        <v>10.5</v>
      </c>
      <c r="M455" s="38"/>
      <c r="N455" s="38">
        <v>62.45</v>
      </c>
      <c r="O455" s="38">
        <v>4.07</v>
      </c>
      <c r="P455" s="38">
        <v>1.85</v>
      </c>
      <c r="Q455" s="38">
        <v>31.63</v>
      </c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38"/>
      <c r="AP455" s="38">
        <v>16.3</v>
      </c>
      <c r="AQ455" s="38">
        <v>31.81</v>
      </c>
      <c r="AR455" s="38" t="s">
        <v>3792</v>
      </c>
      <c r="AS455" s="38"/>
      <c r="AT455" s="38"/>
      <c r="AU455" s="38"/>
      <c r="AV455" s="38"/>
      <c r="AW455" s="38"/>
      <c r="AX455" s="38"/>
      <c r="AY455" s="38"/>
      <c r="AZ455" s="38"/>
      <c r="BA455" s="38"/>
      <c r="BB455" s="38"/>
    </row>
    <row r="456" spans="1:54">
      <c r="A456" s="38" t="s">
        <v>4012</v>
      </c>
      <c r="B456" s="38" t="s">
        <v>3652</v>
      </c>
      <c r="C456" s="38" t="s">
        <v>4013</v>
      </c>
      <c r="D456" s="38" t="s">
        <v>3399</v>
      </c>
      <c r="E456" s="38"/>
      <c r="F456" s="38"/>
      <c r="G456" s="38" t="s">
        <v>3756</v>
      </c>
      <c r="H456" s="38" t="s">
        <v>3400</v>
      </c>
      <c r="I456" s="38" t="s">
        <v>4014</v>
      </c>
      <c r="J456" s="38">
        <v>3.4</v>
      </c>
      <c r="K456" s="38">
        <v>400</v>
      </c>
      <c r="L456" s="38">
        <v>11.3</v>
      </c>
      <c r="M456" s="38"/>
      <c r="N456" s="38">
        <v>67</v>
      </c>
      <c r="O456" s="38">
        <v>1.3</v>
      </c>
      <c r="P456" s="38">
        <v>3.5</v>
      </c>
      <c r="Q456" s="38">
        <v>13.8</v>
      </c>
      <c r="R456" s="38">
        <v>8.6</v>
      </c>
      <c r="S456" s="38">
        <v>3.3</v>
      </c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>
        <v>23</v>
      </c>
      <c r="AJ456" s="38"/>
      <c r="AK456" s="38"/>
      <c r="AL456" s="38"/>
      <c r="AM456" s="38"/>
      <c r="AN456" s="38">
        <v>2.9</v>
      </c>
      <c r="AO456" s="38"/>
      <c r="AP456" s="38"/>
      <c r="AQ456" s="38"/>
      <c r="AR456" s="38"/>
      <c r="AS456" s="38"/>
      <c r="AT456" s="38">
        <v>1100</v>
      </c>
      <c r="AU456" s="38">
        <v>6800</v>
      </c>
      <c r="AV456" s="38">
        <v>1900</v>
      </c>
      <c r="AW456" s="38">
        <v>15000</v>
      </c>
      <c r="AX456" s="38"/>
      <c r="AY456" s="38"/>
      <c r="AZ456" s="38"/>
      <c r="BA456" s="38"/>
      <c r="BB456" s="38"/>
    </row>
    <row r="457" spans="1:54">
      <c r="A457" s="38" t="s">
        <v>4015</v>
      </c>
      <c r="B457" s="38" t="s">
        <v>3652</v>
      </c>
      <c r="C457" s="38" t="s">
        <v>4013</v>
      </c>
      <c r="D457" s="38" t="s">
        <v>3399</v>
      </c>
      <c r="E457" s="38"/>
      <c r="F457" s="38"/>
      <c r="G457" s="38" t="s">
        <v>3756</v>
      </c>
      <c r="H457" s="38" t="s">
        <v>3400</v>
      </c>
      <c r="I457" s="38" t="s">
        <v>4014</v>
      </c>
      <c r="J457" s="38">
        <v>3.4</v>
      </c>
      <c r="K457" s="38">
        <v>500</v>
      </c>
      <c r="L457" s="38">
        <v>11.7</v>
      </c>
      <c r="M457" s="38"/>
      <c r="N457" s="38">
        <v>71</v>
      </c>
      <c r="O457" s="38">
        <v>1.2</v>
      </c>
      <c r="P457" s="38">
        <v>2.6</v>
      </c>
      <c r="Q457" s="38">
        <v>10.7</v>
      </c>
      <c r="R457" s="38">
        <v>9.8000000000000007</v>
      </c>
      <c r="S457" s="38">
        <v>3.8</v>
      </c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>
        <v>26</v>
      </c>
      <c r="AJ457" s="38"/>
      <c r="AK457" s="38"/>
      <c r="AL457" s="38"/>
      <c r="AM457" s="38"/>
      <c r="AN457" s="38">
        <v>3.1</v>
      </c>
      <c r="AO457" s="38"/>
      <c r="AP457" s="38"/>
      <c r="AQ457" s="38"/>
      <c r="AR457" s="38"/>
      <c r="AS457" s="38"/>
      <c r="AT457" s="38">
        <v>1200</v>
      </c>
      <c r="AU457" s="38">
        <v>7400</v>
      </c>
      <c r="AV457" s="38">
        <v>2400</v>
      </c>
      <c r="AW457" s="38">
        <v>19000</v>
      </c>
      <c r="AX457" s="38"/>
      <c r="AY457" s="38"/>
      <c r="AZ457" s="38"/>
      <c r="BA457" s="38"/>
      <c r="BB457" s="38"/>
    </row>
    <row r="458" spans="1:54">
      <c r="A458" s="38" t="s">
        <v>4016</v>
      </c>
      <c r="B458" s="38" t="s">
        <v>3652</v>
      </c>
      <c r="C458" s="38" t="s">
        <v>4013</v>
      </c>
      <c r="D458" s="38" t="s">
        <v>3399</v>
      </c>
      <c r="E458" s="38"/>
      <c r="F458" s="38"/>
      <c r="G458" s="38" t="s">
        <v>3756</v>
      </c>
      <c r="H458" s="38" t="s">
        <v>3571</v>
      </c>
      <c r="I458" s="38" t="s">
        <v>4014</v>
      </c>
      <c r="J458" s="38">
        <v>3.4</v>
      </c>
      <c r="K458" s="38">
        <v>600</v>
      </c>
      <c r="L458" s="38">
        <v>13.1</v>
      </c>
      <c r="M458" s="38"/>
      <c r="N458" s="38">
        <v>74</v>
      </c>
      <c r="O458" s="38">
        <v>1.2</v>
      </c>
      <c r="P458" s="38">
        <v>1.7</v>
      </c>
      <c r="Q458" s="38">
        <v>6.3</v>
      </c>
      <c r="R458" s="38">
        <v>9.6999999999999993</v>
      </c>
      <c r="S458" s="38">
        <v>3.4</v>
      </c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>
        <v>29</v>
      </c>
      <c r="AJ458" s="38"/>
      <c r="AK458" s="38"/>
      <c r="AL458" s="38"/>
      <c r="AM458" s="38"/>
      <c r="AN458" s="38">
        <v>1.8</v>
      </c>
      <c r="AO458" s="38"/>
      <c r="AP458" s="38"/>
      <c r="AQ458" s="38"/>
      <c r="AR458" s="38"/>
      <c r="AS458" s="38"/>
      <c r="AT458" s="38">
        <v>1100</v>
      </c>
      <c r="AU458" s="38">
        <v>9100</v>
      </c>
      <c r="AV458" s="38">
        <v>2600</v>
      </c>
      <c r="AW458" s="38">
        <v>18000</v>
      </c>
      <c r="AX458" s="38"/>
      <c r="AY458" s="38"/>
      <c r="AZ458" s="38"/>
      <c r="BA458" s="38"/>
      <c r="BB458" s="38"/>
    </row>
    <row r="459" spans="1:54">
      <c r="A459" s="38" t="s">
        <v>4017</v>
      </c>
      <c r="B459" s="38" t="s">
        <v>3652</v>
      </c>
      <c r="C459" s="38" t="s">
        <v>4013</v>
      </c>
      <c r="D459" s="38" t="s">
        <v>3399</v>
      </c>
      <c r="E459" s="38"/>
      <c r="F459" s="38"/>
      <c r="G459" s="38" t="s">
        <v>3756</v>
      </c>
      <c r="H459" s="38" t="s">
        <v>3400</v>
      </c>
      <c r="I459" s="38" t="s">
        <v>4014</v>
      </c>
      <c r="J459" s="38">
        <v>5.2</v>
      </c>
      <c r="K459" s="38">
        <v>700</v>
      </c>
      <c r="L459" s="38">
        <v>13.2</v>
      </c>
      <c r="M459" s="38"/>
      <c r="N459" s="38">
        <v>73</v>
      </c>
      <c r="O459" s="38">
        <v>1.1000000000000001</v>
      </c>
      <c r="P459" s="38">
        <v>0.9</v>
      </c>
      <c r="Q459" s="38">
        <v>6.7</v>
      </c>
      <c r="R459" s="38">
        <v>10.1</v>
      </c>
      <c r="S459" s="38">
        <v>5.0999999999999996</v>
      </c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>
        <v>30</v>
      </c>
      <c r="AJ459" s="38"/>
      <c r="AK459" s="38"/>
      <c r="AL459" s="38"/>
      <c r="AM459" s="38"/>
      <c r="AN459" s="38">
        <v>1.3</v>
      </c>
      <c r="AO459" s="38"/>
      <c r="AP459" s="38"/>
      <c r="AQ459" s="38"/>
      <c r="AR459" s="38"/>
      <c r="AS459" s="38"/>
      <c r="AT459" s="38">
        <v>1100</v>
      </c>
      <c r="AU459" s="38">
        <v>9500</v>
      </c>
      <c r="AV459" s="38">
        <v>2800</v>
      </c>
      <c r="AW459" s="38">
        <v>22000</v>
      </c>
      <c r="AX459" s="38"/>
      <c r="AY459" s="38"/>
      <c r="AZ459" s="38"/>
      <c r="BA459" s="38"/>
      <c r="BB459" s="38"/>
    </row>
    <row r="460" spans="1:54">
      <c r="A460" s="38" t="s">
        <v>4018</v>
      </c>
      <c r="B460" s="38" t="s">
        <v>1700</v>
      </c>
      <c r="C460" s="38" t="s">
        <v>4000</v>
      </c>
      <c r="D460" s="38" t="s">
        <v>3399</v>
      </c>
      <c r="E460" s="38" t="s">
        <v>3961</v>
      </c>
      <c r="F460" s="38"/>
      <c r="G460" s="38" t="s">
        <v>3756</v>
      </c>
      <c r="H460" s="38" t="s">
        <v>3400</v>
      </c>
      <c r="I460" s="38" t="s">
        <v>4019</v>
      </c>
      <c r="J460" s="38"/>
      <c r="K460" s="38">
        <v>500</v>
      </c>
      <c r="L460" s="38">
        <v>67.5</v>
      </c>
      <c r="M460" s="38"/>
      <c r="N460" s="38">
        <v>43.7</v>
      </c>
      <c r="O460" s="38"/>
      <c r="P460" s="38"/>
      <c r="Q460" s="38"/>
      <c r="R460" s="38">
        <v>10.199999999999999</v>
      </c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>
        <v>13</v>
      </c>
      <c r="AD460" s="38"/>
      <c r="AE460" s="38"/>
      <c r="AF460" s="38"/>
      <c r="AG460" s="38"/>
      <c r="AH460" s="38"/>
      <c r="AI460" s="38">
        <v>52</v>
      </c>
      <c r="AJ460" s="38"/>
      <c r="AK460" s="38"/>
      <c r="AL460" s="38"/>
      <c r="AM460" s="38"/>
      <c r="AN460" s="38">
        <v>149</v>
      </c>
      <c r="AO460" s="38"/>
      <c r="AP460" s="38">
        <v>17.2</v>
      </c>
      <c r="AQ460" s="38">
        <v>21.9</v>
      </c>
      <c r="AR460" s="38"/>
      <c r="AS460" s="38"/>
      <c r="AT460" s="38">
        <v>646</v>
      </c>
      <c r="AU460" s="38">
        <v>3795</v>
      </c>
      <c r="AV460" s="38">
        <v>1569</v>
      </c>
      <c r="AW460" s="38">
        <v>1021</v>
      </c>
      <c r="AX460" s="38">
        <v>506</v>
      </c>
      <c r="AY460" s="38">
        <v>616</v>
      </c>
      <c r="AZ460" s="38"/>
      <c r="BA460" s="38"/>
      <c r="BB460" s="38"/>
    </row>
    <row r="461" spans="1:54">
      <c r="A461" s="38" t="s">
        <v>4020</v>
      </c>
      <c r="B461" s="38" t="s">
        <v>1700</v>
      </c>
      <c r="C461" s="38" t="s">
        <v>3788</v>
      </c>
      <c r="D461" s="38" t="s">
        <v>3399</v>
      </c>
      <c r="E461" s="38" t="s">
        <v>3961</v>
      </c>
      <c r="F461" s="38"/>
      <c r="G461" s="38" t="s">
        <v>3756</v>
      </c>
      <c r="H461" s="38" t="s">
        <v>3400</v>
      </c>
      <c r="I461" s="38" t="s">
        <v>4019</v>
      </c>
      <c r="J461" s="38"/>
      <c r="K461" s="38">
        <v>200</v>
      </c>
      <c r="L461" s="38">
        <v>35.700000000000003</v>
      </c>
      <c r="M461" s="38"/>
      <c r="N461" s="38">
        <v>37</v>
      </c>
      <c r="O461" s="38"/>
      <c r="P461" s="38"/>
      <c r="Q461" s="38"/>
      <c r="R461" s="38">
        <v>8.2200000000000006</v>
      </c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>
        <v>31</v>
      </c>
      <c r="AD461" s="38"/>
      <c r="AE461" s="38"/>
      <c r="AF461" s="38"/>
      <c r="AG461" s="38"/>
      <c r="AH461" s="38"/>
      <c r="AI461" s="38">
        <v>40</v>
      </c>
      <c r="AJ461" s="38"/>
      <c r="AK461" s="38"/>
      <c r="AL461" s="38"/>
      <c r="AM461" s="38"/>
      <c r="AN461" s="38">
        <v>23.6</v>
      </c>
      <c r="AO461" s="38"/>
      <c r="AP461" s="38">
        <v>50.7</v>
      </c>
      <c r="AQ461" s="38">
        <v>3.59</v>
      </c>
      <c r="AR461" s="38"/>
      <c r="AS461" s="38"/>
      <c r="AT461" s="38">
        <v>1720</v>
      </c>
      <c r="AU461" s="38">
        <v>1360</v>
      </c>
      <c r="AV461" s="38">
        <v>1100</v>
      </c>
      <c r="AW461" s="38">
        <v>1400</v>
      </c>
      <c r="AX461" s="38">
        <v>179</v>
      </c>
      <c r="AY461" s="38">
        <v>273</v>
      </c>
      <c r="AZ461" s="38"/>
      <c r="BA461" s="38"/>
      <c r="BB461" s="38"/>
    </row>
    <row r="462" spans="1:54">
      <c r="A462" s="38" t="s">
        <v>4021</v>
      </c>
      <c r="B462" s="38" t="s">
        <v>1700</v>
      </c>
      <c r="C462" s="38" t="s">
        <v>3788</v>
      </c>
      <c r="D462" s="38" t="s">
        <v>3399</v>
      </c>
      <c r="E462" s="38" t="s">
        <v>3961</v>
      </c>
      <c r="F462" s="38"/>
      <c r="G462" s="38" t="s">
        <v>3756</v>
      </c>
      <c r="H462" s="38" t="s">
        <v>3400</v>
      </c>
      <c r="I462" s="38" t="s">
        <v>4019</v>
      </c>
      <c r="J462" s="38"/>
      <c r="K462" s="38">
        <v>350</v>
      </c>
      <c r="L462" s="38">
        <v>37.200000000000003</v>
      </c>
      <c r="M462" s="38"/>
      <c r="N462" s="38">
        <v>39.1</v>
      </c>
      <c r="O462" s="38"/>
      <c r="P462" s="38"/>
      <c r="Q462" s="38"/>
      <c r="R462" s="38">
        <v>9.65</v>
      </c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>
        <v>52</v>
      </c>
      <c r="AD462" s="38"/>
      <c r="AE462" s="38"/>
      <c r="AF462" s="38"/>
      <c r="AG462" s="38"/>
      <c r="AH462" s="38"/>
      <c r="AI462" s="38">
        <v>68</v>
      </c>
      <c r="AJ462" s="38"/>
      <c r="AK462" s="38"/>
      <c r="AL462" s="38"/>
      <c r="AM462" s="38"/>
      <c r="AN462" s="38">
        <v>49</v>
      </c>
      <c r="AO462" s="38"/>
      <c r="AP462" s="38">
        <v>27.4</v>
      </c>
      <c r="AQ462" s="38">
        <v>4.26</v>
      </c>
      <c r="AR462" s="38"/>
      <c r="AS462" s="38"/>
      <c r="AT462" s="38">
        <v>2940</v>
      </c>
      <c r="AU462" s="38">
        <v>2330</v>
      </c>
      <c r="AV462" s="38">
        <v>1880</v>
      </c>
      <c r="AW462" s="38">
        <v>2380</v>
      </c>
      <c r="AX462" s="38">
        <v>305</v>
      </c>
      <c r="AY462" s="38">
        <v>466</v>
      </c>
      <c r="AZ462" s="38"/>
      <c r="BA462" s="38"/>
      <c r="BB462" s="38"/>
    </row>
    <row r="463" spans="1:54">
      <c r="A463" s="38" t="s">
        <v>3794</v>
      </c>
      <c r="B463" s="38" t="s">
        <v>1700</v>
      </c>
      <c r="C463" s="38" t="s">
        <v>3788</v>
      </c>
      <c r="D463" s="38" t="s">
        <v>3399</v>
      </c>
      <c r="E463" s="38" t="s">
        <v>3961</v>
      </c>
      <c r="F463" s="38"/>
      <c r="G463" s="38" t="s">
        <v>3756</v>
      </c>
      <c r="H463" s="38" t="s">
        <v>3400</v>
      </c>
      <c r="I463" s="38" t="s">
        <v>4019</v>
      </c>
      <c r="J463" s="38"/>
      <c r="K463" s="38">
        <v>500</v>
      </c>
      <c r="L463" s="38">
        <v>48.4</v>
      </c>
      <c r="M463" s="38"/>
      <c r="N463" s="38">
        <v>42.7</v>
      </c>
      <c r="O463" s="38"/>
      <c r="P463" s="38"/>
      <c r="Q463" s="38"/>
      <c r="R463" s="38">
        <v>10.5</v>
      </c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>
        <v>78</v>
      </c>
      <c r="AD463" s="38"/>
      <c r="AE463" s="38"/>
      <c r="AF463" s="38"/>
      <c r="AG463" s="38"/>
      <c r="AH463" s="38"/>
      <c r="AI463" s="38">
        <v>101</v>
      </c>
      <c r="AJ463" s="38"/>
      <c r="AK463" s="38"/>
      <c r="AL463" s="38"/>
      <c r="AM463" s="38"/>
      <c r="AN463" s="38">
        <v>82.8</v>
      </c>
      <c r="AO463" s="38"/>
      <c r="AP463" s="38">
        <v>11</v>
      </c>
      <c r="AQ463" s="38">
        <v>47.4</v>
      </c>
      <c r="AR463" s="38"/>
      <c r="AS463" s="38"/>
      <c r="AT463" s="38">
        <v>4386</v>
      </c>
      <c r="AU463" s="38">
        <v>3474</v>
      </c>
      <c r="AV463" s="38">
        <v>2801</v>
      </c>
      <c r="AW463" s="38">
        <v>3560</v>
      </c>
      <c r="AX463" s="38">
        <v>455</v>
      </c>
      <c r="AY463" s="38">
        <v>696</v>
      </c>
      <c r="AZ463" s="38"/>
      <c r="BA463" s="38"/>
      <c r="BB463" s="38"/>
    </row>
    <row r="464" spans="1:54">
      <c r="A464" s="38" t="s">
        <v>4022</v>
      </c>
      <c r="B464" s="38" t="s">
        <v>1700</v>
      </c>
      <c r="C464" s="38" t="s">
        <v>3788</v>
      </c>
      <c r="D464" s="38" t="s">
        <v>3399</v>
      </c>
      <c r="E464" s="38" t="s">
        <v>3961</v>
      </c>
      <c r="F464" s="38"/>
      <c r="G464" s="38" t="s">
        <v>3756</v>
      </c>
      <c r="H464" s="38" t="s">
        <v>3400</v>
      </c>
      <c r="I464" s="38" t="s">
        <v>4019</v>
      </c>
      <c r="J464" s="38"/>
      <c r="K464" s="38">
        <v>650</v>
      </c>
      <c r="L464" s="38">
        <v>69.599999999999994</v>
      </c>
      <c r="M464" s="38"/>
      <c r="N464" s="38">
        <v>45.3</v>
      </c>
      <c r="O464" s="38"/>
      <c r="P464" s="38"/>
      <c r="Q464" s="38"/>
      <c r="R464" s="38">
        <v>10.8</v>
      </c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>
        <v>84</v>
      </c>
      <c r="AD464" s="38"/>
      <c r="AE464" s="38"/>
      <c r="AF464" s="38"/>
      <c r="AG464" s="38"/>
      <c r="AH464" s="38"/>
      <c r="AI464" s="38">
        <v>109</v>
      </c>
      <c r="AJ464" s="38"/>
      <c r="AK464" s="38"/>
      <c r="AL464" s="38"/>
      <c r="AM464" s="38"/>
      <c r="AN464" s="38">
        <v>132</v>
      </c>
      <c r="AO464" s="38"/>
      <c r="AP464" s="38">
        <v>10.7</v>
      </c>
      <c r="AQ464" s="38">
        <v>42.4</v>
      </c>
      <c r="AR464" s="38"/>
      <c r="AS464" s="38"/>
      <c r="AT464" s="38">
        <v>4720</v>
      </c>
      <c r="AU464" s="38">
        <v>3740</v>
      </c>
      <c r="AV464" s="38"/>
      <c r="AW464" s="38">
        <v>3830</v>
      </c>
      <c r="AX464" s="38">
        <v>490</v>
      </c>
      <c r="AY464" s="38">
        <v>749</v>
      </c>
      <c r="AZ464" s="38"/>
      <c r="BA464" s="38"/>
      <c r="BB464" s="38"/>
    </row>
    <row r="465" spans="1:54">
      <c r="A465" s="38" t="s">
        <v>4023</v>
      </c>
      <c r="B465" s="38" t="s">
        <v>1948</v>
      </c>
      <c r="C465" s="38" t="s">
        <v>4024</v>
      </c>
      <c r="D465" s="38" t="s">
        <v>3351</v>
      </c>
      <c r="E465" s="38" t="s">
        <v>3961</v>
      </c>
      <c r="F465" s="38"/>
      <c r="G465" s="38" t="s">
        <v>3756</v>
      </c>
      <c r="H465" s="38" t="s">
        <v>3400</v>
      </c>
      <c r="I465" s="38" t="s">
        <v>4019</v>
      </c>
      <c r="J465" s="38"/>
      <c r="K465" s="38">
        <v>500</v>
      </c>
      <c r="L465" s="38">
        <v>61.9</v>
      </c>
      <c r="M465" s="38"/>
      <c r="N465" s="38">
        <v>26.6</v>
      </c>
      <c r="O465" s="38"/>
      <c r="P465" s="38"/>
      <c r="Q465" s="38"/>
      <c r="R465" s="38">
        <v>8.82</v>
      </c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>
        <v>38</v>
      </c>
      <c r="AD465" s="38"/>
      <c r="AE465" s="38"/>
      <c r="AF465" s="38"/>
      <c r="AG465" s="38"/>
      <c r="AH465" s="38"/>
      <c r="AI465" s="38">
        <v>152</v>
      </c>
      <c r="AJ465" s="38"/>
      <c r="AK465" s="38"/>
      <c r="AL465" s="38"/>
      <c r="AM465" s="38"/>
      <c r="AN465" s="38">
        <v>168</v>
      </c>
      <c r="AO465" s="38"/>
      <c r="AP465" s="38">
        <v>15.8</v>
      </c>
      <c r="AQ465" s="38">
        <v>71.599999999999994</v>
      </c>
      <c r="AR465" s="38"/>
      <c r="AS465" s="38"/>
      <c r="AT465" s="38">
        <v>1720</v>
      </c>
      <c r="AU465" s="38">
        <v>6573</v>
      </c>
      <c r="AV465" s="38">
        <v>645</v>
      </c>
      <c r="AW465" s="38">
        <v>525</v>
      </c>
      <c r="AX465" s="38">
        <v>1929</v>
      </c>
      <c r="AY465" s="38">
        <v>2209</v>
      </c>
      <c r="AZ465" s="38"/>
      <c r="BA465" s="38"/>
      <c r="BB465" s="38"/>
    </row>
    <row r="466" spans="1:54">
      <c r="A466" s="38" t="s">
        <v>4025</v>
      </c>
      <c r="B466" s="38" t="s">
        <v>3652</v>
      </c>
      <c r="C466" s="38" t="s">
        <v>4026</v>
      </c>
      <c r="D466" s="38" t="s">
        <v>3399</v>
      </c>
      <c r="E466" s="38" t="s">
        <v>3961</v>
      </c>
      <c r="F466" s="38"/>
      <c r="G466" s="38" t="s">
        <v>3756</v>
      </c>
      <c r="H466" s="38" t="s">
        <v>3400</v>
      </c>
      <c r="I466" s="38" t="s">
        <v>4019</v>
      </c>
      <c r="J466" s="38"/>
      <c r="K466" s="38">
        <v>500</v>
      </c>
      <c r="L466" s="38">
        <v>53.5</v>
      </c>
      <c r="M466" s="38"/>
      <c r="N466" s="38">
        <v>56</v>
      </c>
      <c r="O466" s="38"/>
      <c r="P466" s="38"/>
      <c r="Q466" s="38"/>
      <c r="R466" s="38">
        <v>9.8800000000000008</v>
      </c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>
        <v>1</v>
      </c>
      <c r="AD466" s="38"/>
      <c r="AE466" s="38"/>
      <c r="AF466" s="38"/>
      <c r="AG466" s="38"/>
      <c r="AH466" s="38"/>
      <c r="AI466" s="38">
        <v>10</v>
      </c>
      <c r="AJ466" s="38"/>
      <c r="AK466" s="38"/>
      <c r="AL466" s="38"/>
      <c r="AM466" s="38"/>
      <c r="AN466" s="38">
        <v>516</v>
      </c>
      <c r="AO466" s="38"/>
      <c r="AP466" s="38">
        <v>30</v>
      </c>
      <c r="AQ466" s="38">
        <v>133</v>
      </c>
      <c r="AR466" s="38"/>
      <c r="AS466" s="38"/>
      <c r="AT466" s="38">
        <v>124</v>
      </c>
      <c r="AU466" s="38">
        <v>22840</v>
      </c>
      <c r="AV466" s="38">
        <v>584</v>
      </c>
      <c r="AW466" s="38">
        <v>79</v>
      </c>
      <c r="AX466" s="38">
        <v>361</v>
      </c>
      <c r="AY466" s="38">
        <v>455</v>
      </c>
      <c r="AZ466" s="38"/>
      <c r="BA466" s="38"/>
      <c r="BB466" s="38"/>
    </row>
    <row r="467" spans="1:54">
      <c r="A467" s="38" t="s">
        <v>4027</v>
      </c>
      <c r="B467" s="38" t="s">
        <v>3652</v>
      </c>
      <c r="C467" s="38" t="s">
        <v>4028</v>
      </c>
      <c r="D467" s="38" t="s">
        <v>3399</v>
      </c>
      <c r="E467" s="38" t="s">
        <v>3961</v>
      </c>
      <c r="F467" s="38"/>
      <c r="G467" s="38" t="s">
        <v>3756</v>
      </c>
      <c r="H467" s="38" t="s">
        <v>3400</v>
      </c>
      <c r="I467" s="38" t="s">
        <v>4019</v>
      </c>
      <c r="J467" s="38"/>
      <c r="K467" s="38">
        <v>500</v>
      </c>
      <c r="L467" s="38">
        <v>9.94</v>
      </c>
      <c r="M467" s="38"/>
      <c r="N467" s="38">
        <v>75.8</v>
      </c>
      <c r="O467" s="38"/>
      <c r="P467" s="38"/>
      <c r="Q467" s="38"/>
      <c r="R467" s="38">
        <v>10.5</v>
      </c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>
        <v>1</v>
      </c>
      <c r="AD467" s="38"/>
      <c r="AE467" s="38"/>
      <c r="AF467" s="38"/>
      <c r="AG467" s="38"/>
      <c r="AH467" s="38"/>
      <c r="AI467" s="38">
        <v>10</v>
      </c>
      <c r="AJ467" s="38"/>
      <c r="AK467" s="38"/>
      <c r="AL467" s="38"/>
      <c r="AM467" s="38"/>
      <c r="AN467" s="38">
        <v>41.7</v>
      </c>
      <c r="AO467" s="38"/>
      <c r="AP467" s="38">
        <v>17.5</v>
      </c>
      <c r="AQ467" s="38">
        <v>203</v>
      </c>
      <c r="AR467" s="38"/>
      <c r="AS467" s="38"/>
      <c r="AT467" s="38">
        <v>61</v>
      </c>
      <c r="AU467" s="38">
        <v>2290</v>
      </c>
      <c r="AV467" s="38">
        <v>348</v>
      </c>
      <c r="AW467" s="38">
        <v>1189</v>
      </c>
      <c r="AX467" s="38">
        <v>97</v>
      </c>
      <c r="AY467" s="38">
        <v>168</v>
      </c>
      <c r="AZ467" s="38"/>
      <c r="BA467" s="38"/>
      <c r="BB467" s="38"/>
    </row>
    <row r="468" spans="1:54">
      <c r="A468" s="38" t="s">
        <v>4029</v>
      </c>
      <c r="B468" s="38" t="s">
        <v>3409</v>
      </c>
      <c r="C468" s="38"/>
      <c r="D468" s="38" t="s">
        <v>3399</v>
      </c>
      <c r="E468" s="38" t="s">
        <v>3961</v>
      </c>
      <c r="F468" s="38"/>
      <c r="G468" s="38" t="s">
        <v>3756</v>
      </c>
      <c r="H468" s="38" t="s">
        <v>3400</v>
      </c>
      <c r="I468" s="38" t="s">
        <v>4019</v>
      </c>
      <c r="J468" s="38"/>
      <c r="K468" s="38">
        <v>500</v>
      </c>
      <c r="L468" s="38">
        <v>20.8</v>
      </c>
      <c r="M468" s="38"/>
      <c r="N468" s="38">
        <v>62.1</v>
      </c>
      <c r="O468" s="38"/>
      <c r="P468" s="38"/>
      <c r="Q468" s="38"/>
      <c r="R468" s="38">
        <v>10.199999999999999</v>
      </c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>
        <v>3</v>
      </c>
      <c r="AD468" s="38"/>
      <c r="AE468" s="38"/>
      <c r="AF468" s="38"/>
      <c r="AG468" s="38"/>
      <c r="AH468" s="38"/>
      <c r="AI468" s="38">
        <v>23</v>
      </c>
      <c r="AJ468" s="38"/>
      <c r="AK468" s="38"/>
      <c r="AL468" s="38"/>
      <c r="AM468" s="38"/>
      <c r="AN468" s="38">
        <v>84</v>
      </c>
      <c r="AO468" s="38"/>
      <c r="AP468" s="38">
        <v>18.899999999999999</v>
      </c>
      <c r="AQ468" s="38">
        <v>3.33</v>
      </c>
      <c r="AR468" s="38"/>
      <c r="AS468" s="38"/>
      <c r="AT468" s="38">
        <v>590</v>
      </c>
      <c r="AU468" s="38">
        <v>5236</v>
      </c>
      <c r="AV468" s="38">
        <v>530</v>
      </c>
      <c r="AW468" s="38">
        <v>5151</v>
      </c>
      <c r="AX468" s="38">
        <v>109</v>
      </c>
      <c r="AY468" s="38">
        <v>152</v>
      </c>
      <c r="AZ468" s="38"/>
      <c r="BA468" s="38"/>
      <c r="BB468" s="38"/>
    </row>
    <row r="469" spans="1:54">
      <c r="A469" s="38" t="s">
        <v>4030</v>
      </c>
      <c r="B469" s="38" t="s">
        <v>3449</v>
      </c>
      <c r="C469" s="38" t="s">
        <v>3868</v>
      </c>
      <c r="D469" s="38" t="s">
        <v>3399</v>
      </c>
      <c r="E469" s="38" t="s">
        <v>3961</v>
      </c>
      <c r="F469" s="38"/>
      <c r="G469" s="38" t="s">
        <v>3756</v>
      </c>
      <c r="H469" s="38" t="s">
        <v>3400</v>
      </c>
      <c r="I469" s="38" t="s">
        <v>4019</v>
      </c>
      <c r="J469" s="38"/>
      <c r="K469" s="38">
        <v>500</v>
      </c>
      <c r="L469" s="38">
        <v>10.6</v>
      </c>
      <c r="M469" s="38"/>
      <c r="N469" s="38">
        <v>73.7</v>
      </c>
      <c r="O469" s="38"/>
      <c r="P469" s="38"/>
      <c r="Q469" s="38"/>
      <c r="R469" s="38">
        <v>10.5</v>
      </c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>
        <v>2</v>
      </c>
      <c r="AD469" s="38"/>
      <c r="AE469" s="38"/>
      <c r="AF469" s="38"/>
      <c r="AG469" s="38"/>
      <c r="AH469" s="38"/>
      <c r="AI469" s="38">
        <v>3</v>
      </c>
      <c r="AJ469" s="38"/>
      <c r="AK469" s="38"/>
      <c r="AL469" s="38"/>
      <c r="AM469" s="38"/>
      <c r="AN469" s="38">
        <v>44.5</v>
      </c>
      <c r="AO469" s="38"/>
      <c r="AP469" s="38">
        <v>16</v>
      </c>
      <c r="AQ469" s="38">
        <v>43.5</v>
      </c>
      <c r="AR469" s="38"/>
      <c r="AS469" s="38"/>
      <c r="AT469" s="38">
        <v>166</v>
      </c>
      <c r="AU469" s="38">
        <v>1338</v>
      </c>
      <c r="AV469" s="38">
        <v>458</v>
      </c>
      <c r="AW469" s="38">
        <v>1733</v>
      </c>
      <c r="AX469" s="38">
        <v>218</v>
      </c>
      <c r="AY469" s="38">
        <v>256</v>
      </c>
      <c r="AZ469" s="38"/>
      <c r="BA469" s="38"/>
      <c r="BB469" s="38"/>
    </row>
    <row r="470" spans="1:54">
      <c r="A470" s="38" t="s">
        <v>4031</v>
      </c>
      <c r="B470" s="38" t="s">
        <v>3652</v>
      </c>
      <c r="C470" s="38" t="s">
        <v>4032</v>
      </c>
      <c r="D470" s="38" t="s">
        <v>3399</v>
      </c>
      <c r="E470" s="38" t="s">
        <v>3961</v>
      </c>
      <c r="F470" s="38"/>
      <c r="G470" s="38" t="s">
        <v>3756</v>
      </c>
      <c r="H470" s="38" t="s">
        <v>3400</v>
      </c>
      <c r="I470" s="38" t="s">
        <v>4019</v>
      </c>
      <c r="J470" s="38"/>
      <c r="K470" s="38">
        <v>500</v>
      </c>
      <c r="L470" s="38">
        <v>63.5</v>
      </c>
      <c r="M470" s="38"/>
      <c r="N470" s="38">
        <v>25.6</v>
      </c>
      <c r="O470" s="38"/>
      <c r="P470" s="38"/>
      <c r="Q470" s="38"/>
      <c r="R470" s="38">
        <v>10.3</v>
      </c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>
        <v>2</v>
      </c>
      <c r="AD470" s="38"/>
      <c r="AE470" s="38"/>
      <c r="AF470" s="38"/>
      <c r="AG470" s="38"/>
      <c r="AH470" s="38"/>
      <c r="AI470" s="38">
        <v>10</v>
      </c>
      <c r="AJ470" s="38"/>
      <c r="AK470" s="38"/>
      <c r="AL470" s="38"/>
      <c r="AM470" s="38"/>
      <c r="AN470" s="38">
        <v>509</v>
      </c>
      <c r="AO470" s="38"/>
      <c r="AP470" s="38">
        <v>32.4</v>
      </c>
      <c r="AQ470" s="38">
        <v>3.78</v>
      </c>
      <c r="AR470" s="38"/>
      <c r="AS470" s="38"/>
      <c r="AT470" s="38">
        <v>514</v>
      </c>
      <c r="AU470" s="38">
        <v>23130</v>
      </c>
      <c r="AV470" s="38">
        <v>663</v>
      </c>
      <c r="AW470" s="38">
        <v>3224</v>
      </c>
      <c r="AX470" s="38">
        <v>685</v>
      </c>
      <c r="AY470" s="38">
        <v>559</v>
      </c>
      <c r="AZ470" s="38"/>
      <c r="BA470" s="38"/>
      <c r="BB470" s="38"/>
    </row>
    <row r="471" spans="1:54">
      <c r="A471" s="38" t="s">
        <v>4033</v>
      </c>
      <c r="B471" s="38" t="s">
        <v>3409</v>
      </c>
      <c r="C471" s="38" t="s">
        <v>3990</v>
      </c>
      <c r="D471" s="38" t="s">
        <v>3399</v>
      </c>
      <c r="E471" s="38" t="s">
        <v>3961</v>
      </c>
      <c r="F471" s="38"/>
      <c r="G471" s="38" t="s">
        <v>3756</v>
      </c>
      <c r="H471" s="38" t="s">
        <v>3400</v>
      </c>
      <c r="I471" s="38" t="s">
        <v>4019</v>
      </c>
      <c r="J471" s="38"/>
      <c r="K471" s="38">
        <v>200</v>
      </c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>
        <v>1</v>
      </c>
      <c r="AJ471" s="38"/>
      <c r="AK471" s="38"/>
      <c r="AL471" s="38"/>
      <c r="AM471" s="38"/>
      <c r="AN471" s="38">
        <v>23.6</v>
      </c>
      <c r="AO471" s="38"/>
      <c r="AP471" s="38">
        <v>70.2</v>
      </c>
      <c r="AQ471" s="38">
        <v>3.59</v>
      </c>
      <c r="AR471" s="38"/>
      <c r="AS471" s="38"/>
      <c r="AT471" s="38">
        <v>22</v>
      </c>
      <c r="AU471" s="38">
        <v>286</v>
      </c>
      <c r="AV471" s="38">
        <v>89</v>
      </c>
      <c r="AW471" s="38">
        <v>1550</v>
      </c>
      <c r="AX471" s="38">
        <v>14</v>
      </c>
      <c r="AY471" s="38">
        <v>22</v>
      </c>
      <c r="AZ471" s="38"/>
      <c r="BA471" s="38"/>
      <c r="BB471" s="38"/>
    </row>
    <row r="472" spans="1:54">
      <c r="A472" s="38" t="s">
        <v>4034</v>
      </c>
      <c r="B472" s="38" t="s">
        <v>3409</v>
      </c>
      <c r="C472" s="38" t="s">
        <v>3990</v>
      </c>
      <c r="D472" s="38" t="s">
        <v>3399</v>
      </c>
      <c r="E472" s="38" t="s">
        <v>3961</v>
      </c>
      <c r="F472" s="38"/>
      <c r="G472" s="38" t="s">
        <v>3756</v>
      </c>
      <c r="H472" s="38" t="s">
        <v>3400</v>
      </c>
      <c r="I472" s="38" t="s">
        <v>4019</v>
      </c>
      <c r="J472" s="38"/>
      <c r="K472" s="38">
        <v>350</v>
      </c>
      <c r="L472" s="38">
        <v>14.7</v>
      </c>
      <c r="M472" s="38"/>
      <c r="N472" s="38">
        <v>59.8</v>
      </c>
      <c r="O472" s="38"/>
      <c r="P472" s="38"/>
      <c r="Q472" s="38"/>
      <c r="R472" s="38">
        <v>8.69</v>
      </c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>
        <v>87.2</v>
      </c>
      <c r="AO472" s="38"/>
      <c r="AP472" s="38">
        <v>31.3</v>
      </c>
      <c r="AQ472" s="38">
        <v>3.48</v>
      </c>
      <c r="AR472" s="38"/>
      <c r="AS472" s="38"/>
      <c r="AT472" s="38">
        <v>42</v>
      </c>
      <c r="AU472" s="38">
        <v>540</v>
      </c>
      <c r="AV472" s="38">
        <v>168</v>
      </c>
      <c r="AW472" s="38">
        <v>2940</v>
      </c>
      <c r="AX472" s="38">
        <v>27</v>
      </c>
      <c r="AY472" s="38">
        <v>42</v>
      </c>
      <c r="AZ472" s="38"/>
      <c r="BA472" s="38"/>
      <c r="BB472" s="38"/>
    </row>
    <row r="473" spans="1:54">
      <c r="A473" s="38" t="s">
        <v>4035</v>
      </c>
      <c r="B473" s="38" t="s">
        <v>3409</v>
      </c>
      <c r="C473" s="38" t="s">
        <v>3990</v>
      </c>
      <c r="D473" s="38" t="s">
        <v>3399</v>
      </c>
      <c r="E473" s="38" t="s">
        <v>3961</v>
      </c>
      <c r="F473" s="38"/>
      <c r="G473" s="38" t="s">
        <v>3756</v>
      </c>
      <c r="H473" s="38" t="s">
        <v>3400</v>
      </c>
      <c r="I473" s="38" t="s">
        <v>4019</v>
      </c>
      <c r="J473" s="38"/>
      <c r="K473" s="38">
        <v>500</v>
      </c>
      <c r="L473" s="38">
        <v>18</v>
      </c>
      <c r="M473" s="38"/>
      <c r="N473" s="38">
        <v>62.9</v>
      </c>
      <c r="O473" s="38"/>
      <c r="P473" s="38"/>
      <c r="Q473" s="38"/>
      <c r="R473" s="38">
        <v>10.199999999999999</v>
      </c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>
        <v>1</v>
      </c>
      <c r="AD473" s="38"/>
      <c r="AE473" s="38"/>
      <c r="AF473" s="38"/>
      <c r="AG473" s="38"/>
      <c r="AH473" s="38"/>
      <c r="AI473" s="38">
        <v>2</v>
      </c>
      <c r="AJ473" s="38"/>
      <c r="AK473" s="38"/>
      <c r="AL473" s="38"/>
      <c r="AM473" s="38"/>
      <c r="AN473" s="38">
        <v>95.5</v>
      </c>
      <c r="AO473" s="38"/>
      <c r="AP473" s="38">
        <v>17.600000000000001</v>
      </c>
      <c r="AQ473" s="38">
        <v>33.200000000000003</v>
      </c>
      <c r="AR473" s="38"/>
      <c r="AS473" s="38"/>
      <c r="AT473" s="38">
        <v>74</v>
      </c>
      <c r="AU473" s="38">
        <v>950</v>
      </c>
      <c r="AV473" s="38">
        <v>297</v>
      </c>
      <c r="AW473" s="38">
        <v>5180</v>
      </c>
      <c r="AX473" s="38">
        <v>47</v>
      </c>
      <c r="AY473" s="38">
        <v>74</v>
      </c>
      <c r="AZ473" s="38"/>
      <c r="BA473" s="38"/>
      <c r="BB473" s="38"/>
    </row>
    <row r="474" spans="1:54">
      <c r="A474" s="38" t="s">
        <v>4036</v>
      </c>
      <c r="B474" s="38" t="s">
        <v>3409</v>
      </c>
      <c r="C474" s="38" t="s">
        <v>3990</v>
      </c>
      <c r="D474" s="38" t="s">
        <v>3399</v>
      </c>
      <c r="E474" s="38" t="s">
        <v>3961</v>
      </c>
      <c r="F474" s="38"/>
      <c r="G474" s="38" t="s">
        <v>3756</v>
      </c>
      <c r="H474" s="38" t="s">
        <v>3400</v>
      </c>
      <c r="I474" s="38" t="s">
        <v>4019</v>
      </c>
      <c r="J474" s="38"/>
      <c r="K474" s="38">
        <v>650</v>
      </c>
      <c r="L474" s="38">
        <v>16.2</v>
      </c>
      <c r="M474" s="38"/>
      <c r="N474" s="38">
        <v>68.900000000000006</v>
      </c>
      <c r="O474" s="38"/>
      <c r="P474" s="38"/>
      <c r="Q474" s="38"/>
      <c r="R474" s="38">
        <v>10.199999999999999</v>
      </c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>
        <v>1</v>
      </c>
      <c r="AD474" s="38"/>
      <c r="AE474" s="38"/>
      <c r="AF474" s="38"/>
      <c r="AG474" s="38"/>
      <c r="AH474" s="38"/>
      <c r="AI474" s="38">
        <v>2</v>
      </c>
      <c r="AJ474" s="38"/>
      <c r="AK474" s="38"/>
      <c r="AL474" s="38"/>
      <c r="AM474" s="38"/>
      <c r="AN474" s="38">
        <v>146</v>
      </c>
      <c r="AO474" s="38"/>
      <c r="AP474" s="38">
        <v>11.1</v>
      </c>
      <c r="AQ474" s="38">
        <v>182</v>
      </c>
      <c r="AR474" s="38"/>
      <c r="AS474" s="38"/>
      <c r="AT474" s="38">
        <v>82</v>
      </c>
      <c r="AU474" s="38">
        <v>1060</v>
      </c>
      <c r="AV474" s="38">
        <v>329</v>
      </c>
      <c r="AW474" s="38">
        <v>5750</v>
      </c>
      <c r="AX474" s="38">
        <v>52</v>
      </c>
      <c r="AY474" s="38">
        <v>82</v>
      </c>
      <c r="AZ474" s="38"/>
      <c r="BA474" s="38"/>
      <c r="BB474" s="38"/>
    </row>
    <row r="475" spans="1:54">
      <c r="A475" s="38" t="s">
        <v>4037</v>
      </c>
      <c r="B475" s="38" t="s">
        <v>1948</v>
      </c>
      <c r="C475" s="38" t="s">
        <v>4038</v>
      </c>
      <c r="D475" s="38" t="s">
        <v>3399</v>
      </c>
      <c r="E475" s="38" t="s">
        <v>3961</v>
      </c>
      <c r="F475" s="38"/>
      <c r="G475" s="38" t="s">
        <v>3756</v>
      </c>
      <c r="H475" s="38" t="s">
        <v>3400</v>
      </c>
      <c r="I475" s="38" t="s">
        <v>4039</v>
      </c>
      <c r="J475" s="38"/>
      <c r="K475" s="38">
        <v>550</v>
      </c>
      <c r="L475" s="38"/>
      <c r="M475" s="38"/>
      <c r="N475" s="38">
        <v>21</v>
      </c>
      <c r="O475" s="38">
        <v>2.8</v>
      </c>
      <c r="P475" s="38"/>
      <c r="Q475" s="38"/>
      <c r="R475" s="38">
        <v>7.3</v>
      </c>
      <c r="S475" s="38">
        <v>6.7</v>
      </c>
      <c r="T475" s="38"/>
      <c r="U475" s="38"/>
      <c r="V475" s="38"/>
      <c r="W475" s="38"/>
      <c r="X475" s="38"/>
      <c r="Y475" s="38">
        <v>12</v>
      </c>
      <c r="Z475" s="38">
        <v>2.7</v>
      </c>
      <c r="AA475" s="38"/>
      <c r="AB475" s="38"/>
      <c r="AC475" s="38">
        <v>210</v>
      </c>
      <c r="AD475" s="38">
        <v>82</v>
      </c>
      <c r="AE475" s="38"/>
      <c r="AF475" s="38"/>
      <c r="AG475" s="38"/>
      <c r="AH475" s="38"/>
      <c r="AI475" s="38">
        <v>2080</v>
      </c>
      <c r="AJ475" s="38"/>
      <c r="AK475" s="38"/>
      <c r="AL475" s="38"/>
      <c r="AM475" s="38"/>
      <c r="AN475" s="38"/>
      <c r="AO475" s="38"/>
      <c r="AP475" s="38"/>
      <c r="AQ475" s="38">
        <v>4.0999999999999996</v>
      </c>
      <c r="AR475" s="38" t="s">
        <v>3792</v>
      </c>
      <c r="AS475" s="38"/>
      <c r="AT475" s="38"/>
      <c r="AU475" s="38"/>
      <c r="AV475" s="38"/>
      <c r="AW475" s="38"/>
      <c r="AX475" s="38"/>
      <c r="AY475" s="38"/>
      <c r="AZ475" s="38"/>
      <c r="BA475" s="38"/>
      <c r="BB475" s="38"/>
    </row>
    <row r="476" spans="1:54">
      <c r="A476" s="38" t="s">
        <v>4040</v>
      </c>
      <c r="B476" s="38" t="s">
        <v>3431</v>
      </c>
      <c r="C476" s="38" t="s">
        <v>3520</v>
      </c>
      <c r="D476" s="38" t="s">
        <v>3399</v>
      </c>
      <c r="E476" s="38"/>
      <c r="F476" s="38" t="s">
        <v>4041</v>
      </c>
      <c r="G476" s="38" t="s">
        <v>4042</v>
      </c>
      <c r="H476" s="38" t="s">
        <v>3400</v>
      </c>
      <c r="I476" s="38" t="s">
        <v>4043</v>
      </c>
      <c r="J476" s="38"/>
      <c r="K476" s="38">
        <v>400</v>
      </c>
      <c r="L476" s="38">
        <v>36</v>
      </c>
      <c r="M476" s="38"/>
      <c r="N476" s="38">
        <v>51</v>
      </c>
      <c r="O476" s="38">
        <v>0.91</v>
      </c>
      <c r="P476" s="38"/>
      <c r="Q476" s="38"/>
      <c r="R476" s="38">
        <v>9.6999999999999993</v>
      </c>
      <c r="S476" s="38">
        <v>3180</v>
      </c>
      <c r="T476" s="38"/>
      <c r="U476" s="38"/>
      <c r="V476" s="38"/>
      <c r="W476" s="38"/>
      <c r="X476" s="38"/>
      <c r="Y476" s="38"/>
      <c r="Z476" s="38"/>
      <c r="AA476" s="38">
        <v>130</v>
      </c>
      <c r="AB476" s="38">
        <v>3</v>
      </c>
      <c r="AC476" s="38">
        <v>24</v>
      </c>
      <c r="AD476" s="38">
        <v>11</v>
      </c>
      <c r="AE476" s="38"/>
      <c r="AF476" s="38"/>
      <c r="AG476" s="38">
        <v>19</v>
      </c>
      <c r="AH476" s="38"/>
      <c r="AI476" s="38">
        <v>84</v>
      </c>
      <c r="AJ476" s="38"/>
      <c r="AK476" s="38"/>
      <c r="AL476" s="38">
        <v>19086</v>
      </c>
      <c r="AM476" s="38"/>
      <c r="AN476" s="38"/>
      <c r="AO476" s="38"/>
      <c r="AP476" s="38"/>
      <c r="AQ476" s="38"/>
      <c r="AR476" s="38"/>
      <c r="AS476" s="38"/>
      <c r="AT476" s="38">
        <v>2162</v>
      </c>
      <c r="AU476" s="38">
        <v>7804</v>
      </c>
      <c r="AV476" s="38">
        <v>1840</v>
      </c>
      <c r="AW476" s="38">
        <v>12519</v>
      </c>
      <c r="AX476" s="38">
        <v>500</v>
      </c>
      <c r="AY476" s="38">
        <v>1270</v>
      </c>
      <c r="AZ476" s="38"/>
      <c r="BA476" s="38"/>
      <c r="BB476" s="38"/>
    </row>
    <row r="477" spans="1:54">
      <c r="A477" s="38" t="s">
        <v>4044</v>
      </c>
      <c r="B477" s="38" t="s">
        <v>3431</v>
      </c>
      <c r="C477" s="38" t="s">
        <v>3520</v>
      </c>
      <c r="D477" s="38" t="s">
        <v>3399</v>
      </c>
      <c r="E477" s="38"/>
      <c r="F477" s="38"/>
      <c r="G477" s="38" t="s">
        <v>3756</v>
      </c>
      <c r="H477" s="38" t="s">
        <v>3400</v>
      </c>
      <c r="I477" s="38" t="s">
        <v>4043</v>
      </c>
      <c r="J477" s="38"/>
      <c r="K477" s="38">
        <v>350</v>
      </c>
      <c r="L477" s="38">
        <v>44</v>
      </c>
      <c r="M477" s="38"/>
      <c r="N477" s="38">
        <v>46</v>
      </c>
      <c r="O477" s="38">
        <v>0.63</v>
      </c>
      <c r="P477" s="38"/>
      <c r="Q477" s="38"/>
      <c r="R477" s="38">
        <v>9.6999999999999993</v>
      </c>
      <c r="S477" s="38">
        <v>833</v>
      </c>
      <c r="T477" s="38"/>
      <c r="U477" s="38"/>
      <c r="V477" s="38"/>
      <c r="W477" s="38"/>
      <c r="X477" s="38"/>
      <c r="Y477" s="38">
        <v>3</v>
      </c>
      <c r="Z477" s="38"/>
      <c r="AA477" s="38">
        <v>4</v>
      </c>
      <c r="AB477" s="38">
        <v>5</v>
      </c>
      <c r="AC477" s="38">
        <v>20</v>
      </c>
      <c r="AD477" s="38">
        <v>11</v>
      </c>
      <c r="AE477" s="38"/>
      <c r="AF477" s="38"/>
      <c r="AG477" s="38">
        <v>9</v>
      </c>
      <c r="AH477" s="38"/>
      <c r="AI477" s="38">
        <v>309</v>
      </c>
      <c r="AJ477" s="38"/>
      <c r="AK477" s="38"/>
      <c r="AL477" s="38">
        <v>12353</v>
      </c>
      <c r="AM477" s="38"/>
      <c r="AN477" s="38"/>
      <c r="AO477" s="38"/>
      <c r="AP477" s="38"/>
      <c r="AQ477" s="38"/>
      <c r="AR477" s="38"/>
      <c r="AS477" s="38"/>
      <c r="AT477" s="38">
        <v>1983</v>
      </c>
      <c r="AU477" s="38">
        <v>1340</v>
      </c>
      <c r="AV477" s="38">
        <v>1683</v>
      </c>
      <c r="AW477" s="38">
        <v>8502</v>
      </c>
      <c r="AX477" s="38">
        <v>212</v>
      </c>
      <c r="AY477" s="38">
        <v>220</v>
      </c>
      <c r="AZ477" s="38"/>
      <c r="BA477" s="38"/>
      <c r="BB477" s="38"/>
    </row>
    <row r="478" spans="1:54">
      <c r="A478" s="38" t="s">
        <v>4045</v>
      </c>
      <c r="B478" s="38" t="s">
        <v>3449</v>
      </c>
      <c r="C478" s="38" t="s">
        <v>4046</v>
      </c>
      <c r="D478" s="38" t="s">
        <v>3399</v>
      </c>
      <c r="E478" s="38"/>
      <c r="F478" s="38"/>
      <c r="G478" s="38" t="s">
        <v>3756</v>
      </c>
      <c r="H478" s="38" t="s">
        <v>3400</v>
      </c>
      <c r="I478" s="38" t="s">
        <v>4047</v>
      </c>
      <c r="J478" s="38">
        <v>3.1</v>
      </c>
      <c r="K478" s="38">
        <v>600</v>
      </c>
      <c r="L478" s="38">
        <v>6.4</v>
      </c>
      <c r="M478" s="38"/>
      <c r="N478" s="38">
        <v>71.8</v>
      </c>
      <c r="O478" s="38">
        <v>0.45</v>
      </c>
      <c r="P478" s="38">
        <v>3.9</v>
      </c>
      <c r="Q478" s="38">
        <v>23.8</v>
      </c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38"/>
      <c r="AP478" s="38">
        <v>90.5</v>
      </c>
      <c r="AQ478" s="38"/>
      <c r="AR478" s="38"/>
      <c r="AS478" s="38"/>
      <c r="AT478" s="38"/>
      <c r="AU478" s="38"/>
      <c r="AV478" s="38"/>
      <c r="AW478" s="38"/>
      <c r="AX478" s="38"/>
      <c r="AY478" s="38"/>
      <c r="AZ478" s="38"/>
      <c r="BA478" s="38"/>
      <c r="BB478" s="38"/>
    </row>
    <row r="479" spans="1:54">
      <c r="A479" s="38" t="s">
        <v>4048</v>
      </c>
      <c r="B479" s="38" t="s">
        <v>3471</v>
      </c>
      <c r="C479" s="38" t="s">
        <v>4049</v>
      </c>
      <c r="D479" s="38" t="s">
        <v>3399</v>
      </c>
      <c r="E479" s="38"/>
      <c r="F479" s="38"/>
      <c r="G479" s="38" t="s">
        <v>3756</v>
      </c>
      <c r="H479" s="38" t="s">
        <v>3400</v>
      </c>
      <c r="I479" s="38" t="s">
        <v>4050</v>
      </c>
      <c r="J479" s="38"/>
      <c r="K479" s="38">
        <v>300</v>
      </c>
      <c r="L479" s="38"/>
      <c r="M479" s="38"/>
      <c r="N479" s="38">
        <v>69.13</v>
      </c>
      <c r="O479" s="38">
        <v>0.39</v>
      </c>
      <c r="P479" s="38">
        <v>4.8499999999999996</v>
      </c>
      <c r="Q479" s="38">
        <v>24.36</v>
      </c>
      <c r="R479" s="38">
        <v>7.1</v>
      </c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38"/>
      <c r="AP479" s="38"/>
      <c r="AQ479" s="38"/>
      <c r="AR479" s="38"/>
      <c r="AS479" s="38"/>
      <c r="AT479" s="38">
        <v>500</v>
      </c>
      <c r="AU479" s="38">
        <v>5800</v>
      </c>
      <c r="AV479" s="38">
        <v>2100</v>
      </c>
      <c r="AW479" s="38">
        <v>3600</v>
      </c>
      <c r="AX479" s="38">
        <v>700</v>
      </c>
      <c r="AY479" s="38"/>
      <c r="AZ479" s="38" t="s">
        <v>4051</v>
      </c>
      <c r="BA479" s="38"/>
      <c r="BB479" s="38"/>
    </row>
    <row r="480" spans="1:54">
      <c r="A480" s="38" t="s">
        <v>4052</v>
      </c>
      <c r="B480" s="38" t="s">
        <v>3471</v>
      </c>
      <c r="C480" s="38" t="s">
        <v>4049</v>
      </c>
      <c r="D480" s="38" t="s">
        <v>3399</v>
      </c>
      <c r="E480" s="38"/>
      <c r="F480" s="38"/>
      <c r="G480" s="38" t="s">
        <v>3756</v>
      </c>
      <c r="H480" s="38" t="s">
        <v>3400</v>
      </c>
      <c r="I480" s="38" t="s">
        <v>4050</v>
      </c>
      <c r="J480" s="38"/>
      <c r="K480" s="38">
        <v>450</v>
      </c>
      <c r="L480" s="38"/>
      <c r="M480" s="38"/>
      <c r="N480" s="38">
        <v>83.62</v>
      </c>
      <c r="O480" s="38">
        <v>0.17</v>
      </c>
      <c r="P480" s="38">
        <v>3.24</v>
      </c>
      <c r="Q480" s="38">
        <v>11.46</v>
      </c>
      <c r="R480" s="38">
        <v>7.9</v>
      </c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38"/>
      <c r="AP480" s="38"/>
      <c r="AQ480" s="38">
        <v>12.9</v>
      </c>
      <c r="AR480" s="38" t="s">
        <v>3792</v>
      </c>
      <c r="AS480" s="38"/>
      <c r="AT480" s="38">
        <v>200</v>
      </c>
      <c r="AU480" s="38">
        <v>9200</v>
      </c>
      <c r="AV480" s="38">
        <v>1800</v>
      </c>
      <c r="AW480" s="38">
        <v>3300</v>
      </c>
      <c r="AX480" s="38">
        <v>600</v>
      </c>
      <c r="AY480" s="38">
        <v>100</v>
      </c>
      <c r="AZ480" s="38" t="s">
        <v>4051</v>
      </c>
      <c r="BA480" s="38"/>
      <c r="BB480" s="38"/>
    </row>
    <row r="481" spans="1:54">
      <c r="A481" s="38" t="s">
        <v>4053</v>
      </c>
      <c r="B481" s="38" t="s">
        <v>3471</v>
      </c>
      <c r="C481" s="38" t="s">
        <v>4049</v>
      </c>
      <c r="D481" s="38" t="s">
        <v>3399</v>
      </c>
      <c r="E481" s="38"/>
      <c r="F481" s="38"/>
      <c r="G481" s="38" t="s">
        <v>3756</v>
      </c>
      <c r="H481" s="38" t="s">
        <v>3400</v>
      </c>
      <c r="I481" s="38" t="s">
        <v>4050</v>
      </c>
      <c r="J481" s="38"/>
      <c r="K481" s="38">
        <v>600</v>
      </c>
      <c r="L481" s="38"/>
      <c r="M481" s="38"/>
      <c r="N481" s="38">
        <v>81.81</v>
      </c>
      <c r="O481" s="38">
        <v>0.73</v>
      </c>
      <c r="P481" s="38">
        <v>2.17</v>
      </c>
      <c r="Q481" s="38">
        <v>14.03</v>
      </c>
      <c r="R481" s="38">
        <v>8.4</v>
      </c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38"/>
      <c r="AP481" s="38"/>
      <c r="AQ481" s="38">
        <v>401</v>
      </c>
      <c r="AR481" s="38" t="s">
        <v>3792</v>
      </c>
      <c r="AS481" s="38"/>
      <c r="AT481" s="38">
        <v>200</v>
      </c>
      <c r="AU481" s="38">
        <v>8200</v>
      </c>
      <c r="AV481" s="38">
        <v>1300</v>
      </c>
      <c r="AW481" s="38">
        <v>2400</v>
      </c>
      <c r="AX481" s="38">
        <v>600</v>
      </c>
      <c r="AY481" s="38">
        <v>100</v>
      </c>
      <c r="AZ481" s="38" t="s">
        <v>4051</v>
      </c>
      <c r="BA481" s="38"/>
      <c r="BB481" s="38"/>
    </row>
    <row r="482" spans="1:54">
      <c r="A482" s="38" t="s">
        <v>4054</v>
      </c>
      <c r="B482" s="38" t="s">
        <v>3409</v>
      </c>
      <c r="C482" s="38" t="s">
        <v>2005</v>
      </c>
      <c r="D482" s="38" t="s">
        <v>3399</v>
      </c>
      <c r="E482" s="38"/>
      <c r="F482" s="38"/>
      <c r="G482" s="38" t="s">
        <v>3756</v>
      </c>
      <c r="H482" s="38" t="s">
        <v>3400</v>
      </c>
      <c r="I482" s="38" t="s">
        <v>4050</v>
      </c>
      <c r="J482" s="38"/>
      <c r="K482" s="38">
        <v>300</v>
      </c>
      <c r="L482" s="38"/>
      <c r="M482" s="38"/>
      <c r="N482" s="38">
        <v>69.5</v>
      </c>
      <c r="O482" s="38">
        <v>0.9</v>
      </c>
      <c r="P482" s="38">
        <v>4.2</v>
      </c>
      <c r="Q482" s="38">
        <v>24.36</v>
      </c>
      <c r="R482" s="38">
        <v>7.3</v>
      </c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38"/>
      <c r="AP482" s="38"/>
      <c r="AQ482" s="38">
        <v>5.2</v>
      </c>
      <c r="AR482" s="38" t="s">
        <v>3792</v>
      </c>
      <c r="AS482" s="38"/>
      <c r="AT482" s="38">
        <v>500</v>
      </c>
      <c r="AU482" s="38">
        <v>4600</v>
      </c>
      <c r="AV482" s="38">
        <v>1400</v>
      </c>
      <c r="AW482" s="38">
        <v>2700</v>
      </c>
      <c r="AX482" s="38">
        <v>1000</v>
      </c>
      <c r="AY482" s="38">
        <v>200</v>
      </c>
      <c r="AZ482" s="38" t="s">
        <v>4051</v>
      </c>
      <c r="BA482" s="38"/>
      <c r="BB482" s="38"/>
    </row>
    <row r="483" spans="1:54">
      <c r="A483" s="38" t="s">
        <v>4055</v>
      </c>
      <c r="B483" s="38" t="s">
        <v>3409</v>
      </c>
      <c r="C483" s="38" t="s">
        <v>2005</v>
      </c>
      <c r="D483" s="38" t="s">
        <v>3399</v>
      </c>
      <c r="E483" s="38"/>
      <c r="F483" s="38"/>
      <c r="G483" s="38" t="s">
        <v>3756</v>
      </c>
      <c r="H483" s="38" t="s">
        <v>3400</v>
      </c>
      <c r="I483" s="38" t="s">
        <v>4050</v>
      </c>
      <c r="J483" s="38"/>
      <c r="K483" s="38">
        <v>450</v>
      </c>
      <c r="L483" s="38"/>
      <c r="M483" s="38"/>
      <c r="N483" s="38">
        <v>78.599999999999994</v>
      </c>
      <c r="O483" s="38">
        <v>0.92</v>
      </c>
      <c r="P483" s="38">
        <v>3.52</v>
      </c>
      <c r="Q483" s="38">
        <v>15.46</v>
      </c>
      <c r="R483" s="38">
        <v>7.5</v>
      </c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38"/>
      <c r="AP483" s="38"/>
      <c r="AQ483" s="38">
        <v>13.6</v>
      </c>
      <c r="AR483" s="38" t="s">
        <v>3792</v>
      </c>
      <c r="AS483" s="38"/>
      <c r="AT483" s="38">
        <v>700</v>
      </c>
      <c r="AU483" s="38">
        <v>8300</v>
      </c>
      <c r="AV483" s="38">
        <v>1800</v>
      </c>
      <c r="AW483" s="38">
        <v>2500</v>
      </c>
      <c r="AX483" s="38">
        <v>1100</v>
      </c>
      <c r="AY483" s="38">
        <v>600</v>
      </c>
      <c r="AZ483" s="38" t="s">
        <v>4051</v>
      </c>
      <c r="BA483" s="38"/>
      <c r="BB483" s="38"/>
    </row>
    <row r="484" spans="1:54">
      <c r="A484" s="38" t="s">
        <v>4056</v>
      </c>
      <c r="B484" s="38" t="s">
        <v>3409</v>
      </c>
      <c r="C484" s="38" t="s">
        <v>4057</v>
      </c>
      <c r="D484" s="38" t="s">
        <v>3399</v>
      </c>
      <c r="E484" s="38"/>
      <c r="F484" s="38"/>
      <c r="G484" s="38" t="s">
        <v>3756</v>
      </c>
      <c r="H484" s="38" t="s">
        <v>3400</v>
      </c>
      <c r="I484" s="38" t="s">
        <v>4058</v>
      </c>
      <c r="J484" s="38"/>
      <c r="K484" s="38">
        <v>300</v>
      </c>
      <c r="L484" s="38"/>
      <c r="M484" s="38"/>
      <c r="N484" s="38">
        <v>66.2</v>
      </c>
      <c r="O484" s="38">
        <v>0.4</v>
      </c>
      <c r="P484" s="38">
        <v>4.7</v>
      </c>
      <c r="Q484" s="38">
        <v>27.72</v>
      </c>
      <c r="R484" s="38">
        <v>7.9</v>
      </c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38"/>
      <c r="AP484" s="38"/>
      <c r="AQ484" s="38">
        <v>1.3</v>
      </c>
      <c r="AR484" s="38" t="s">
        <v>3792</v>
      </c>
      <c r="AS484" s="38"/>
      <c r="AT484" s="38">
        <v>2400</v>
      </c>
      <c r="AU484" s="38">
        <v>2200</v>
      </c>
      <c r="AV484" s="38">
        <v>1400</v>
      </c>
      <c r="AW484" s="38">
        <v>3000</v>
      </c>
      <c r="AX484" s="38">
        <v>800</v>
      </c>
      <c r="AY484" s="38"/>
      <c r="AZ484" s="38" t="s">
        <v>4051</v>
      </c>
      <c r="BA484" s="38"/>
      <c r="BB484" s="38"/>
    </row>
    <row r="485" spans="1:54">
      <c r="A485" s="38" t="s">
        <v>4059</v>
      </c>
      <c r="B485" s="38" t="s">
        <v>3409</v>
      </c>
      <c r="C485" s="38" t="s">
        <v>4057</v>
      </c>
      <c r="D485" s="38" t="s">
        <v>3399</v>
      </c>
      <c r="E485" s="38"/>
      <c r="F485" s="38"/>
      <c r="G485" s="38" t="s">
        <v>3756</v>
      </c>
      <c r="H485" s="38" t="s">
        <v>3400</v>
      </c>
      <c r="I485" s="38" t="s">
        <v>4058</v>
      </c>
      <c r="J485" s="38"/>
      <c r="K485" s="38">
        <v>450</v>
      </c>
      <c r="L485" s="38"/>
      <c r="M485" s="38"/>
      <c r="N485" s="38">
        <v>76.89</v>
      </c>
      <c r="O485" s="38">
        <v>0.23</v>
      </c>
      <c r="P485" s="38">
        <v>3.55</v>
      </c>
      <c r="Q485" s="38">
        <v>18.11</v>
      </c>
      <c r="R485" s="38">
        <v>8.5</v>
      </c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38"/>
      <c r="AP485" s="38"/>
      <c r="AQ485" s="38">
        <v>10.199999999999999</v>
      </c>
      <c r="AR485" s="38" t="s">
        <v>3792</v>
      </c>
      <c r="AS485" s="38"/>
      <c r="AT485" s="38">
        <v>3600</v>
      </c>
      <c r="AU485" s="38">
        <v>2900</v>
      </c>
      <c r="AV485" s="38">
        <v>1900</v>
      </c>
      <c r="AW485" s="38">
        <v>3500</v>
      </c>
      <c r="AX485" s="38">
        <v>400</v>
      </c>
      <c r="AY485" s="38"/>
      <c r="AZ485" s="38" t="s">
        <v>4051</v>
      </c>
      <c r="BA485" s="38"/>
      <c r="BB485" s="38"/>
    </row>
    <row r="486" spans="1:54">
      <c r="A486" s="38" t="s">
        <v>4060</v>
      </c>
      <c r="B486" s="38" t="s">
        <v>3424</v>
      </c>
      <c r="C486" s="38" t="s">
        <v>4061</v>
      </c>
      <c r="D486" s="38" t="s">
        <v>3399</v>
      </c>
      <c r="E486" s="38"/>
      <c r="F486" s="38"/>
      <c r="G486" s="38" t="s">
        <v>3756</v>
      </c>
      <c r="H486" s="38" t="s">
        <v>3400</v>
      </c>
      <c r="I486" s="38" t="s">
        <v>4062</v>
      </c>
      <c r="J486" s="38"/>
      <c r="K486" s="38">
        <v>400</v>
      </c>
      <c r="L486" s="38">
        <v>21</v>
      </c>
      <c r="M486" s="38">
        <v>51.13</v>
      </c>
      <c r="N486" s="38"/>
      <c r="O486" s="38">
        <v>1.34</v>
      </c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>
        <v>322.89999999999998</v>
      </c>
      <c r="AD486" s="38"/>
      <c r="AE486" s="38"/>
      <c r="AF486" s="38"/>
      <c r="AG486" s="38"/>
      <c r="AH486" s="38"/>
      <c r="AI486" s="38">
        <v>214.8</v>
      </c>
      <c r="AJ486" s="38"/>
      <c r="AK486" s="38"/>
      <c r="AL486" s="38">
        <v>660</v>
      </c>
      <c r="AM486" s="38"/>
      <c r="AN486" s="38"/>
      <c r="AO486" s="38"/>
      <c r="AP486" s="38"/>
      <c r="AQ486" s="38"/>
      <c r="AR486" s="38"/>
      <c r="AS486" s="38"/>
      <c r="AT486" s="38"/>
      <c r="AU486" s="38">
        <v>8400</v>
      </c>
      <c r="AV486" s="38">
        <v>4930</v>
      </c>
      <c r="AW486" s="38">
        <v>13400</v>
      </c>
      <c r="AX486" s="38"/>
      <c r="AY486" s="38">
        <v>7300</v>
      </c>
      <c r="AZ486" s="38"/>
      <c r="BA486" s="38"/>
      <c r="BB486" s="38"/>
    </row>
    <row r="487" spans="1:54">
      <c r="A487" s="38" t="s">
        <v>4063</v>
      </c>
      <c r="B487" s="38" t="s">
        <v>1700</v>
      </c>
      <c r="C487" s="38" t="s">
        <v>4064</v>
      </c>
      <c r="D487" s="38" t="s">
        <v>3399</v>
      </c>
      <c r="E487" s="38"/>
      <c r="F487" s="38"/>
      <c r="G487" s="38" t="s">
        <v>3756</v>
      </c>
      <c r="H487" s="38" t="s">
        <v>3400</v>
      </c>
      <c r="I487" s="38" t="s">
        <v>4065</v>
      </c>
      <c r="J487" s="38"/>
      <c r="K487" s="38">
        <v>500</v>
      </c>
      <c r="L487" s="38"/>
      <c r="M487" s="38"/>
      <c r="N487" s="38">
        <v>73.87</v>
      </c>
      <c r="O487" s="38">
        <v>1.3819999999999999</v>
      </c>
      <c r="P487" s="38">
        <v>2.423</v>
      </c>
      <c r="Q487" s="38"/>
      <c r="R487" s="38">
        <v>10.18</v>
      </c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38"/>
      <c r="AP487" s="38">
        <v>66.3</v>
      </c>
      <c r="AQ487" s="38"/>
      <c r="AR487" s="38"/>
      <c r="AS487" s="38"/>
      <c r="AT487" s="38"/>
      <c r="AU487" s="38"/>
      <c r="AV487" s="38"/>
      <c r="AW487" s="38"/>
      <c r="AX487" s="38"/>
      <c r="AY487" s="38"/>
      <c r="AZ487" s="38"/>
      <c r="BA487" s="38"/>
      <c r="BB487" s="38"/>
    </row>
    <row r="488" spans="1:54">
      <c r="A488" s="38" t="s">
        <v>4066</v>
      </c>
      <c r="B488" s="38" t="s">
        <v>3471</v>
      </c>
      <c r="C488" s="38" t="s">
        <v>4067</v>
      </c>
      <c r="D488" s="38" t="s">
        <v>3399</v>
      </c>
      <c r="E488" s="38"/>
      <c r="F488" s="38"/>
      <c r="G488" s="38" t="s">
        <v>3756</v>
      </c>
      <c r="H488" s="38" t="s">
        <v>3400</v>
      </c>
      <c r="I488" s="38" t="s">
        <v>4068</v>
      </c>
      <c r="J488" s="38"/>
      <c r="K488" s="38">
        <v>200</v>
      </c>
      <c r="L488" s="38">
        <v>2.23</v>
      </c>
      <c r="M488" s="38"/>
      <c r="N488" s="38">
        <v>51.6</v>
      </c>
      <c r="O488" s="38">
        <v>0.95</v>
      </c>
      <c r="P488" s="38">
        <v>5.0599999999999996</v>
      </c>
      <c r="Q488" s="38">
        <v>36.200000000000003</v>
      </c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38"/>
      <c r="AP488" s="38"/>
      <c r="AQ488" s="38"/>
      <c r="AR488" s="38"/>
      <c r="AS488" s="38"/>
      <c r="AT488" s="38"/>
      <c r="AU488" s="38"/>
      <c r="AV488" s="38"/>
      <c r="AW488" s="38"/>
      <c r="AX488" s="38"/>
      <c r="AY488" s="38"/>
      <c r="AZ488" s="38"/>
      <c r="BA488" s="38"/>
      <c r="BB488" s="38"/>
    </row>
    <row r="489" spans="1:54">
      <c r="A489" s="38" t="s">
        <v>4069</v>
      </c>
      <c r="B489" s="38" t="s">
        <v>3471</v>
      </c>
      <c r="C489" s="38" t="s">
        <v>4067</v>
      </c>
      <c r="D489" s="38" t="s">
        <v>3399</v>
      </c>
      <c r="E489" s="38"/>
      <c r="F489" s="38"/>
      <c r="G489" s="38" t="s">
        <v>3756</v>
      </c>
      <c r="H489" s="38" t="s">
        <v>3400</v>
      </c>
      <c r="I489" s="38" t="s">
        <v>4068</v>
      </c>
      <c r="J489" s="38"/>
      <c r="K489" s="38">
        <v>350</v>
      </c>
      <c r="L489" s="38">
        <v>3.85</v>
      </c>
      <c r="M489" s="38">
        <v>68.900000000000006</v>
      </c>
      <c r="N489" s="38"/>
      <c r="O489" s="38">
        <v>1.84</v>
      </c>
      <c r="P489" s="38">
        <v>1.67</v>
      </c>
      <c r="Q489" s="38">
        <v>16.5</v>
      </c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38"/>
      <c r="AP489" s="38"/>
      <c r="AQ489" s="38">
        <v>4.03</v>
      </c>
      <c r="AR489" s="38"/>
      <c r="AS489" s="38"/>
      <c r="AT489" s="38"/>
      <c r="AU489" s="38"/>
      <c r="AV489" s="38"/>
      <c r="AW489" s="38"/>
      <c r="AX489" s="38"/>
      <c r="AY489" s="38"/>
      <c r="AZ489" s="38"/>
      <c r="BA489" s="38"/>
      <c r="BB489" s="38"/>
    </row>
    <row r="490" spans="1:54">
      <c r="A490" s="38" t="s">
        <v>4070</v>
      </c>
      <c r="B490" s="38" t="s">
        <v>3471</v>
      </c>
      <c r="C490" s="38" t="s">
        <v>4067</v>
      </c>
      <c r="D490" s="38" t="s">
        <v>3399</v>
      </c>
      <c r="E490" s="38"/>
      <c r="F490" s="38"/>
      <c r="G490" s="38" t="s">
        <v>3756</v>
      </c>
      <c r="H490" s="38" t="s">
        <v>3400</v>
      </c>
      <c r="I490" s="38" t="s">
        <v>4068</v>
      </c>
      <c r="J490" s="38"/>
      <c r="K490" s="38">
        <v>500</v>
      </c>
      <c r="L490" s="38">
        <v>8.0500000000000007</v>
      </c>
      <c r="M490" s="38"/>
      <c r="N490" s="38">
        <v>74.5</v>
      </c>
      <c r="O490" s="38">
        <v>1.1299999999999999</v>
      </c>
      <c r="P490" s="38">
        <v>1.17</v>
      </c>
      <c r="Q490" s="38">
        <v>6.56</v>
      </c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38"/>
      <c r="AP490" s="38"/>
      <c r="AQ490" s="38">
        <v>30.5</v>
      </c>
      <c r="AR490" s="38"/>
      <c r="AS490" s="38"/>
      <c r="AT490" s="38"/>
      <c r="AU490" s="38"/>
      <c r="AV490" s="38"/>
      <c r="AW490" s="38"/>
      <c r="AX490" s="38"/>
      <c r="AY490" s="38"/>
      <c r="AZ490" s="38"/>
      <c r="BA490" s="38"/>
      <c r="BB490" s="38"/>
    </row>
    <row r="491" spans="1:54">
      <c r="A491" s="38" t="s">
        <v>4071</v>
      </c>
      <c r="B491" s="38" t="s">
        <v>1700</v>
      </c>
      <c r="C491" s="38" t="s">
        <v>4072</v>
      </c>
      <c r="D491" s="38" t="s">
        <v>3399</v>
      </c>
      <c r="E491" s="38"/>
      <c r="F491" s="38"/>
      <c r="G491" s="38" t="s">
        <v>3756</v>
      </c>
      <c r="H491" s="38" t="s">
        <v>3400</v>
      </c>
      <c r="I491" s="38" t="s">
        <v>4073</v>
      </c>
      <c r="J491" s="38"/>
      <c r="K491" s="38">
        <v>400</v>
      </c>
      <c r="L491" s="38">
        <v>57.63</v>
      </c>
      <c r="M491" s="38"/>
      <c r="N491" s="38">
        <v>68.89</v>
      </c>
      <c r="O491" s="38">
        <v>1.76</v>
      </c>
      <c r="P491" s="38">
        <v>1.56</v>
      </c>
      <c r="Q491" s="38">
        <v>27.79</v>
      </c>
      <c r="R491" s="38">
        <v>10.4</v>
      </c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>
        <v>1000</v>
      </c>
      <c r="AM491" s="38"/>
      <c r="AN491" s="38"/>
      <c r="AO491" s="38"/>
      <c r="AP491" s="38"/>
      <c r="AQ491" s="38"/>
      <c r="AR491" s="38"/>
      <c r="AS491" s="38"/>
      <c r="AT491" s="38">
        <v>900</v>
      </c>
      <c r="AU491" s="38">
        <v>20800</v>
      </c>
      <c r="AV491" s="38">
        <v>6100</v>
      </c>
      <c r="AW491" s="38">
        <v>20500</v>
      </c>
      <c r="AX491" s="38"/>
      <c r="AY491" s="38"/>
      <c r="AZ491" s="38" t="s">
        <v>4074</v>
      </c>
      <c r="BA491" s="38"/>
      <c r="BB491" s="38"/>
    </row>
    <row r="492" spans="1:54">
      <c r="A492" s="38" t="s">
        <v>4075</v>
      </c>
      <c r="B492" s="38" t="s">
        <v>3409</v>
      </c>
      <c r="C492" s="38"/>
      <c r="D492" s="38" t="s">
        <v>3351</v>
      </c>
      <c r="E492" s="38"/>
      <c r="F492" s="38"/>
      <c r="G492" s="38" t="s">
        <v>3756</v>
      </c>
      <c r="H492" s="38" t="s">
        <v>3400</v>
      </c>
      <c r="I492" s="38" t="s">
        <v>4076</v>
      </c>
      <c r="J492" s="38"/>
      <c r="K492" s="38">
        <v>300</v>
      </c>
      <c r="L492" s="38"/>
      <c r="M492" s="38"/>
      <c r="N492" s="38">
        <v>54.9</v>
      </c>
      <c r="O492" s="38">
        <v>1.3</v>
      </c>
      <c r="P492" s="38"/>
      <c r="Q492" s="38"/>
      <c r="R492" s="38">
        <v>7.1</v>
      </c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>
        <v>84.3</v>
      </c>
      <c r="AO492" s="38"/>
      <c r="AP492" s="38"/>
      <c r="AQ492" s="38"/>
      <c r="AR492" s="38"/>
      <c r="AS492" s="38"/>
      <c r="AT492" s="38"/>
      <c r="AU492" s="38"/>
      <c r="AV492" s="38"/>
      <c r="AW492" s="38"/>
      <c r="AX492" s="38"/>
      <c r="AY492" s="38"/>
      <c r="AZ492" s="38"/>
      <c r="BA492" s="38"/>
      <c r="BB492" s="38"/>
    </row>
    <row r="493" spans="1:54">
      <c r="A493" s="38" t="s">
        <v>4077</v>
      </c>
      <c r="B493" s="38" t="s">
        <v>3409</v>
      </c>
      <c r="C493" s="38"/>
      <c r="D493" s="38" t="s">
        <v>3399</v>
      </c>
      <c r="E493" s="38"/>
      <c r="F493" s="38"/>
      <c r="G493" s="38" t="s">
        <v>3756</v>
      </c>
      <c r="H493" s="38" t="s">
        <v>3400</v>
      </c>
      <c r="I493" s="38" t="s">
        <v>4076</v>
      </c>
      <c r="J493" s="38"/>
      <c r="K493" s="38">
        <v>300</v>
      </c>
      <c r="L493" s="38"/>
      <c r="M493" s="38"/>
      <c r="N493" s="38">
        <v>39.1</v>
      </c>
      <c r="O493" s="38">
        <v>1.7</v>
      </c>
      <c r="P493" s="38"/>
      <c r="Q493" s="38"/>
      <c r="R493" s="38">
        <v>8.4</v>
      </c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>
        <v>89</v>
      </c>
      <c r="AO493" s="38"/>
      <c r="AP493" s="38"/>
      <c r="AQ493" s="38"/>
      <c r="AR493" s="38"/>
      <c r="AS493" s="38"/>
      <c r="AT493" s="38"/>
      <c r="AU493" s="38"/>
      <c r="AV493" s="38"/>
      <c r="AW493" s="38"/>
      <c r="AX493" s="38"/>
      <c r="AY493" s="38"/>
      <c r="AZ493" s="38"/>
      <c r="BA493" s="38"/>
      <c r="BB493" s="38"/>
    </row>
    <row r="494" spans="1:54">
      <c r="A494" s="38" t="s">
        <v>4078</v>
      </c>
      <c r="B494" s="38" t="s">
        <v>3652</v>
      </c>
      <c r="C494" s="38"/>
      <c r="D494" s="38" t="s">
        <v>3399</v>
      </c>
      <c r="E494" s="38"/>
      <c r="F494" s="38"/>
      <c r="G494" s="38" t="s">
        <v>3756</v>
      </c>
      <c r="H494" s="38" t="s">
        <v>3400</v>
      </c>
      <c r="I494" s="38" t="s">
        <v>4076</v>
      </c>
      <c r="J494" s="38"/>
      <c r="K494" s="38">
        <v>300</v>
      </c>
      <c r="L494" s="38"/>
      <c r="M494" s="38"/>
      <c r="N494" s="38">
        <v>55.1</v>
      </c>
      <c r="O494" s="38">
        <v>2.6</v>
      </c>
      <c r="P494" s="38"/>
      <c r="Q494" s="38"/>
      <c r="R494" s="38">
        <v>9.1999999999999993</v>
      </c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>
        <v>228.4</v>
      </c>
      <c r="AO494" s="38"/>
      <c r="AP494" s="38"/>
      <c r="AQ494" s="38"/>
      <c r="AR494" s="38"/>
      <c r="AS494" s="38"/>
      <c r="AT494" s="38"/>
      <c r="AU494" s="38"/>
      <c r="AV494" s="38"/>
      <c r="AW494" s="38"/>
      <c r="AX494" s="38"/>
      <c r="AY494" s="38"/>
      <c r="AZ494" s="38"/>
      <c r="BA494" s="38"/>
      <c r="BB494" s="38"/>
    </row>
    <row r="495" spans="1:54">
      <c r="A495" s="38" t="s">
        <v>4007</v>
      </c>
      <c r="B495" s="38" t="s">
        <v>1948</v>
      </c>
      <c r="C495" s="38" t="s">
        <v>4079</v>
      </c>
      <c r="D495" s="38" t="s">
        <v>3399</v>
      </c>
      <c r="E495" s="38"/>
      <c r="F495" s="38"/>
      <c r="G495" s="38" t="s">
        <v>3756</v>
      </c>
      <c r="H495" s="38" t="s">
        <v>3400</v>
      </c>
      <c r="I495" s="38" t="s">
        <v>4080</v>
      </c>
      <c r="J495" s="38">
        <v>6.6</v>
      </c>
      <c r="K495" s="38">
        <v>500</v>
      </c>
      <c r="L495" s="38"/>
      <c r="M495" s="38"/>
      <c r="N495" s="38"/>
      <c r="O495" s="38"/>
      <c r="P495" s="38"/>
      <c r="Q495" s="38"/>
      <c r="R495" s="38">
        <v>7.28</v>
      </c>
      <c r="S495" s="38">
        <v>9.7299999999999998E-2</v>
      </c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38"/>
      <c r="AP495" s="38"/>
      <c r="AQ495" s="38">
        <v>47</v>
      </c>
      <c r="AR495" s="38" t="s">
        <v>3792</v>
      </c>
      <c r="AS495" s="38"/>
      <c r="AT495" s="38"/>
      <c r="AU495" s="38">
        <v>86700</v>
      </c>
      <c r="AV495" s="38">
        <v>33300</v>
      </c>
      <c r="AW495" s="38"/>
      <c r="AX495" s="38">
        <v>8600</v>
      </c>
      <c r="AY495" s="38"/>
      <c r="AZ495" s="38"/>
      <c r="BA495" s="38"/>
      <c r="BB495" s="38"/>
    </row>
    <row r="496" spans="1:54">
      <c r="A496" s="38" t="s">
        <v>4081</v>
      </c>
      <c r="B496" s="38" t="s">
        <v>1948</v>
      </c>
      <c r="C496" s="38" t="s">
        <v>4082</v>
      </c>
      <c r="D496" s="38" t="s">
        <v>3399</v>
      </c>
      <c r="E496" s="38"/>
      <c r="F496" s="38"/>
      <c r="G496" s="38" t="s">
        <v>3756</v>
      </c>
      <c r="H496" s="38" t="s">
        <v>3400</v>
      </c>
      <c r="I496" s="38" t="s">
        <v>4080</v>
      </c>
      <c r="J496" s="38">
        <v>5.5</v>
      </c>
      <c r="K496" s="38">
        <v>600</v>
      </c>
      <c r="L496" s="38"/>
      <c r="M496" s="38"/>
      <c r="N496" s="38"/>
      <c r="O496" s="38"/>
      <c r="P496" s="38"/>
      <c r="Q496" s="38"/>
      <c r="R496" s="38">
        <v>7.45</v>
      </c>
      <c r="S496" s="38">
        <v>1.1180000000000001</v>
      </c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>
        <v>700</v>
      </c>
      <c r="AL496" s="38"/>
      <c r="AM496" s="38"/>
      <c r="AN496" s="38"/>
      <c r="AO496" s="38"/>
      <c r="AP496" s="38"/>
      <c r="AQ496" s="38">
        <v>50</v>
      </c>
      <c r="AR496" s="38" t="s">
        <v>3792</v>
      </c>
      <c r="AS496" s="38"/>
      <c r="AT496" s="38"/>
      <c r="AU496" s="38">
        <v>96700</v>
      </c>
      <c r="AV496" s="38">
        <v>37400</v>
      </c>
      <c r="AW496" s="38"/>
      <c r="AX496" s="38">
        <v>8200</v>
      </c>
      <c r="AY496" s="38"/>
      <c r="AZ496" s="38"/>
      <c r="BA496" s="38"/>
      <c r="BB496" s="38"/>
    </row>
    <row r="497" spans="1:54">
      <c r="A497" s="38" t="s">
        <v>4083</v>
      </c>
      <c r="B497" s="38" t="s">
        <v>1948</v>
      </c>
      <c r="C497" s="38" t="s">
        <v>4079</v>
      </c>
      <c r="D497" s="38" t="s">
        <v>3399</v>
      </c>
      <c r="E497" s="38"/>
      <c r="F497" s="38"/>
      <c r="G497" s="38" t="s">
        <v>3756</v>
      </c>
      <c r="H497" s="38" t="s">
        <v>3400</v>
      </c>
      <c r="I497" s="38" t="s">
        <v>4080</v>
      </c>
      <c r="J497" s="38">
        <v>5.8</v>
      </c>
      <c r="K497" s="38">
        <v>700</v>
      </c>
      <c r="L497" s="38"/>
      <c r="M497" s="38"/>
      <c r="N497" s="38"/>
      <c r="O497" s="38"/>
      <c r="P497" s="38"/>
      <c r="Q497" s="38"/>
      <c r="R497" s="38">
        <v>7.7</v>
      </c>
      <c r="S497" s="38">
        <v>1.169</v>
      </c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>
        <v>900</v>
      </c>
      <c r="AL497" s="38"/>
      <c r="AM497" s="38"/>
      <c r="AN497" s="38"/>
      <c r="AO497" s="38"/>
      <c r="AP497" s="38"/>
      <c r="AQ497" s="38">
        <v>67</v>
      </c>
      <c r="AR497" s="38" t="s">
        <v>3792</v>
      </c>
      <c r="AS497" s="38"/>
      <c r="AT497" s="38"/>
      <c r="AU497" s="38">
        <v>79400</v>
      </c>
      <c r="AV497" s="38">
        <v>43200</v>
      </c>
      <c r="AW497" s="38"/>
      <c r="AX497" s="38">
        <v>9000</v>
      </c>
      <c r="AY497" s="38"/>
      <c r="AZ497" s="38"/>
      <c r="BA497" s="38"/>
      <c r="BB497" s="38"/>
    </row>
    <row r="498" spans="1:54">
      <c r="A498" s="38" t="s">
        <v>4084</v>
      </c>
      <c r="B498" s="38" t="s">
        <v>3652</v>
      </c>
      <c r="C498" s="38" t="s">
        <v>4085</v>
      </c>
      <c r="D498" s="38" t="s">
        <v>3399</v>
      </c>
      <c r="E498" s="38"/>
      <c r="F498" s="38"/>
      <c r="G498" s="38" t="s">
        <v>3756</v>
      </c>
      <c r="H498" s="38" t="s">
        <v>3400</v>
      </c>
      <c r="I498" s="38" t="s">
        <v>4086</v>
      </c>
      <c r="J498" s="38"/>
      <c r="K498" s="38">
        <v>450</v>
      </c>
      <c r="L498" s="38"/>
      <c r="M498" s="38"/>
      <c r="N498" s="38">
        <v>82.71</v>
      </c>
      <c r="O498" s="38">
        <v>0.53</v>
      </c>
      <c r="P498" s="38"/>
      <c r="Q498" s="38"/>
      <c r="R498" s="38">
        <v>9.39</v>
      </c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>
        <v>10.9</v>
      </c>
      <c r="AO498" s="38" t="s">
        <v>4087</v>
      </c>
      <c r="AP498" s="38"/>
      <c r="AQ498" s="38"/>
      <c r="AR498" s="38"/>
      <c r="AS498" s="38"/>
      <c r="AT498" s="38"/>
      <c r="AU498" s="38"/>
      <c r="AV498" s="38"/>
      <c r="AW498" s="38"/>
      <c r="AX498" s="38"/>
      <c r="AY498" s="38"/>
      <c r="AZ498" s="38"/>
      <c r="BA498" s="38"/>
      <c r="BB498" s="38"/>
    </row>
    <row r="499" spans="1:54">
      <c r="A499" s="38" t="s">
        <v>4088</v>
      </c>
      <c r="B499" s="38" t="s">
        <v>3424</v>
      </c>
      <c r="C499" s="38"/>
      <c r="D499" s="38" t="s">
        <v>3399</v>
      </c>
      <c r="E499" s="38"/>
      <c r="F499" s="38"/>
      <c r="G499" s="38" t="s">
        <v>3756</v>
      </c>
      <c r="H499" s="38"/>
      <c r="I499" s="38" t="s">
        <v>4089</v>
      </c>
      <c r="J499" s="38"/>
      <c r="K499" s="38">
        <v>350</v>
      </c>
      <c r="L499" s="38">
        <v>9.8000000000000007</v>
      </c>
      <c r="M499" s="38"/>
      <c r="N499" s="38">
        <v>63.5</v>
      </c>
      <c r="O499" s="38">
        <v>0.71</v>
      </c>
      <c r="P499" s="38">
        <v>3.77</v>
      </c>
      <c r="Q499" s="38">
        <v>21.62</v>
      </c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38"/>
      <c r="AP499" s="38"/>
      <c r="AQ499" s="38"/>
      <c r="AR499" s="38"/>
      <c r="AS499" s="38"/>
      <c r="AT499" s="38"/>
      <c r="AU499" s="38"/>
      <c r="AV499" s="38"/>
      <c r="AW499" s="38"/>
      <c r="AX499" s="38"/>
      <c r="AY499" s="38"/>
      <c r="AZ499" s="38"/>
      <c r="BA499" s="38"/>
      <c r="BB499" s="38"/>
    </row>
    <row r="500" spans="1:54">
      <c r="A500" s="38" t="s">
        <v>4090</v>
      </c>
      <c r="B500" s="38" t="s">
        <v>3424</v>
      </c>
      <c r="C500" s="38"/>
      <c r="D500" s="38" t="s">
        <v>3399</v>
      </c>
      <c r="E500" s="38"/>
      <c r="F500" s="38"/>
      <c r="G500" s="38" t="s">
        <v>3756</v>
      </c>
      <c r="H500" s="38" t="s">
        <v>3400</v>
      </c>
      <c r="I500" s="38" t="s">
        <v>4089</v>
      </c>
      <c r="J500" s="38"/>
      <c r="K500" s="38">
        <v>550</v>
      </c>
      <c r="L500" s="38">
        <v>11.5</v>
      </c>
      <c r="M500" s="38"/>
      <c r="N500" s="38">
        <v>71.8</v>
      </c>
      <c r="O500" s="38">
        <v>0.76</v>
      </c>
      <c r="P500" s="38">
        <v>2.92</v>
      </c>
      <c r="Q500" s="38">
        <v>13.55</v>
      </c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38"/>
      <c r="AP500" s="38"/>
      <c r="AQ500" s="38"/>
      <c r="AR500" s="38"/>
      <c r="AS500" s="38"/>
      <c r="AT500" s="38"/>
      <c r="AU500" s="38"/>
      <c r="AV500" s="38"/>
      <c r="AW500" s="38"/>
      <c r="AX500" s="38"/>
      <c r="AY500" s="38"/>
      <c r="AZ500" s="38"/>
      <c r="BA500" s="38"/>
      <c r="BB500" s="38"/>
    </row>
    <row r="501" spans="1:54">
      <c r="A501" s="38" t="s">
        <v>4091</v>
      </c>
      <c r="B501" s="38" t="s">
        <v>3409</v>
      </c>
      <c r="C501" s="38" t="s">
        <v>4092</v>
      </c>
      <c r="D501" s="38" t="s">
        <v>3399</v>
      </c>
      <c r="E501" s="38" t="s">
        <v>3961</v>
      </c>
      <c r="F501" s="38" t="s">
        <v>4093</v>
      </c>
      <c r="G501" s="38" t="s">
        <v>3756</v>
      </c>
      <c r="H501" s="38" t="s">
        <v>3400</v>
      </c>
      <c r="I501" s="38" t="s">
        <v>4094</v>
      </c>
      <c r="J501" s="38">
        <v>6.25</v>
      </c>
      <c r="K501" s="38">
        <v>600</v>
      </c>
      <c r="L501" s="38">
        <v>5.65</v>
      </c>
      <c r="M501" s="38"/>
      <c r="N501" s="38">
        <v>82.73</v>
      </c>
      <c r="O501" s="38"/>
      <c r="P501" s="38"/>
      <c r="Q501" s="38"/>
      <c r="R501" s="38"/>
      <c r="S501" s="38"/>
      <c r="T501" s="38">
        <v>6.3869999999999996E-2</v>
      </c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38"/>
      <c r="AP501" s="38"/>
      <c r="AQ501" s="38"/>
      <c r="AR501" s="38"/>
      <c r="AS501" s="38"/>
      <c r="AT501" s="38"/>
      <c r="AU501" s="38"/>
      <c r="AV501" s="38"/>
      <c r="AW501" s="38"/>
      <c r="AX501" s="38"/>
      <c r="AY501" s="38"/>
      <c r="AZ501" s="38"/>
      <c r="BA501" s="38"/>
      <c r="BB501" s="38"/>
    </row>
    <row r="502" spans="1:54">
      <c r="A502" s="38" t="s">
        <v>4095</v>
      </c>
      <c r="B502" s="38" t="s">
        <v>3409</v>
      </c>
      <c r="C502" s="38" t="s">
        <v>4096</v>
      </c>
      <c r="D502" s="38" t="s">
        <v>3399</v>
      </c>
      <c r="E502" s="38" t="s">
        <v>3961</v>
      </c>
      <c r="F502" s="38"/>
      <c r="G502" s="38" t="s">
        <v>4097</v>
      </c>
      <c r="H502" s="38" t="s">
        <v>3400</v>
      </c>
      <c r="I502" s="38" t="s">
        <v>4098</v>
      </c>
      <c r="J502" s="38"/>
      <c r="K502" s="38">
        <v>500</v>
      </c>
      <c r="L502" s="38">
        <v>2.2999999999999998</v>
      </c>
      <c r="M502" s="38"/>
      <c r="N502" s="38">
        <v>37.770000000000003</v>
      </c>
      <c r="O502" s="38">
        <v>0.34</v>
      </c>
      <c r="P502" s="38"/>
      <c r="Q502" s="38"/>
      <c r="R502" s="38">
        <v>10</v>
      </c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>
        <v>19700</v>
      </c>
      <c r="AM502" s="38"/>
      <c r="AN502" s="38">
        <v>3</v>
      </c>
      <c r="AO502" s="38"/>
      <c r="AP502" s="38"/>
      <c r="AQ502" s="38">
        <v>169</v>
      </c>
      <c r="AR502" s="38" t="s">
        <v>3792</v>
      </c>
      <c r="AS502" s="38"/>
      <c r="AT502" s="38">
        <v>3900</v>
      </c>
      <c r="AU502" s="38">
        <v>1200</v>
      </c>
      <c r="AV502" s="38">
        <v>2700</v>
      </c>
      <c r="AW502" s="38">
        <v>171000</v>
      </c>
      <c r="AX502" s="38"/>
      <c r="AY502" s="38"/>
      <c r="AZ502" s="38"/>
      <c r="BA502" s="38"/>
      <c r="BB502" s="38"/>
    </row>
    <row r="503" spans="1:54">
      <c r="A503" s="38" t="s">
        <v>4095</v>
      </c>
      <c r="B503" s="38" t="s">
        <v>3409</v>
      </c>
      <c r="C503" s="38" t="s">
        <v>4096</v>
      </c>
      <c r="D503" s="38" t="s">
        <v>3399</v>
      </c>
      <c r="E503" s="38" t="s">
        <v>3961</v>
      </c>
      <c r="F503" s="38"/>
      <c r="G503" s="38" t="s">
        <v>4099</v>
      </c>
      <c r="H503" s="38" t="s">
        <v>3400</v>
      </c>
      <c r="I503" s="38" t="s">
        <v>4098</v>
      </c>
      <c r="J503" s="38"/>
      <c r="K503" s="38">
        <v>500</v>
      </c>
      <c r="L503" s="38">
        <v>2.4</v>
      </c>
      <c r="M503" s="38"/>
      <c r="N503" s="38">
        <v>37.14</v>
      </c>
      <c r="O503" s="38">
        <v>0.51</v>
      </c>
      <c r="P503" s="38"/>
      <c r="Q503" s="38"/>
      <c r="R503" s="38">
        <v>9.6</v>
      </c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>
        <v>9100</v>
      </c>
      <c r="AM503" s="38"/>
      <c r="AN503" s="38">
        <v>2.7</v>
      </c>
      <c r="AO503" s="38"/>
      <c r="AP503" s="38"/>
      <c r="AQ503" s="38">
        <v>107</v>
      </c>
      <c r="AR503" s="38" t="s">
        <v>3792</v>
      </c>
      <c r="AS503" s="38"/>
      <c r="AT503" s="38">
        <v>4400</v>
      </c>
      <c r="AU503" s="38">
        <v>1100</v>
      </c>
      <c r="AV503" s="38">
        <v>1000</v>
      </c>
      <c r="AW503" s="38">
        <v>226000</v>
      </c>
      <c r="AX503" s="38"/>
      <c r="AY503" s="38"/>
      <c r="AZ503" s="38"/>
      <c r="BA503" s="38"/>
      <c r="BB503" s="38"/>
    </row>
    <row r="504" spans="1:54">
      <c r="A504" s="38" t="s">
        <v>4100</v>
      </c>
      <c r="B504" s="38" t="s">
        <v>3409</v>
      </c>
      <c r="C504" s="38" t="s">
        <v>4096</v>
      </c>
      <c r="D504" s="38" t="s">
        <v>3399</v>
      </c>
      <c r="E504" s="38" t="s">
        <v>3961</v>
      </c>
      <c r="F504" s="38"/>
      <c r="G504" s="38" t="s">
        <v>4101</v>
      </c>
      <c r="H504" s="38" t="s">
        <v>3400</v>
      </c>
      <c r="I504" s="38" t="s">
        <v>4102</v>
      </c>
      <c r="J504" s="38"/>
      <c r="K504" s="38">
        <v>700</v>
      </c>
      <c r="L504" s="38">
        <v>2.5</v>
      </c>
      <c r="M504" s="38"/>
      <c r="N504" s="38">
        <v>38.590000000000003</v>
      </c>
      <c r="O504" s="38">
        <v>0.26</v>
      </c>
      <c r="P504" s="38"/>
      <c r="Q504" s="38"/>
      <c r="R504" s="38">
        <v>8.9</v>
      </c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>
        <v>11000</v>
      </c>
      <c r="AM504" s="38"/>
      <c r="AN504" s="38">
        <v>0.5</v>
      </c>
      <c r="AO504" s="38"/>
      <c r="AP504" s="38"/>
      <c r="AQ504" s="38">
        <v>306</v>
      </c>
      <c r="AR504" s="38" t="s">
        <v>3792</v>
      </c>
      <c r="AS504" s="38"/>
      <c r="AT504" s="38">
        <v>3000</v>
      </c>
      <c r="AU504" s="38">
        <v>2500</v>
      </c>
      <c r="AV504" s="38">
        <v>1400</v>
      </c>
      <c r="AW504" s="38">
        <v>23800</v>
      </c>
      <c r="AX504" s="38"/>
      <c r="AY504" s="38"/>
      <c r="AZ504" s="38"/>
      <c r="BA504" s="38"/>
      <c r="BB504" s="38"/>
    </row>
    <row r="505" spans="1:54">
      <c r="A505" s="38" t="s">
        <v>4100</v>
      </c>
      <c r="B505" s="38" t="s">
        <v>3409</v>
      </c>
      <c r="C505" s="38" t="s">
        <v>4103</v>
      </c>
      <c r="D505" s="38" t="s">
        <v>3399</v>
      </c>
      <c r="E505" s="38" t="s">
        <v>3961</v>
      </c>
      <c r="F505" s="38"/>
      <c r="G505" s="38" t="s">
        <v>4099</v>
      </c>
      <c r="H505" s="38" t="s">
        <v>3400</v>
      </c>
      <c r="I505" s="38" t="s">
        <v>4102</v>
      </c>
      <c r="J505" s="38"/>
      <c r="K505" s="38">
        <v>700</v>
      </c>
      <c r="L505" s="38">
        <v>3.1</v>
      </c>
      <c r="M505" s="38"/>
      <c r="N505" s="38">
        <v>34.869999999999997</v>
      </c>
      <c r="O505" s="38">
        <v>0.25</v>
      </c>
      <c r="P505" s="38"/>
      <c r="Q505" s="38"/>
      <c r="R505" s="38">
        <v>9.6</v>
      </c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>
        <v>7000</v>
      </c>
      <c r="AM505" s="38"/>
      <c r="AN505" s="38">
        <v>1</v>
      </c>
      <c r="AO505" s="38"/>
      <c r="AP505" s="38"/>
      <c r="AQ505" s="38">
        <v>325</v>
      </c>
      <c r="AR505" s="38" t="s">
        <v>3792</v>
      </c>
      <c r="AS505" s="38"/>
      <c r="AT505" s="38">
        <v>4000</v>
      </c>
      <c r="AU505" s="38">
        <v>2800</v>
      </c>
      <c r="AV505" s="38">
        <v>1900</v>
      </c>
      <c r="AW505" s="38">
        <v>57500</v>
      </c>
      <c r="AX505" s="38"/>
      <c r="AY505" s="38"/>
      <c r="AZ505" s="38"/>
      <c r="BA505" s="38"/>
      <c r="BB505" s="38"/>
    </row>
    <row r="506" spans="1:54">
      <c r="A506" s="38" t="s">
        <v>4104</v>
      </c>
      <c r="B506" s="38" t="s">
        <v>3471</v>
      </c>
      <c r="C506" s="38" t="s">
        <v>4105</v>
      </c>
      <c r="D506" s="38" t="s">
        <v>3399</v>
      </c>
      <c r="E506" s="38" t="s">
        <v>3961</v>
      </c>
      <c r="F506" s="38"/>
      <c r="G506" s="38" t="s">
        <v>4101</v>
      </c>
      <c r="H506" s="38" t="s">
        <v>3400</v>
      </c>
      <c r="I506" s="38" t="s">
        <v>4098</v>
      </c>
      <c r="J506" s="38"/>
      <c r="K506" s="38">
        <v>500</v>
      </c>
      <c r="L506" s="38">
        <v>1.1000000000000001</v>
      </c>
      <c r="M506" s="38"/>
      <c r="N506" s="38">
        <v>45.92</v>
      </c>
      <c r="O506" s="38">
        <v>0.16</v>
      </c>
      <c r="P506" s="38"/>
      <c r="Q506" s="38"/>
      <c r="R506" s="38">
        <v>7.8</v>
      </c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>
        <v>5500</v>
      </c>
      <c r="AM506" s="38"/>
      <c r="AN506" s="38">
        <v>1.7</v>
      </c>
      <c r="AO506" s="38"/>
      <c r="AP506" s="38"/>
      <c r="AQ506" s="38">
        <v>84.3</v>
      </c>
      <c r="AR506" s="38" t="s">
        <v>3792</v>
      </c>
      <c r="AS506" s="38"/>
      <c r="AT506" s="38">
        <v>1900</v>
      </c>
      <c r="AU506" s="38">
        <v>2600</v>
      </c>
      <c r="AV506" s="38">
        <v>600</v>
      </c>
      <c r="AW506" s="38">
        <v>49700</v>
      </c>
      <c r="AX506" s="38"/>
      <c r="AY506" s="38"/>
      <c r="AZ506" s="38"/>
      <c r="BA506" s="38"/>
      <c r="BB506" s="38"/>
    </row>
    <row r="507" spans="1:54">
      <c r="A507" s="38" t="s">
        <v>4104</v>
      </c>
      <c r="B507" s="38" t="s">
        <v>3471</v>
      </c>
      <c r="C507" s="38" t="s">
        <v>4105</v>
      </c>
      <c r="D507" s="38" t="s">
        <v>3399</v>
      </c>
      <c r="E507" s="38" t="s">
        <v>3961</v>
      </c>
      <c r="F507" s="38"/>
      <c r="G507" s="38" t="s">
        <v>4099</v>
      </c>
      <c r="H507" s="38" t="s">
        <v>3400</v>
      </c>
      <c r="I507" s="38" t="s">
        <v>4098</v>
      </c>
      <c r="J507" s="38"/>
      <c r="K507" s="38">
        <v>500</v>
      </c>
      <c r="L507" s="38">
        <v>1.8</v>
      </c>
      <c r="M507" s="38"/>
      <c r="N507" s="38">
        <v>45.64</v>
      </c>
      <c r="O507" s="38">
        <v>0.03</v>
      </c>
      <c r="P507" s="38"/>
      <c r="Q507" s="38"/>
      <c r="R507" s="38">
        <v>8</v>
      </c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>
        <v>3600</v>
      </c>
      <c r="AM507" s="38"/>
      <c r="AN507" s="38">
        <v>1.3</v>
      </c>
      <c r="AO507" s="38"/>
      <c r="AP507" s="38"/>
      <c r="AQ507" s="38">
        <v>62.5</v>
      </c>
      <c r="AR507" s="38" t="s">
        <v>3792</v>
      </c>
      <c r="AS507" s="38"/>
      <c r="AT507" s="38">
        <v>1200</v>
      </c>
      <c r="AU507" s="38">
        <v>3900</v>
      </c>
      <c r="AV507" s="38">
        <v>1100</v>
      </c>
      <c r="AW507" s="38">
        <v>36600</v>
      </c>
      <c r="AX507" s="38"/>
      <c r="AY507" s="38"/>
      <c r="AZ507" s="38"/>
      <c r="BA507" s="38"/>
      <c r="BB507" s="38"/>
    </row>
    <row r="508" spans="1:54">
      <c r="A508" s="38" t="s">
        <v>4106</v>
      </c>
      <c r="B508" s="38" t="s">
        <v>3471</v>
      </c>
      <c r="C508" s="38" t="s">
        <v>4105</v>
      </c>
      <c r="D508" s="38" t="s">
        <v>3399</v>
      </c>
      <c r="E508" s="38" t="s">
        <v>3961</v>
      </c>
      <c r="F508" s="38"/>
      <c r="G508" s="38" t="s">
        <v>4101</v>
      </c>
      <c r="H508" s="38" t="s">
        <v>3400</v>
      </c>
      <c r="I508" s="38" t="s">
        <v>4098</v>
      </c>
      <c r="J508" s="38"/>
      <c r="K508" s="38">
        <v>700</v>
      </c>
      <c r="L508" s="38">
        <v>1.8</v>
      </c>
      <c r="M508" s="38"/>
      <c r="N508" s="38">
        <v>47.04</v>
      </c>
      <c r="O508" s="38">
        <v>0.03</v>
      </c>
      <c r="P508" s="38"/>
      <c r="Q508" s="38"/>
      <c r="R508" s="38">
        <v>9.1999999999999993</v>
      </c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>
        <v>100</v>
      </c>
      <c r="AM508" s="38"/>
      <c r="AN508" s="38">
        <v>0.1</v>
      </c>
      <c r="AO508" s="38"/>
      <c r="AP508" s="38"/>
      <c r="AQ508" s="38">
        <v>325</v>
      </c>
      <c r="AR508" s="38" t="s">
        <v>3792</v>
      </c>
      <c r="AS508" s="38"/>
      <c r="AT508" s="38">
        <v>1600</v>
      </c>
      <c r="AU508" s="38">
        <v>4400</v>
      </c>
      <c r="AV508" s="38">
        <v>1300</v>
      </c>
      <c r="AW508" s="38">
        <v>37100</v>
      </c>
      <c r="AX508" s="38"/>
      <c r="AY508" s="38"/>
      <c r="AZ508" s="38"/>
      <c r="BA508" s="38"/>
      <c r="BB508" s="38"/>
    </row>
    <row r="509" spans="1:54">
      <c r="A509" s="38" t="s">
        <v>4106</v>
      </c>
      <c r="B509" s="38" t="s">
        <v>3471</v>
      </c>
      <c r="C509" s="38" t="s">
        <v>4105</v>
      </c>
      <c r="D509" s="38" t="s">
        <v>3399</v>
      </c>
      <c r="E509" s="38" t="s">
        <v>3961</v>
      </c>
      <c r="F509" s="38"/>
      <c r="G509" s="38" t="s">
        <v>4099</v>
      </c>
      <c r="H509" s="38" t="s">
        <v>3400</v>
      </c>
      <c r="I509" s="38" t="s">
        <v>4098</v>
      </c>
      <c r="J509" s="38"/>
      <c r="K509" s="38">
        <v>700</v>
      </c>
      <c r="L509" s="38">
        <v>1.7</v>
      </c>
      <c r="M509" s="38"/>
      <c r="N509" s="38">
        <v>37.049999999999997</v>
      </c>
      <c r="O509" s="38">
        <v>0.03</v>
      </c>
      <c r="P509" s="38"/>
      <c r="Q509" s="38"/>
      <c r="R509" s="38">
        <v>9.8000000000000007</v>
      </c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>
        <v>200</v>
      </c>
      <c r="AM509" s="38"/>
      <c r="AN509" s="38">
        <v>0.6</v>
      </c>
      <c r="AO509" s="38"/>
      <c r="AP509" s="38"/>
      <c r="AQ509" s="38">
        <v>340</v>
      </c>
      <c r="AR509" s="38" t="s">
        <v>3792</v>
      </c>
      <c r="AS509" s="38"/>
      <c r="AT509" s="38">
        <v>1500</v>
      </c>
      <c r="AU509" s="38">
        <v>44000</v>
      </c>
      <c r="AV509" s="38">
        <v>1300</v>
      </c>
      <c r="AW509" s="38">
        <v>37100</v>
      </c>
      <c r="AX509" s="38"/>
      <c r="AY509" s="38"/>
      <c r="AZ509" s="38"/>
      <c r="BA509" s="38"/>
      <c r="BB509" s="38"/>
    </row>
    <row r="510" spans="1:54">
      <c r="A510" s="38" t="s">
        <v>4002</v>
      </c>
      <c r="B510" s="38" t="s">
        <v>3409</v>
      </c>
      <c r="C510" s="38" t="s">
        <v>3986</v>
      </c>
      <c r="D510" s="38" t="s">
        <v>3399</v>
      </c>
      <c r="E510" s="38" t="s">
        <v>3961</v>
      </c>
      <c r="F510" s="38"/>
      <c r="G510" s="38" t="s">
        <v>4101</v>
      </c>
      <c r="H510" s="38" t="s">
        <v>3400</v>
      </c>
      <c r="I510" s="38" t="s">
        <v>4098</v>
      </c>
      <c r="J510" s="38"/>
      <c r="K510" s="38">
        <v>500</v>
      </c>
      <c r="L510" s="38">
        <v>27.9</v>
      </c>
      <c r="M510" s="38"/>
      <c r="N510" s="38">
        <v>47.22</v>
      </c>
      <c r="O510" s="38">
        <v>1.18</v>
      </c>
      <c r="P510" s="38"/>
      <c r="Q510" s="38"/>
      <c r="R510" s="38">
        <v>10.7</v>
      </c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>
        <v>67200</v>
      </c>
      <c r="AM510" s="38"/>
      <c r="AN510" s="38">
        <v>23.1</v>
      </c>
      <c r="AO510" s="38"/>
      <c r="AP510" s="38"/>
      <c r="AQ510" s="38">
        <v>1.89</v>
      </c>
      <c r="AR510" s="38" t="s">
        <v>3792</v>
      </c>
      <c r="AS510" s="38"/>
      <c r="AT510" s="38">
        <v>56300</v>
      </c>
      <c r="AU510" s="38">
        <v>10500</v>
      </c>
      <c r="AV510" s="38">
        <v>4700</v>
      </c>
      <c r="AW510" s="38">
        <v>99400</v>
      </c>
      <c r="AX510" s="38"/>
      <c r="AY510" s="38"/>
      <c r="AZ510" s="38"/>
      <c r="BA510" s="38"/>
      <c r="BB510" s="38"/>
    </row>
    <row r="511" spans="1:54">
      <c r="A511" s="38" t="s">
        <v>4002</v>
      </c>
      <c r="B511" s="38" t="s">
        <v>3409</v>
      </c>
      <c r="C511" s="38" t="s">
        <v>3986</v>
      </c>
      <c r="D511" s="38" t="s">
        <v>3399</v>
      </c>
      <c r="E511" s="38" t="s">
        <v>3961</v>
      </c>
      <c r="F511" s="38"/>
      <c r="G511" s="38" t="s">
        <v>4107</v>
      </c>
      <c r="H511" s="38" t="s">
        <v>3400</v>
      </c>
      <c r="I511" s="38" t="s">
        <v>4098</v>
      </c>
      <c r="J511" s="38"/>
      <c r="K511" s="38">
        <v>500</v>
      </c>
      <c r="L511" s="38">
        <v>32.200000000000003</v>
      </c>
      <c r="M511" s="38">
        <v>44.16</v>
      </c>
      <c r="N511" s="38"/>
      <c r="O511" s="38">
        <v>1.06</v>
      </c>
      <c r="P511" s="38"/>
      <c r="Q511" s="38"/>
      <c r="R511" s="38">
        <v>10.6</v>
      </c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>
        <v>18800</v>
      </c>
      <c r="AM511" s="38"/>
      <c r="AN511" s="38">
        <v>25</v>
      </c>
      <c r="AO511" s="38"/>
      <c r="AP511" s="38"/>
      <c r="AQ511" s="38">
        <v>5.12</v>
      </c>
      <c r="AR511" s="38" t="s">
        <v>3792</v>
      </c>
      <c r="AS511" s="38"/>
      <c r="AT511" s="38">
        <v>53700</v>
      </c>
      <c r="AU511" s="38">
        <v>12400</v>
      </c>
      <c r="AV511" s="38">
        <v>3400</v>
      </c>
      <c r="AW511" s="38">
        <v>126000</v>
      </c>
      <c r="AX511" s="38"/>
      <c r="AY511" s="38"/>
      <c r="AZ511" s="38"/>
      <c r="BA511" s="38"/>
      <c r="BB511" s="38"/>
    </row>
    <row r="512" spans="1:54">
      <c r="A512" s="38" t="s">
        <v>4108</v>
      </c>
      <c r="B512" s="38" t="s">
        <v>3409</v>
      </c>
      <c r="C512" s="38" t="s">
        <v>3986</v>
      </c>
      <c r="D512" s="38" t="s">
        <v>3399</v>
      </c>
      <c r="E512" s="38" t="s">
        <v>3961</v>
      </c>
      <c r="F512" s="38"/>
      <c r="G512" s="38" t="s">
        <v>4101</v>
      </c>
      <c r="H512" s="38" t="s">
        <v>3400</v>
      </c>
      <c r="I512" s="38" t="s">
        <v>4098</v>
      </c>
      <c r="J512" s="38"/>
      <c r="K512" s="38">
        <v>700</v>
      </c>
      <c r="L512" s="38">
        <v>31.8</v>
      </c>
      <c r="M512" s="38"/>
      <c r="N512" s="38">
        <v>41.65</v>
      </c>
      <c r="O512" s="38">
        <v>0.83</v>
      </c>
      <c r="P512" s="38"/>
      <c r="Q512" s="38"/>
      <c r="R512" s="38">
        <v>11.1</v>
      </c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>
        <v>53200</v>
      </c>
      <c r="AM512" s="38"/>
      <c r="AN512" s="38">
        <v>20</v>
      </c>
      <c r="AO512" s="38"/>
      <c r="AP512" s="38"/>
      <c r="AQ512" s="38">
        <v>199</v>
      </c>
      <c r="AR512" s="38" t="s">
        <v>3792</v>
      </c>
      <c r="AS512" s="38"/>
      <c r="AT512" s="38">
        <v>63300</v>
      </c>
      <c r="AU512" s="38">
        <v>13100</v>
      </c>
      <c r="AV512" s="38">
        <v>6000</v>
      </c>
      <c r="AW512" s="38">
        <v>65600</v>
      </c>
      <c r="AX512" s="38"/>
      <c r="AY512" s="38"/>
      <c r="AZ512" s="38"/>
      <c r="BA512" s="38"/>
      <c r="BB512" s="38"/>
    </row>
    <row r="513" spans="1:54">
      <c r="A513" s="38" t="s">
        <v>4108</v>
      </c>
      <c r="B513" s="38" t="s">
        <v>3409</v>
      </c>
      <c r="C513" s="38" t="s">
        <v>3986</v>
      </c>
      <c r="D513" s="38" t="s">
        <v>3399</v>
      </c>
      <c r="E513" s="38" t="s">
        <v>3961</v>
      </c>
      <c r="F513" s="38"/>
      <c r="G513" s="38" t="s">
        <v>4099</v>
      </c>
      <c r="H513" s="38" t="s">
        <v>3400</v>
      </c>
      <c r="I513" s="38" t="s">
        <v>4098</v>
      </c>
      <c r="J513" s="38"/>
      <c r="K513" s="38">
        <v>700</v>
      </c>
      <c r="L513" s="38">
        <v>32.6</v>
      </c>
      <c r="M513" s="38"/>
      <c r="N513" s="38">
        <v>42.05</v>
      </c>
      <c r="O513" s="38">
        <v>0.84</v>
      </c>
      <c r="P513" s="38"/>
      <c r="Q513" s="38"/>
      <c r="R513" s="38">
        <v>11.1</v>
      </c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>
        <v>53700</v>
      </c>
      <c r="AM513" s="38"/>
      <c r="AN513" s="38">
        <v>21.8</v>
      </c>
      <c r="AO513" s="38"/>
      <c r="AP513" s="38"/>
      <c r="AQ513" s="38">
        <v>234</v>
      </c>
      <c r="AR513" s="38" t="s">
        <v>3792</v>
      </c>
      <c r="AS513" s="38"/>
      <c r="AT513" s="38">
        <v>65600</v>
      </c>
      <c r="AU513" s="38">
        <v>13400</v>
      </c>
      <c r="AV513" s="38">
        <v>6300</v>
      </c>
      <c r="AW513" s="38">
        <v>70700</v>
      </c>
      <c r="AX513" s="38"/>
      <c r="AY513" s="38"/>
      <c r="AZ513" s="38"/>
      <c r="BA513" s="38"/>
      <c r="BB513" s="38"/>
    </row>
    <row r="514" spans="1:54">
      <c r="A514" s="38" t="s">
        <v>4035</v>
      </c>
      <c r="B514" s="38" t="s">
        <v>3409</v>
      </c>
      <c r="C514" s="38" t="s">
        <v>3990</v>
      </c>
      <c r="D514" s="38" t="s">
        <v>3399</v>
      </c>
      <c r="E514" s="38" t="s">
        <v>3961</v>
      </c>
      <c r="F514" s="38"/>
      <c r="G514" s="38" t="s">
        <v>4101</v>
      </c>
      <c r="H514" s="38" t="s">
        <v>3400</v>
      </c>
      <c r="I514" s="38" t="s">
        <v>4098</v>
      </c>
      <c r="J514" s="38"/>
      <c r="K514" s="38">
        <v>500</v>
      </c>
      <c r="L514" s="38">
        <v>14.5</v>
      </c>
      <c r="M514" s="38"/>
      <c r="N514" s="38">
        <v>49.78</v>
      </c>
      <c r="O514" s="38">
        <v>0.53</v>
      </c>
      <c r="P514" s="38"/>
      <c r="Q514" s="38"/>
      <c r="R514" s="38">
        <v>9.1999999999999993</v>
      </c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>
        <v>23500</v>
      </c>
      <c r="AM514" s="38"/>
      <c r="AN514" s="38">
        <v>20.100000000000001</v>
      </c>
      <c r="AO514" s="38"/>
      <c r="AP514" s="38"/>
      <c r="AQ514" s="38">
        <v>2.48</v>
      </c>
      <c r="AR514" s="38" t="s">
        <v>3792</v>
      </c>
      <c r="AS514" s="38"/>
      <c r="AT514" s="38">
        <v>7000</v>
      </c>
      <c r="AU514" s="38">
        <v>9000</v>
      </c>
      <c r="AV514" s="38">
        <v>3100</v>
      </c>
      <c r="AW514" s="38">
        <v>240000</v>
      </c>
      <c r="AX514" s="38"/>
      <c r="AY514" s="38"/>
      <c r="AZ514" s="38"/>
      <c r="BA514" s="38"/>
      <c r="BB514" s="38"/>
    </row>
    <row r="515" spans="1:54">
      <c r="A515" s="38" t="s">
        <v>4035</v>
      </c>
      <c r="B515" s="38" t="s">
        <v>3409</v>
      </c>
      <c r="C515" s="38" t="s">
        <v>3990</v>
      </c>
      <c r="D515" s="38" t="s">
        <v>3399</v>
      </c>
      <c r="E515" s="38" t="s">
        <v>3961</v>
      </c>
      <c r="F515" s="38"/>
      <c r="G515" s="38" t="s">
        <v>4099</v>
      </c>
      <c r="H515" s="38" t="s">
        <v>3400</v>
      </c>
      <c r="I515" s="38" t="s">
        <v>4098</v>
      </c>
      <c r="J515" s="38"/>
      <c r="K515" s="38">
        <v>500</v>
      </c>
      <c r="L515" s="38">
        <v>17.399999999999999</v>
      </c>
      <c r="M515" s="38"/>
      <c r="N515" s="38">
        <v>52.33</v>
      </c>
      <c r="O515" s="38">
        <v>0.44</v>
      </c>
      <c r="P515" s="38"/>
      <c r="Q515" s="38"/>
      <c r="R515" s="38">
        <v>9.3000000000000007</v>
      </c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>
        <v>8900</v>
      </c>
      <c r="AM515" s="38"/>
      <c r="AN515" s="38">
        <v>27.5</v>
      </c>
      <c r="AO515" s="38"/>
      <c r="AP515" s="38"/>
      <c r="AQ515" s="38">
        <v>51.5</v>
      </c>
      <c r="AR515" s="38" t="s">
        <v>3792</v>
      </c>
      <c r="AS515" s="38"/>
      <c r="AT515" s="38">
        <v>6000</v>
      </c>
      <c r="AU515" s="38">
        <v>8200</v>
      </c>
      <c r="AV515" s="38">
        <v>2900</v>
      </c>
      <c r="AW515" s="38">
        <v>255000</v>
      </c>
      <c r="AX515" s="38"/>
      <c r="AY515" s="38"/>
      <c r="AZ515" s="38"/>
      <c r="BA515" s="38"/>
      <c r="BB515" s="38"/>
    </row>
    <row r="516" spans="1:54">
      <c r="A516" s="38" t="s">
        <v>4109</v>
      </c>
      <c r="B516" s="38" t="s">
        <v>3409</v>
      </c>
      <c r="C516" s="38" t="s">
        <v>3990</v>
      </c>
      <c r="D516" s="38" t="s">
        <v>3399</v>
      </c>
      <c r="E516" s="38" t="s">
        <v>3961</v>
      </c>
      <c r="F516" s="38"/>
      <c r="G516" s="38" t="s">
        <v>4101</v>
      </c>
      <c r="H516" s="38" t="s">
        <v>3400</v>
      </c>
      <c r="I516" s="38" t="s">
        <v>4098</v>
      </c>
      <c r="J516" s="38"/>
      <c r="K516" s="38">
        <v>700</v>
      </c>
      <c r="L516" s="38">
        <v>17.899999999999999</v>
      </c>
      <c r="M516" s="38"/>
      <c r="N516" s="38">
        <v>52.59</v>
      </c>
      <c r="O516" s="38">
        <v>0.34</v>
      </c>
      <c r="P516" s="38"/>
      <c r="Q516" s="38"/>
      <c r="R516" s="38">
        <v>10.7</v>
      </c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>
        <v>10600</v>
      </c>
      <c r="AM516" s="38"/>
      <c r="AN516" s="38">
        <v>15.4</v>
      </c>
      <c r="AO516" s="38"/>
      <c r="AP516" s="38"/>
      <c r="AQ516" s="38">
        <v>319</v>
      </c>
      <c r="AR516" s="38" t="s">
        <v>3792</v>
      </c>
      <c r="AS516" s="38"/>
      <c r="AT516" s="38">
        <v>7300</v>
      </c>
      <c r="AU516" s="38">
        <v>9400</v>
      </c>
      <c r="AV516" s="38">
        <v>3100</v>
      </c>
      <c r="AW516" s="38">
        <v>257000</v>
      </c>
      <c r="AX516" s="38"/>
      <c r="AY516" s="38"/>
      <c r="AZ516" s="38"/>
      <c r="BA516" s="38"/>
      <c r="BB516" s="38"/>
    </row>
    <row r="517" spans="1:54">
      <c r="A517" s="38" t="s">
        <v>4109</v>
      </c>
      <c r="B517" s="38" t="s">
        <v>3409</v>
      </c>
      <c r="C517" s="38" t="s">
        <v>3990</v>
      </c>
      <c r="D517" s="38" t="s">
        <v>3399</v>
      </c>
      <c r="E517" s="38" t="s">
        <v>3961</v>
      </c>
      <c r="F517" s="38"/>
      <c r="G517" s="38" t="s">
        <v>4099</v>
      </c>
      <c r="H517" s="38" t="s">
        <v>3400</v>
      </c>
      <c r="I517" s="38" t="s">
        <v>4098</v>
      </c>
      <c r="J517" s="38"/>
      <c r="K517" s="38">
        <v>700</v>
      </c>
      <c r="L517" s="38">
        <v>18.600000000000001</v>
      </c>
      <c r="M517" s="38"/>
      <c r="N517" s="38">
        <v>49.53</v>
      </c>
      <c r="O517" s="38">
        <v>0.24</v>
      </c>
      <c r="P517" s="38"/>
      <c r="Q517" s="38"/>
      <c r="R517" s="38">
        <v>10.7</v>
      </c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>
        <v>7000</v>
      </c>
      <c r="AM517" s="38"/>
      <c r="AN517" s="38">
        <v>14.1</v>
      </c>
      <c r="AO517" s="38"/>
      <c r="AP517" s="38"/>
      <c r="AQ517" s="38">
        <v>378</v>
      </c>
      <c r="AR517" s="38" t="s">
        <v>3792</v>
      </c>
      <c r="AS517" s="38"/>
      <c r="AT517" s="38">
        <v>7000</v>
      </c>
      <c r="AU517" s="38">
        <v>9900</v>
      </c>
      <c r="AV517" s="38">
        <v>3400</v>
      </c>
      <c r="AW517" s="38">
        <v>243000</v>
      </c>
      <c r="AX517" s="38"/>
      <c r="AY517" s="38"/>
      <c r="AZ517" s="38"/>
      <c r="BA517" s="38"/>
      <c r="BB517" s="38"/>
    </row>
    <row r="518" spans="1:54">
      <c r="A518" s="38" t="s">
        <v>4110</v>
      </c>
      <c r="B518" s="38" t="s">
        <v>3409</v>
      </c>
      <c r="C518" s="38" t="s">
        <v>1766</v>
      </c>
      <c r="D518" s="38" t="s">
        <v>3399</v>
      </c>
      <c r="E518" s="38" t="s">
        <v>3961</v>
      </c>
      <c r="F518" s="38"/>
      <c r="G518" s="38" t="s">
        <v>4101</v>
      </c>
      <c r="H518" s="38" t="s">
        <v>3400</v>
      </c>
      <c r="I518" s="38" t="s">
        <v>4098</v>
      </c>
      <c r="J518" s="38"/>
      <c r="K518" s="38">
        <v>500</v>
      </c>
      <c r="L518" s="38">
        <v>30</v>
      </c>
      <c r="M518" s="38"/>
      <c r="N518" s="38">
        <v>48.81</v>
      </c>
      <c r="O518" s="38">
        <v>2.1800000000000002</v>
      </c>
      <c r="P518" s="38"/>
      <c r="Q518" s="38"/>
      <c r="R518" s="38">
        <v>10.3</v>
      </c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>
        <v>13400</v>
      </c>
      <c r="AM518" s="38"/>
      <c r="AN518" s="38">
        <v>26.1</v>
      </c>
      <c r="AO518" s="38"/>
      <c r="AP518" s="38"/>
      <c r="AQ518" s="38">
        <v>0.17</v>
      </c>
      <c r="AR518" s="38" t="s">
        <v>3792</v>
      </c>
      <c r="AS518" s="38"/>
      <c r="AT518" s="38">
        <v>70000</v>
      </c>
      <c r="AU518" s="38">
        <v>10300</v>
      </c>
      <c r="AV518" s="38">
        <v>4100</v>
      </c>
      <c r="AW518" s="38">
        <v>166000</v>
      </c>
      <c r="AX518" s="38"/>
      <c r="AY518" s="38"/>
      <c r="AZ518" s="38"/>
      <c r="BA518" s="38"/>
      <c r="BB518" s="38"/>
    </row>
    <row r="519" spans="1:54">
      <c r="A519" s="38" t="s">
        <v>4110</v>
      </c>
      <c r="B519" s="38" t="s">
        <v>3409</v>
      </c>
      <c r="C519" s="38" t="s">
        <v>1766</v>
      </c>
      <c r="D519" s="38" t="s">
        <v>3399</v>
      </c>
      <c r="E519" s="38" t="s">
        <v>3961</v>
      </c>
      <c r="F519" s="38"/>
      <c r="G519" s="38" t="s">
        <v>4099</v>
      </c>
      <c r="H519" s="38" t="s">
        <v>3400</v>
      </c>
      <c r="I519" s="38" t="s">
        <v>4098</v>
      </c>
      <c r="J519" s="38"/>
      <c r="K519" s="38">
        <v>500</v>
      </c>
      <c r="L519" s="38">
        <v>25.6</v>
      </c>
      <c r="M519" s="38"/>
      <c r="N519" s="38">
        <v>55.05</v>
      </c>
      <c r="O519" s="38">
        <v>2.81</v>
      </c>
      <c r="P519" s="38"/>
      <c r="Q519" s="38"/>
      <c r="R519" s="38">
        <v>10.1</v>
      </c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>
        <v>2900</v>
      </c>
      <c r="AM519" s="38"/>
      <c r="AN519" s="38">
        <v>27</v>
      </c>
      <c r="AO519" s="38"/>
      <c r="AP519" s="38"/>
      <c r="AQ519" s="38">
        <v>0.36</v>
      </c>
      <c r="AR519" s="38" t="s">
        <v>3792</v>
      </c>
      <c r="AS519" s="38"/>
      <c r="AT519" s="38">
        <v>75300</v>
      </c>
      <c r="AU519" s="38">
        <v>9200</v>
      </c>
      <c r="AV519" s="38">
        <v>4700</v>
      </c>
      <c r="AW519" s="38">
        <v>166000</v>
      </c>
      <c r="AX519" s="38"/>
      <c r="AY519" s="38"/>
      <c r="AZ519" s="38"/>
      <c r="BA519" s="38"/>
      <c r="BB519" s="38"/>
    </row>
    <row r="520" spans="1:54">
      <c r="A520" s="38" t="s">
        <v>4111</v>
      </c>
      <c r="B520" s="38" t="s">
        <v>3409</v>
      </c>
      <c r="C520" s="38" t="s">
        <v>4061</v>
      </c>
      <c r="D520" s="38" t="s">
        <v>3399</v>
      </c>
      <c r="E520" s="38" t="s">
        <v>3961</v>
      </c>
      <c r="F520" s="38"/>
      <c r="G520" s="38" t="s">
        <v>4101</v>
      </c>
      <c r="H520" s="38" t="s">
        <v>3400</v>
      </c>
      <c r="I520" s="38" t="s">
        <v>4098</v>
      </c>
      <c r="J520" s="38"/>
      <c r="K520" s="38">
        <v>700</v>
      </c>
      <c r="L520" s="38">
        <v>29.4</v>
      </c>
      <c r="M520" s="38"/>
      <c r="N520" s="38">
        <v>51.12</v>
      </c>
      <c r="O520" s="38">
        <v>1.97</v>
      </c>
      <c r="P520" s="38"/>
      <c r="Q520" s="38"/>
      <c r="R520" s="38">
        <v>10.7</v>
      </c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>
        <v>4400</v>
      </c>
      <c r="AM520" s="38"/>
      <c r="AN520" s="38">
        <v>24.8</v>
      </c>
      <c r="AO520" s="38"/>
      <c r="AP520" s="38"/>
      <c r="AQ520" s="38">
        <v>20.5</v>
      </c>
      <c r="AR520" s="38" t="s">
        <v>3792</v>
      </c>
      <c r="AS520" s="38"/>
      <c r="AT520" s="38">
        <v>79600</v>
      </c>
      <c r="AU520" s="38">
        <v>11200</v>
      </c>
      <c r="AV520" s="38">
        <v>4900</v>
      </c>
      <c r="AW520" s="38">
        <v>188000</v>
      </c>
      <c r="AX520" s="38"/>
      <c r="AY520" s="38"/>
      <c r="AZ520" s="38"/>
      <c r="BA520" s="38"/>
      <c r="BB520" s="38"/>
    </row>
    <row r="521" spans="1:54">
      <c r="A521" s="38" t="s">
        <v>4111</v>
      </c>
      <c r="B521" s="38" t="s">
        <v>3409</v>
      </c>
      <c r="C521" s="38" t="s">
        <v>4061</v>
      </c>
      <c r="D521" s="38" t="s">
        <v>3399</v>
      </c>
      <c r="E521" s="38" t="s">
        <v>3961</v>
      </c>
      <c r="F521" s="38"/>
      <c r="G521" s="38" t="s">
        <v>4099</v>
      </c>
      <c r="H521" s="38" t="s">
        <v>3400</v>
      </c>
      <c r="I521" s="38" t="s">
        <v>4098</v>
      </c>
      <c r="J521" s="38"/>
      <c r="K521" s="38">
        <v>700</v>
      </c>
      <c r="L521" s="38">
        <v>31.1</v>
      </c>
      <c r="M521" s="38"/>
      <c r="N521" s="38">
        <v>51.87</v>
      </c>
      <c r="O521" s="38">
        <v>1.83</v>
      </c>
      <c r="P521" s="38"/>
      <c r="Q521" s="38"/>
      <c r="R521" s="38">
        <v>11</v>
      </c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>
        <v>2700</v>
      </c>
      <c r="AM521" s="38"/>
      <c r="AN521" s="38">
        <v>27.4</v>
      </c>
      <c r="AO521" s="38"/>
      <c r="AP521" s="38"/>
      <c r="AQ521" s="38">
        <v>112</v>
      </c>
      <c r="AR521" s="38" t="s">
        <v>3792</v>
      </c>
      <c r="AS521" s="38"/>
      <c r="AT521" s="38">
        <v>84000</v>
      </c>
      <c r="AU521" s="38">
        <v>10700</v>
      </c>
      <c r="AV521" s="38">
        <v>4900</v>
      </c>
      <c r="AW521" s="38">
        <v>182000</v>
      </c>
      <c r="AX521" s="38"/>
      <c r="AY521" s="38"/>
      <c r="AZ521" s="38"/>
      <c r="BA521" s="38"/>
      <c r="BB521" s="38"/>
    </row>
    <row r="522" spans="1:54">
      <c r="A522" s="38" t="s">
        <v>4112</v>
      </c>
      <c r="B522" s="38" t="s">
        <v>3431</v>
      </c>
      <c r="C522" s="38" t="s">
        <v>3520</v>
      </c>
      <c r="D522" s="38" t="s">
        <v>3399</v>
      </c>
      <c r="E522" s="38" t="s">
        <v>3961</v>
      </c>
      <c r="F522" s="38"/>
      <c r="G522" s="38" t="s">
        <v>4101</v>
      </c>
      <c r="H522" s="38" t="s">
        <v>3400</v>
      </c>
      <c r="I522" s="38" t="s">
        <v>4098</v>
      </c>
      <c r="J522" s="38"/>
      <c r="K522" s="38">
        <v>500</v>
      </c>
      <c r="L522" s="38">
        <v>37.9</v>
      </c>
      <c r="M522" s="38"/>
      <c r="N522" s="38">
        <v>37.159999999999997</v>
      </c>
      <c r="O522" s="38">
        <v>1.0900000000000001</v>
      </c>
      <c r="P522" s="38"/>
      <c r="Q522" s="38"/>
      <c r="R522" s="38">
        <v>10</v>
      </c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>
        <v>11.7</v>
      </c>
      <c r="AO522" s="38"/>
      <c r="AP522" s="38"/>
      <c r="AQ522" s="38">
        <v>12.2</v>
      </c>
      <c r="AR522" s="38" t="s">
        <v>3792</v>
      </c>
      <c r="AS522" s="38"/>
      <c r="AT522" s="38">
        <v>21000</v>
      </c>
      <c r="AU522" s="38">
        <v>3100</v>
      </c>
      <c r="AV522" s="38">
        <v>1100</v>
      </c>
      <c r="AW522" s="38">
        <v>27400</v>
      </c>
      <c r="AX522" s="38"/>
      <c r="AY522" s="38"/>
      <c r="AZ522" s="38"/>
      <c r="BA522" s="38"/>
      <c r="BB522" s="38"/>
    </row>
    <row r="523" spans="1:54">
      <c r="A523" s="38" t="s">
        <v>4112</v>
      </c>
      <c r="B523" s="38" t="s">
        <v>3431</v>
      </c>
      <c r="C523" s="38" t="s">
        <v>3520</v>
      </c>
      <c r="D523" s="38" t="s">
        <v>3399</v>
      </c>
      <c r="E523" s="38" t="s">
        <v>3961</v>
      </c>
      <c r="F523" s="38"/>
      <c r="G523" s="38" t="s">
        <v>4099</v>
      </c>
      <c r="H523" s="38" t="s">
        <v>3400</v>
      </c>
      <c r="I523" s="38" t="s">
        <v>4098</v>
      </c>
      <c r="J523" s="38"/>
      <c r="K523" s="38">
        <v>500</v>
      </c>
      <c r="L523" s="38">
        <v>37.6</v>
      </c>
      <c r="M523" s="38"/>
      <c r="N523" s="38">
        <v>37.29</v>
      </c>
      <c r="O523" s="38">
        <v>1.1000000000000001</v>
      </c>
      <c r="P523" s="38"/>
      <c r="Q523" s="38"/>
      <c r="R523" s="38">
        <v>9.9</v>
      </c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>
        <v>10.9</v>
      </c>
      <c r="AO523" s="38"/>
      <c r="AP523" s="38"/>
      <c r="AQ523" s="38">
        <v>28.6</v>
      </c>
      <c r="AR523" s="38" t="s">
        <v>3792</v>
      </c>
      <c r="AS523" s="38"/>
      <c r="AT523" s="38">
        <v>20900</v>
      </c>
      <c r="AU523" s="38">
        <v>2600</v>
      </c>
      <c r="AV523" s="38">
        <v>1000</v>
      </c>
      <c r="AW523" s="38">
        <v>25600</v>
      </c>
      <c r="AX523" s="38"/>
      <c r="AY523" s="38"/>
      <c r="AZ523" s="38"/>
      <c r="BA523" s="38"/>
      <c r="BB523" s="38"/>
    </row>
    <row r="524" spans="1:54">
      <c r="A524" s="38" t="s">
        <v>4113</v>
      </c>
      <c r="B524" s="38" t="s">
        <v>3431</v>
      </c>
      <c r="C524" s="38" t="s">
        <v>3520</v>
      </c>
      <c r="D524" s="38" t="s">
        <v>3399</v>
      </c>
      <c r="E524" s="38" t="s">
        <v>3961</v>
      </c>
      <c r="F524" s="38"/>
      <c r="G524" s="38" t="s">
        <v>4101</v>
      </c>
      <c r="H524" s="38" t="s">
        <v>3400</v>
      </c>
      <c r="I524" s="38" t="s">
        <v>4098</v>
      </c>
      <c r="J524" s="38"/>
      <c r="K524" s="38">
        <v>700</v>
      </c>
      <c r="L524" s="38">
        <v>40.4</v>
      </c>
      <c r="M524" s="38"/>
      <c r="N524" s="38">
        <v>37.51</v>
      </c>
      <c r="O524" s="38">
        <v>0.92</v>
      </c>
      <c r="P524" s="38"/>
      <c r="Q524" s="38"/>
      <c r="R524" s="38">
        <v>10.8</v>
      </c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>
        <v>1200</v>
      </c>
      <c r="AM524" s="38"/>
      <c r="AN524" s="38">
        <v>7.4</v>
      </c>
      <c r="AO524" s="38"/>
      <c r="AP524" s="38"/>
      <c r="AQ524" s="38">
        <v>136</v>
      </c>
      <c r="AR524" s="38" t="s">
        <v>3792</v>
      </c>
      <c r="AS524" s="38"/>
      <c r="AT524" s="38">
        <v>24000</v>
      </c>
      <c r="AU524" s="38">
        <v>2900</v>
      </c>
      <c r="AV524" s="38">
        <v>1300</v>
      </c>
      <c r="AW524" s="38">
        <v>26500</v>
      </c>
      <c r="AX524" s="38"/>
      <c r="AY524" s="38"/>
      <c r="AZ524" s="38"/>
      <c r="BA524" s="38"/>
      <c r="BB524" s="38"/>
    </row>
    <row r="525" spans="1:54">
      <c r="A525" s="38" t="s">
        <v>4113</v>
      </c>
      <c r="B525" s="38" t="s">
        <v>3431</v>
      </c>
      <c r="C525" s="38" t="s">
        <v>3520</v>
      </c>
      <c r="D525" s="38" t="s">
        <v>3399</v>
      </c>
      <c r="E525" s="38" t="s">
        <v>3961</v>
      </c>
      <c r="F525" s="38"/>
      <c r="G525" s="38" t="s">
        <v>4099</v>
      </c>
      <c r="H525" s="38" t="s">
        <v>3400</v>
      </c>
      <c r="I525" s="38" t="s">
        <v>4098</v>
      </c>
      <c r="J525" s="38"/>
      <c r="K525" s="38">
        <v>700</v>
      </c>
      <c r="L525" s="38">
        <v>43</v>
      </c>
      <c r="M525" s="38"/>
      <c r="N525" s="38">
        <v>40.090000000000003</v>
      </c>
      <c r="O525" s="38">
        <v>0.93</v>
      </c>
      <c r="P525" s="38"/>
      <c r="Q525" s="38"/>
      <c r="R525" s="38">
        <v>10.5</v>
      </c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>
        <v>800</v>
      </c>
      <c r="AM525" s="38"/>
      <c r="AN525" s="38">
        <v>11.7</v>
      </c>
      <c r="AO525" s="38"/>
      <c r="AP525" s="38"/>
      <c r="AQ525" s="38">
        <v>195</v>
      </c>
      <c r="AR525" s="38" t="s">
        <v>3792</v>
      </c>
      <c r="AS525" s="38"/>
      <c r="AT525" s="38">
        <v>27900</v>
      </c>
      <c r="AU525" s="38">
        <v>3200</v>
      </c>
      <c r="AV525" s="38">
        <v>1400</v>
      </c>
      <c r="AW525" s="38">
        <v>29600</v>
      </c>
      <c r="AX525" s="38"/>
      <c r="AY525" s="38"/>
      <c r="AZ525" s="38"/>
      <c r="BA525" s="38"/>
      <c r="BB525" s="38"/>
    </row>
    <row r="526" spans="1:54">
      <c r="A526" s="38" t="s">
        <v>4114</v>
      </c>
      <c r="B526" s="38" t="s">
        <v>1948</v>
      </c>
      <c r="C526" s="38" t="s">
        <v>4115</v>
      </c>
      <c r="D526" s="38" t="s">
        <v>3399</v>
      </c>
      <c r="E526" s="38" t="s">
        <v>3961</v>
      </c>
      <c r="F526" s="38"/>
      <c r="G526" s="38" t="s">
        <v>4101</v>
      </c>
      <c r="H526" s="38" t="s">
        <v>3400</v>
      </c>
      <c r="I526" s="38" t="s">
        <v>4098</v>
      </c>
      <c r="J526" s="38"/>
      <c r="K526" s="38">
        <v>500</v>
      </c>
      <c r="L526" s="38">
        <v>7.3</v>
      </c>
      <c r="M526" s="38"/>
      <c r="N526" s="38">
        <v>56.1</v>
      </c>
      <c r="O526" s="38">
        <v>0.35</v>
      </c>
      <c r="P526" s="38"/>
      <c r="Q526" s="38"/>
      <c r="R526" s="38">
        <v>10.3</v>
      </c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>
        <v>17000</v>
      </c>
      <c r="AM526" s="38"/>
      <c r="AN526" s="38">
        <v>31.1</v>
      </c>
      <c r="AO526" s="38"/>
      <c r="AP526" s="38"/>
      <c r="AQ526" s="38">
        <v>69.400000000000006</v>
      </c>
      <c r="AR526" s="38" t="s">
        <v>3792</v>
      </c>
      <c r="AS526" s="38"/>
      <c r="AT526" s="38">
        <v>7200</v>
      </c>
      <c r="AU526" s="38">
        <v>3300</v>
      </c>
      <c r="AV526" s="38">
        <v>2100</v>
      </c>
      <c r="AW526" s="38">
        <v>204000</v>
      </c>
      <c r="AX526" s="38"/>
      <c r="AY526" s="38"/>
      <c r="AZ526" s="38"/>
      <c r="BA526" s="38"/>
      <c r="BB526" s="38"/>
    </row>
    <row r="527" spans="1:54">
      <c r="A527" s="38" t="s">
        <v>4114</v>
      </c>
      <c r="B527" s="38" t="s">
        <v>3652</v>
      </c>
      <c r="C527" s="38" t="s">
        <v>4115</v>
      </c>
      <c r="D527" s="38" t="s">
        <v>3399</v>
      </c>
      <c r="E527" s="38" t="s">
        <v>3961</v>
      </c>
      <c r="F527" s="38"/>
      <c r="G527" s="38" t="s">
        <v>4099</v>
      </c>
      <c r="H527" s="38" t="s">
        <v>3400</v>
      </c>
      <c r="I527" s="38" t="s">
        <v>4098</v>
      </c>
      <c r="J527" s="38"/>
      <c r="K527" s="38">
        <v>500</v>
      </c>
      <c r="L527" s="38">
        <v>7.4</v>
      </c>
      <c r="M527" s="38"/>
      <c r="N527" s="38">
        <v>52.21</v>
      </c>
      <c r="O527" s="38">
        <v>0.26</v>
      </c>
      <c r="P527" s="38"/>
      <c r="Q527" s="38"/>
      <c r="R527" s="38">
        <v>10.5</v>
      </c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>
        <v>30000</v>
      </c>
      <c r="AM527" s="38"/>
      <c r="AN527" s="38">
        <v>11.3</v>
      </c>
      <c r="AO527" s="38"/>
      <c r="AP527" s="38"/>
      <c r="AQ527" s="38">
        <v>52.8</v>
      </c>
      <c r="AR527" s="38" t="s">
        <v>3792</v>
      </c>
      <c r="AS527" s="38"/>
      <c r="AT527" s="38">
        <v>8500</v>
      </c>
      <c r="AU527" s="38">
        <v>3100</v>
      </c>
      <c r="AV527" s="38">
        <v>1900</v>
      </c>
      <c r="AW527" s="38">
        <v>309000</v>
      </c>
      <c r="AX527" s="38"/>
      <c r="AY527" s="38"/>
      <c r="AZ527" s="38"/>
      <c r="BA527" s="38"/>
      <c r="BB527" s="38"/>
    </row>
    <row r="528" spans="1:54">
      <c r="A528" s="38" t="s">
        <v>4116</v>
      </c>
      <c r="B528" s="38" t="s">
        <v>3652</v>
      </c>
      <c r="C528" s="38" t="s">
        <v>4115</v>
      </c>
      <c r="D528" s="38" t="s">
        <v>3399</v>
      </c>
      <c r="E528" s="38" t="s">
        <v>3961</v>
      </c>
      <c r="F528" s="38"/>
      <c r="G528" s="38" t="s">
        <v>4101</v>
      </c>
      <c r="H528" s="38" t="s">
        <v>3400</v>
      </c>
      <c r="I528" s="38" t="s">
        <v>4098</v>
      </c>
      <c r="J528" s="38"/>
      <c r="K528" s="38">
        <v>700</v>
      </c>
      <c r="L528" s="38">
        <v>8.6999999999999993</v>
      </c>
      <c r="M528" s="38"/>
      <c r="N528" s="38">
        <v>56</v>
      </c>
      <c r="O528" s="38">
        <v>0.21</v>
      </c>
      <c r="P528" s="38"/>
      <c r="Q528" s="38"/>
      <c r="R528" s="38">
        <v>10.8</v>
      </c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>
        <v>30400</v>
      </c>
      <c r="AM528" s="38"/>
      <c r="AN528" s="38">
        <v>20.2</v>
      </c>
      <c r="AO528" s="38"/>
      <c r="AP528" s="38"/>
      <c r="AQ528" s="38">
        <v>341</v>
      </c>
      <c r="AR528" s="38" t="s">
        <v>3792</v>
      </c>
      <c r="AS528" s="38"/>
      <c r="AT528" s="38">
        <v>13100</v>
      </c>
      <c r="AU528" s="38">
        <v>2800</v>
      </c>
      <c r="AV528" s="38">
        <v>1800</v>
      </c>
      <c r="AW528" s="38">
        <v>243000</v>
      </c>
      <c r="AX528" s="38"/>
      <c r="AY528" s="38"/>
      <c r="AZ528" s="38"/>
      <c r="BA528" s="38"/>
      <c r="BB528" s="38"/>
    </row>
    <row r="529" spans="1:54">
      <c r="A529" s="38" t="s">
        <v>4116</v>
      </c>
      <c r="B529" s="38" t="s">
        <v>3652</v>
      </c>
      <c r="C529" s="38" t="s">
        <v>4117</v>
      </c>
      <c r="D529" s="38" t="s">
        <v>3399</v>
      </c>
      <c r="E529" s="38" t="s">
        <v>3961</v>
      </c>
      <c r="F529" s="38"/>
      <c r="G529" s="38" t="s">
        <v>4099</v>
      </c>
      <c r="H529" s="38" t="s">
        <v>3400</v>
      </c>
      <c r="I529" s="38" t="s">
        <v>4098</v>
      </c>
      <c r="J529" s="38"/>
      <c r="K529" s="38">
        <v>700</v>
      </c>
      <c r="L529" s="38">
        <v>7.7</v>
      </c>
      <c r="M529" s="38"/>
      <c r="N529" s="38">
        <v>60.04</v>
      </c>
      <c r="O529" s="38">
        <v>0.25</v>
      </c>
      <c r="P529" s="38"/>
      <c r="Q529" s="38"/>
      <c r="R529" s="38">
        <v>10.5</v>
      </c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>
        <v>16400</v>
      </c>
      <c r="AM529" s="38"/>
      <c r="AN529" s="38">
        <v>21.3</v>
      </c>
      <c r="AO529" s="38"/>
      <c r="AP529" s="38"/>
      <c r="AQ529" s="38">
        <v>394</v>
      </c>
      <c r="AR529" s="38" t="s">
        <v>3792</v>
      </c>
      <c r="AS529" s="38"/>
      <c r="AT529" s="38">
        <v>7000</v>
      </c>
      <c r="AU529" s="38">
        <v>2200</v>
      </c>
      <c r="AV529" s="38">
        <v>1200</v>
      </c>
      <c r="AW529" s="38">
        <v>29200</v>
      </c>
      <c r="AX529" s="38"/>
      <c r="AY529" s="38"/>
      <c r="AZ529" s="38"/>
      <c r="BA529" s="38"/>
      <c r="BB529" s="38"/>
    </row>
    <row r="530" spans="1:54">
      <c r="A530" s="38" t="s">
        <v>4118</v>
      </c>
      <c r="B530" s="38" t="s">
        <v>3652</v>
      </c>
      <c r="C530" s="38" t="s">
        <v>4119</v>
      </c>
      <c r="D530" s="38" t="s">
        <v>3399</v>
      </c>
      <c r="E530" s="38" t="s">
        <v>4120</v>
      </c>
      <c r="F530" s="38" t="s">
        <v>4121</v>
      </c>
      <c r="G530" s="38" t="s">
        <v>3756</v>
      </c>
      <c r="H530" s="38" t="s">
        <v>3400</v>
      </c>
      <c r="I530" s="38" t="s">
        <v>4122</v>
      </c>
      <c r="J530" s="38"/>
      <c r="K530" s="38">
        <v>650</v>
      </c>
      <c r="L530" s="38"/>
      <c r="M530" s="38"/>
      <c r="N530" s="38">
        <v>66.400000000000006</v>
      </c>
      <c r="O530" s="38">
        <v>4.7699999999999996</v>
      </c>
      <c r="P530" s="38">
        <v>2.4900000000000002</v>
      </c>
      <c r="Q530" s="38"/>
      <c r="R530" s="38">
        <v>6.8</v>
      </c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38"/>
      <c r="AP530" s="38"/>
      <c r="AQ530" s="38">
        <v>9.8000000000000007</v>
      </c>
      <c r="AR530" s="38" t="s">
        <v>3792</v>
      </c>
      <c r="AS530" s="38"/>
      <c r="AT530" s="38"/>
      <c r="AU530" s="38"/>
      <c r="AV530" s="38"/>
      <c r="AW530" s="38"/>
      <c r="AX530" s="38"/>
      <c r="AY530" s="38"/>
      <c r="AZ530" s="38"/>
      <c r="BA530" s="38"/>
      <c r="BB530" s="38"/>
    </row>
    <row r="531" spans="1:54">
      <c r="A531" s="38" t="s">
        <v>4069</v>
      </c>
      <c r="B531" s="38" t="s">
        <v>3455</v>
      </c>
      <c r="C531" s="38" t="s">
        <v>4123</v>
      </c>
      <c r="D531" s="38" t="s">
        <v>3399</v>
      </c>
      <c r="E531" s="38"/>
      <c r="F531" s="38"/>
      <c r="G531" s="38" t="s">
        <v>3756</v>
      </c>
      <c r="H531" s="38" t="s">
        <v>3400</v>
      </c>
      <c r="I531" s="38" t="s">
        <v>4124</v>
      </c>
      <c r="J531" s="38"/>
      <c r="K531" s="38">
        <v>350</v>
      </c>
      <c r="L531" s="38">
        <v>2.23</v>
      </c>
      <c r="M531" s="38"/>
      <c r="N531" s="38">
        <v>76</v>
      </c>
      <c r="O531" s="38">
        <v>1.4</v>
      </c>
      <c r="P531" s="38">
        <v>4.6500000000000004</v>
      </c>
      <c r="Q531" s="38">
        <v>17.61</v>
      </c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38"/>
      <c r="AP531" s="38">
        <v>34.31</v>
      </c>
      <c r="AQ531" s="38"/>
      <c r="AR531" s="38"/>
      <c r="AS531" s="38"/>
      <c r="AT531" s="38"/>
      <c r="AU531" s="38"/>
      <c r="AV531" s="38"/>
      <c r="AW531" s="38"/>
      <c r="AX531" s="38"/>
      <c r="AY531" s="38"/>
      <c r="AZ531" s="38"/>
      <c r="BA531" s="38"/>
      <c r="BB531" s="38"/>
    </row>
    <row r="532" spans="1:54">
      <c r="A532" s="38" t="s">
        <v>4125</v>
      </c>
      <c r="B532" s="38" t="s">
        <v>3652</v>
      </c>
      <c r="C532" s="38"/>
      <c r="D532" s="38" t="s">
        <v>3399</v>
      </c>
      <c r="E532" s="38" t="s">
        <v>4126</v>
      </c>
      <c r="F532" s="38"/>
      <c r="G532" s="38" t="s">
        <v>3756</v>
      </c>
      <c r="H532" s="38" t="s">
        <v>3400</v>
      </c>
      <c r="I532" s="38" t="s">
        <v>4127</v>
      </c>
      <c r="J532" s="38">
        <v>1.3</v>
      </c>
      <c r="K532" s="38">
        <v>500</v>
      </c>
      <c r="L532" s="38">
        <v>8.57</v>
      </c>
      <c r="M532" s="38"/>
      <c r="N532" s="38">
        <v>85.59</v>
      </c>
      <c r="O532" s="38">
        <v>1.1100000000000001</v>
      </c>
      <c r="P532" s="38">
        <v>2.82</v>
      </c>
      <c r="Q532" s="38">
        <v>10.48</v>
      </c>
      <c r="R532" s="38">
        <v>9.3000000000000007</v>
      </c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>
        <v>336</v>
      </c>
      <c r="AL532" s="38"/>
      <c r="AM532" s="38"/>
      <c r="AN532" s="38"/>
      <c r="AO532" s="38"/>
      <c r="AP532" s="38">
        <v>9.17</v>
      </c>
      <c r="AQ532" s="38">
        <v>13.7</v>
      </c>
      <c r="AR532" s="38" t="s">
        <v>3792</v>
      </c>
      <c r="AS532" s="38"/>
      <c r="AT532" s="38">
        <v>504</v>
      </c>
      <c r="AU532" s="38">
        <v>1798</v>
      </c>
      <c r="AV532" s="38">
        <v>390</v>
      </c>
      <c r="AW532" s="38">
        <v>2643</v>
      </c>
      <c r="AX532" s="38">
        <v>1627</v>
      </c>
      <c r="AY532" s="38">
        <v>1276</v>
      </c>
      <c r="AZ532" s="38"/>
      <c r="BA532" s="38"/>
      <c r="BB532" s="38"/>
    </row>
    <row r="533" spans="1:54">
      <c r="A533" s="38" t="s">
        <v>4128</v>
      </c>
      <c r="B533" s="38" t="s">
        <v>3652</v>
      </c>
      <c r="C533" s="38"/>
      <c r="D533" s="38" t="s">
        <v>3399</v>
      </c>
      <c r="E533" s="38" t="s">
        <v>4126</v>
      </c>
      <c r="F533" s="38"/>
      <c r="G533" s="38" t="s">
        <v>3756</v>
      </c>
      <c r="H533" s="38" t="s">
        <v>3400</v>
      </c>
      <c r="I533" s="38" t="s">
        <v>4127</v>
      </c>
      <c r="J533" s="38">
        <v>2.5499999999999998</v>
      </c>
      <c r="K533" s="38">
        <v>500</v>
      </c>
      <c r="L533" s="38">
        <v>15.9</v>
      </c>
      <c r="M533" s="38"/>
      <c r="N533" s="38">
        <v>84.44</v>
      </c>
      <c r="O533" s="38">
        <v>1.02</v>
      </c>
      <c r="P533" s="38">
        <v>2.88</v>
      </c>
      <c r="Q533" s="38">
        <v>11.67</v>
      </c>
      <c r="R533" s="38">
        <v>10.3</v>
      </c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>
        <v>13710</v>
      </c>
      <c r="AM533" s="38"/>
      <c r="AN533" s="38"/>
      <c r="AO533" s="38"/>
      <c r="AP533" s="38">
        <v>14.3</v>
      </c>
      <c r="AQ533" s="38">
        <v>13.7</v>
      </c>
      <c r="AR533" s="38" t="s">
        <v>3792</v>
      </c>
      <c r="AS533" s="38"/>
      <c r="AT533" s="38">
        <v>302</v>
      </c>
      <c r="AU533" s="38">
        <v>2667</v>
      </c>
      <c r="AV533" s="38">
        <v>554</v>
      </c>
      <c r="AW533" s="38">
        <v>22960</v>
      </c>
      <c r="AX533" s="38">
        <v>3436</v>
      </c>
      <c r="AY533" s="38">
        <v>2088</v>
      </c>
      <c r="AZ533" s="38"/>
      <c r="BA533" s="38"/>
      <c r="BB533" s="38"/>
    </row>
    <row r="534" spans="1:54">
      <c r="A534" s="38" t="s">
        <v>4030</v>
      </c>
      <c r="B534" s="38" t="s">
        <v>3409</v>
      </c>
      <c r="C534" s="38" t="s">
        <v>4129</v>
      </c>
      <c r="D534" s="38" t="s">
        <v>3399</v>
      </c>
      <c r="E534" s="38" t="s">
        <v>4126</v>
      </c>
      <c r="F534" s="38"/>
      <c r="G534" s="38" t="s">
        <v>3756</v>
      </c>
      <c r="H534" s="38" t="s">
        <v>3400</v>
      </c>
      <c r="I534" s="38" t="s">
        <v>4127</v>
      </c>
      <c r="J534" s="38">
        <v>2.0699999999999998</v>
      </c>
      <c r="K534" s="38">
        <v>500</v>
      </c>
      <c r="L534" s="38">
        <v>52.37</v>
      </c>
      <c r="M534" s="38"/>
      <c r="N534" s="38">
        <v>86.28</v>
      </c>
      <c r="O534" s="38">
        <v>3.25</v>
      </c>
      <c r="P534" s="38">
        <v>3.12</v>
      </c>
      <c r="Q534" s="38">
        <v>7.35</v>
      </c>
      <c r="R534" s="38">
        <v>10.5</v>
      </c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>
        <v>753</v>
      </c>
      <c r="AM534" s="38"/>
      <c r="AN534" s="38"/>
      <c r="AO534" s="38"/>
      <c r="AP534" s="38">
        <v>6.46</v>
      </c>
      <c r="AQ534" s="38">
        <v>45.8</v>
      </c>
      <c r="AR534" s="38" t="s">
        <v>3792</v>
      </c>
      <c r="AS534" s="38"/>
      <c r="AT534" s="38">
        <v>3367</v>
      </c>
      <c r="AU534" s="38">
        <v>6018</v>
      </c>
      <c r="AV534" s="38">
        <v>2976</v>
      </c>
      <c r="AW534" s="38">
        <v>21340</v>
      </c>
      <c r="AX534" s="38">
        <v>2653</v>
      </c>
      <c r="AY534" s="38">
        <v>1956</v>
      </c>
      <c r="AZ534" s="38"/>
      <c r="BA534" s="38"/>
      <c r="BB534" s="38"/>
    </row>
    <row r="535" spans="1:54">
      <c r="A535" s="38" t="s">
        <v>4130</v>
      </c>
      <c r="B535" s="38" t="s">
        <v>3449</v>
      </c>
      <c r="C535" s="38" t="s">
        <v>4131</v>
      </c>
      <c r="D535" s="38" t="s">
        <v>3399</v>
      </c>
      <c r="E535" s="38" t="s">
        <v>4126</v>
      </c>
      <c r="F535" s="38"/>
      <c r="G535" s="38" t="s">
        <v>3756</v>
      </c>
      <c r="H535" s="38" t="s">
        <v>3400</v>
      </c>
      <c r="I535" s="38" t="s">
        <v>4127</v>
      </c>
      <c r="J535" s="38"/>
      <c r="K535" s="38">
        <v>500</v>
      </c>
      <c r="L535" s="38">
        <v>6.86</v>
      </c>
      <c r="M535" s="38"/>
      <c r="N535" s="38">
        <v>87.85</v>
      </c>
      <c r="O535" s="38">
        <v>1.1100000000000001</v>
      </c>
      <c r="P535" s="38">
        <v>2.91</v>
      </c>
      <c r="Q535" s="38">
        <v>8.14</v>
      </c>
      <c r="R535" s="38">
        <v>6.9</v>
      </c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>
        <v>534</v>
      </c>
      <c r="AM535" s="38"/>
      <c r="AN535" s="38"/>
      <c r="AO535" s="38"/>
      <c r="AP535" s="38">
        <v>12.29</v>
      </c>
      <c r="AQ535" s="38">
        <v>191</v>
      </c>
      <c r="AR535" s="38" t="s">
        <v>3792</v>
      </c>
      <c r="AS535" s="38"/>
      <c r="AT535" s="38">
        <v>274</v>
      </c>
      <c r="AU535" s="38">
        <v>392</v>
      </c>
      <c r="AV535" s="38">
        <v>131</v>
      </c>
      <c r="AW535" s="38">
        <v>1219</v>
      </c>
      <c r="AX535" s="38">
        <v>4275</v>
      </c>
      <c r="AY535" s="38">
        <v>21380</v>
      </c>
      <c r="AZ535" s="38"/>
      <c r="BA535" s="38"/>
      <c r="BB535" s="38"/>
    </row>
    <row r="536" spans="1:54">
      <c r="A536" s="38" t="s">
        <v>4035</v>
      </c>
      <c r="B536" s="38" t="s">
        <v>3471</v>
      </c>
      <c r="C536" s="38" t="s">
        <v>4132</v>
      </c>
      <c r="D536" s="38" t="s">
        <v>3399</v>
      </c>
      <c r="E536" s="38" t="s">
        <v>4126</v>
      </c>
      <c r="F536" s="38"/>
      <c r="G536" s="38" t="s">
        <v>3756</v>
      </c>
      <c r="H536" s="38" t="s">
        <v>3400</v>
      </c>
      <c r="I536" s="38" t="s">
        <v>4127</v>
      </c>
      <c r="J536" s="38">
        <v>1.46</v>
      </c>
      <c r="K536" s="38">
        <v>500</v>
      </c>
      <c r="L536" s="38">
        <v>2.2799999999999998</v>
      </c>
      <c r="M536" s="38"/>
      <c r="N536" s="38">
        <v>89.31</v>
      </c>
      <c r="O536" s="38">
        <v>0.78</v>
      </c>
      <c r="P536" s="38">
        <v>2.57</v>
      </c>
      <c r="Q536" s="38">
        <v>7.34</v>
      </c>
      <c r="R536" s="38">
        <v>9.5</v>
      </c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>
        <v>114</v>
      </c>
      <c r="AM536" s="38"/>
      <c r="AN536" s="38"/>
      <c r="AO536" s="38"/>
      <c r="AP536" s="38">
        <v>12.79</v>
      </c>
      <c r="AQ536" s="38">
        <v>316</v>
      </c>
      <c r="AR536" s="38" t="s">
        <v>3792</v>
      </c>
      <c r="AS536" s="38"/>
      <c r="AT536" s="38">
        <v>134</v>
      </c>
      <c r="AU536" s="38">
        <v>1674</v>
      </c>
      <c r="AV536" s="38">
        <v>190</v>
      </c>
      <c r="AW536" s="38">
        <v>2018</v>
      </c>
      <c r="AX536" s="38">
        <v>328</v>
      </c>
      <c r="AY536" s="38">
        <v>241</v>
      </c>
      <c r="AZ536" s="38"/>
      <c r="BA536" s="38"/>
      <c r="BB536" s="38"/>
    </row>
    <row r="537" spans="1:54">
      <c r="A537" s="38" t="s">
        <v>4133</v>
      </c>
      <c r="B537" s="38" t="s">
        <v>3471</v>
      </c>
      <c r="C537" s="38" t="s">
        <v>4134</v>
      </c>
      <c r="D537" s="38" t="s">
        <v>3399</v>
      </c>
      <c r="E537" s="38" t="s">
        <v>4126</v>
      </c>
      <c r="F537" s="38"/>
      <c r="G537" s="38" t="s">
        <v>3756</v>
      </c>
      <c r="H537" s="38" t="s">
        <v>3400</v>
      </c>
      <c r="I537" s="38" t="s">
        <v>4127</v>
      </c>
      <c r="J537" s="38">
        <v>0.36</v>
      </c>
      <c r="K537" s="38">
        <v>500</v>
      </c>
      <c r="L537" s="38">
        <v>12.84</v>
      </c>
      <c r="M537" s="38"/>
      <c r="N537" s="38">
        <v>84.84</v>
      </c>
      <c r="O537" s="38">
        <v>1.83</v>
      </c>
      <c r="P537" s="38">
        <v>3.13</v>
      </c>
      <c r="Q537" s="38">
        <v>10.199999999999999</v>
      </c>
      <c r="R537" s="38">
        <v>9.6</v>
      </c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>
        <v>30</v>
      </c>
      <c r="AM537" s="38"/>
      <c r="AN537" s="38"/>
      <c r="AO537" s="38"/>
      <c r="AP537" s="38">
        <v>18.14</v>
      </c>
      <c r="AQ537" s="38">
        <v>13.6</v>
      </c>
      <c r="AR537" s="38" t="s">
        <v>3792</v>
      </c>
      <c r="AS537" s="38"/>
      <c r="AT537" s="38">
        <v>485</v>
      </c>
      <c r="AU537" s="38">
        <v>19730</v>
      </c>
      <c r="AV537" s="38">
        <v>1111</v>
      </c>
      <c r="AW537" s="38">
        <v>6470</v>
      </c>
      <c r="AX537" s="38">
        <v>6588</v>
      </c>
      <c r="AY537" s="38">
        <v>4736</v>
      </c>
      <c r="AZ537" s="38"/>
      <c r="BA537" s="38"/>
      <c r="BB537" s="38"/>
    </row>
    <row r="538" spans="1:54">
      <c r="A538" s="38" t="s">
        <v>4091</v>
      </c>
      <c r="B538" s="38" t="s">
        <v>3424</v>
      </c>
      <c r="C538" s="38"/>
      <c r="D538" s="38" t="s">
        <v>3399</v>
      </c>
      <c r="E538" s="38"/>
      <c r="F538" s="38"/>
      <c r="G538" s="38" t="s">
        <v>3756</v>
      </c>
      <c r="H538" s="38" t="s">
        <v>3400</v>
      </c>
      <c r="I538" s="38" t="s">
        <v>4135</v>
      </c>
      <c r="J538" s="38"/>
      <c r="K538" s="38">
        <v>600</v>
      </c>
      <c r="L538" s="38">
        <v>39.6</v>
      </c>
      <c r="M538" s="38"/>
      <c r="N538" s="38">
        <v>45.14</v>
      </c>
      <c r="O538" s="38">
        <v>0.44</v>
      </c>
      <c r="P538" s="38">
        <v>1.86</v>
      </c>
      <c r="Q538" s="38">
        <v>12.96</v>
      </c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38"/>
      <c r="AP538" s="38"/>
      <c r="AQ538" s="38">
        <v>74</v>
      </c>
      <c r="AR538" s="38" t="s">
        <v>3792</v>
      </c>
      <c r="AS538" s="38"/>
      <c r="AT538" s="38"/>
      <c r="AU538" s="38"/>
      <c r="AV538" s="38"/>
      <c r="AW538" s="38"/>
      <c r="AX538" s="38"/>
      <c r="AY538" s="38"/>
      <c r="AZ538" s="38"/>
      <c r="BA538" s="38"/>
      <c r="BB538" s="38"/>
    </row>
    <row r="539" spans="1:54">
      <c r="A539" s="38" t="s">
        <v>4136</v>
      </c>
      <c r="B539" s="38" t="s">
        <v>3409</v>
      </c>
      <c r="C539" s="38" t="s">
        <v>3512</v>
      </c>
      <c r="D539" s="38" t="s">
        <v>3399</v>
      </c>
      <c r="E539" s="38"/>
      <c r="F539" s="38"/>
      <c r="G539" s="38" t="s">
        <v>3844</v>
      </c>
      <c r="H539" s="38" t="s">
        <v>3400</v>
      </c>
      <c r="I539" s="38" t="s">
        <v>4137</v>
      </c>
      <c r="J539" s="38"/>
      <c r="K539" s="38">
        <v>480</v>
      </c>
      <c r="L539" s="38">
        <v>26.87</v>
      </c>
      <c r="M539" s="38"/>
      <c r="N539" s="38">
        <v>43.65</v>
      </c>
      <c r="O539" s="38">
        <v>0.78</v>
      </c>
      <c r="P539" s="38">
        <v>3.71</v>
      </c>
      <c r="Q539" s="38">
        <v>24.99</v>
      </c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38"/>
      <c r="AP539" s="38"/>
      <c r="AQ539" s="38">
        <v>46</v>
      </c>
      <c r="AR539" s="38" t="s">
        <v>3792</v>
      </c>
      <c r="AS539" s="38"/>
      <c r="AT539" s="38"/>
      <c r="AU539" s="38"/>
      <c r="AV539" s="38"/>
      <c r="AW539" s="38"/>
      <c r="AX539" s="38"/>
      <c r="AY539" s="38"/>
      <c r="AZ539" s="38"/>
      <c r="BA539" s="38"/>
      <c r="BB539" s="38"/>
    </row>
    <row r="540" spans="1:54">
      <c r="A540" s="38" t="s">
        <v>3944</v>
      </c>
      <c r="B540" s="38" t="s">
        <v>3652</v>
      </c>
      <c r="C540" s="38" t="s">
        <v>4138</v>
      </c>
      <c r="D540" s="38" t="s">
        <v>3399</v>
      </c>
      <c r="E540" s="38"/>
      <c r="F540" s="38"/>
      <c r="G540" s="38" t="s">
        <v>3756</v>
      </c>
      <c r="H540" s="38" t="s">
        <v>3400</v>
      </c>
      <c r="I540" s="38" t="s">
        <v>4139</v>
      </c>
      <c r="J540" s="38"/>
      <c r="K540" s="38">
        <v>350</v>
      </c>
      <c r="L540" s="38">
        <v>9.18</v>
      </c>
      <c r="M540" s="38"/>
      <c r="N540" s="38">
        <v>67.510000000000005</v>
      </c>
      <c r="O540" s="38">
        <v>1.01</v>
      </c>
      <c r="P540" s="38">
        <v>3.95</v>
      </c>
      <c r="Q540" s="38">
        <v>27.16</v>
      </c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>
        <v>1000</v>
      </c>
      <c r="AM540" s="38"/>
      <c r="AN540" s="38"/>
      <c r="AO540" s="38"/>
      <c r="AP540" s="38">
        <v>30.02</v>
      </c>
      <c r="AQ540" s="38"/>
      <c r="AR540" s="38"/>
      <c r="AS540" s="38"/>
      <c r="AT540" s="38"/>
      <c r="AU540" s="38">
        <v>28600</v>
      </c>
      <c r="AV540" s="38"/>
      <c r="AW540" s="38">
        <v>400</v>
      </c>
      <c r="AX540" s="38"/>
      <c r="AY540" s="38">
        <v>5900</v>
      </c>
      <c r="AZ540" s="38"/>
      <c r="BA540" s="38"/>
      <c r="BB540" s="38"/>
    </row>
    <row r="541" spans="1:54">
      <c r="A541" s="38" t="s">
        <v>4140</v>
      </c>
      <c r="B541" s="38" t="s">
        <v>3652</v>
      </c>
      <c r="C541" s="38"/>
      <c r="D541" s="38" t="s">
        <v>3351</v>
      </c>
      <c r="E541" s="38" t="s">
        <v>3799</v>
      </c>
      <c r="F541" s="38" t="s">
        <v>4141</v>
      </c>
      <c r="G541" s="38" t="s">
        <v>3756</v>
      </c>
      <c r="H541" s="38" t="s">
        <v>3400</v>
      </c>
      <c r="I541" s="38" t="s">
        <v>4142</v>
      </c>
      <c r="J541" s="38"/>
      <c r="K541" s="38">
        <v>650</v>
      </c>
      <c r="L541" s="38"/>
      <c r="M541" s="38"/>
      <c r="N541" s="38">
        <v>69.58</v>
      </c>
      <c r="O541" s="38">
        <v>0.79</v>
      </c>
      <c r="P541" s="38">
        <v>3.24</v>
      </c>
      <c r="Q541" s="38"/>
      <c r="R541" s="38">
        <v>9.1</v>
      </c>
      <c r="S541" s="38"/>
      <c r="T541" s="38"/>
      <c r="U541" s="38"/>
      <c r="V541" s="38"/>
      <c r="W541" s="38"/>
      <c r="X541" s="38"/>
      <c r="Y541" s="38"/>
      <c r="Z541" s="38">
        <v>0.2</v>
      </c>
      <c r="AA541" s="38"/>
      <c r="AB541" s="38"/>
      <c r="AC541" s="38"/>
      <c r="AD541" s="38">
        <v>20.6</v>
      </c>
      <c r="AE541" s="38"/>
      <c r="AF541" s="38"/>
      <c r="AG541" s="38"/>
      <c r="AH541" s="38"/>
      <c r="AI541" s="38">
        <v>97.9</v>
      </c>
      <c r="AJ541" s="38"/>
      <c r="AK541" s="38"/>
      <c r="AL541" s="38"/>
      <c r="AM541" s="38"/>
      <c r="AN541" s="38">
        <v>143</v>
      </c>
      <c r="AO541" s="38"/>
      <c r="AP541" s="38"/>
      <c r="AQ541" s="38">
        <v>11.4</v>
      </c>
      <c r="AR541" s="38" t="s">
        <v>3792</v>
      </c>
      <c r="AS541" s="38"/>
      <c r="AT541" s="38"/>
      <c r="AU541" s="38"/>
      <c r="AV541" s="38"/>
      <c r="AW541" s="38"/>
      <c r="AX541" s="38"/>
      <c r="AY541" s="38"/>
      <c r="AZ541" s="38"/>
      <c r="BA541" s="38"/>
      <c r="BB541" s="38"/>
    </row>
    <row r="542" spans="1:54">
      <c r="A542" s="38" t="s">
        <v>3952</v>
      </c>
      <c r="B542" s="38" t="s">
        <v>3652</v>
      </c>
      <c r="C542" s="38" t="s">
        <v>4117</v>
      </c>
      <c r="D542" s="38" t="s">
        <v>3351</v>
      </c>
      <c r="E542" s="38" t="s">
        <v>3799</v>
      </c>
      <c r="F542" s="38" t="s">
        <v>4141</v>
      </c>
      <c r="G542" s="38" t="s">
        <v>3756</v>
      </c>
      <c r="H542" s="38" t="s">
        <v>3400</v>
      </c>
      <c r="I542" s="38" t="s">
        <v>4142</v>
      </c>
      <c r="J542" s="38"/>
      <c r="K542" s="38">
        <v>650</v>
      </c>
      <c r="L542" s="38"/>
      <c r="M542" s="38"/>
      <c r="N542" s="38">
        <v>62.89</v>
      </c>
      <c r="O542" s="38">
        <v>0.93</v>
      </c>
      <c r="P542" s="38">
        <v>2.41</v>
      </c>
      <c r="Q542" s="38"/>
      <c r="R542" s="38">
        <v>8</v>
      </c>
      <c r="S542" s="38"/>
      <c r="T542" s="38"/>
      <c r="U542" s="38"/>
      <c r="V542" s="38"/>
      <c r="W542" s="38"/>
      <c r="X542" s="38"/>
      <c r="Y542" s="38"/>
      <c r="Z542" s="38">
        <v>0.1</v>
      </c>
      <c r="AA542" s="38">
        <v>1.3</v>
      </c>
      <c r="AB542" s="38"/>
      <c r="AC542" s="38">
        <v>3.81</v>
      </c>
      <c r="AD542" s="38">
        <v>23.7</v>
      </c>
      <c r="AE542" s="38"/>
      <c r="AF542" s="38"/>
      <c r="AG542" s="38"/>
      <c r="AH542" s="38"/>
      <c r="AI542" s="38">
        <v>30.2</v>
      </c>
      <c r="AJ542" s="38"/>
      <c r="AK542" s="38"/>
      <c r="AL542" s="38"/>
      <c r="AM542" s="38"/>
      <c r="AN542" s="38">
        <v>148</v>
      </c>
      <c r="AO542" s="38"/>
      <c r="AP542" s="38"/>
      <c r="AQ542" s="38">
        <v>3.1</v>
      </c>
      <c r="AR542" s="38" t="s">
        <v>3792</v>
      </c>
      <c r="AS542" s="38"/>
      <c r="AT542" s="38"/>
      <c r="AU542" s="38"/>
      <c r="AV542" s="38"/>
      <c r="AW542" s="38"/>
      <c r="AX542" s="38"/>
      <c r="AY542" s="38"/>
      <c r="AZ542" s="38"/>
      <c r="BA542" s="38"/>
      <c r="BB542" s="38"/>
    </row>
    <row r="543" spans="1:54">
      <c r="A543" s="38" t="s">
        <v>4143</v>
      </c>
      <c r="B543" s="38" t="s">
        <v>3409</v>
      </c>
      <c r="C543" s="38"/>
      <c r="D543" s="38" t="s">
        <v>3351</v>
      </c>
      <c r="E543" s="38" t="s">
        <v>3799</v>
      </c>
      <c r="F543" s="38" t="s">
        <v>4144</v>
      </c>
      <c r="G543" s="38" t="s">
        <v>3756</v>
      </c>
      <c r="H543" s="38" t="s">
        <v>3400</v>
      </c>
      <c r="I543" s="38" t="s">
        <v>4142</v>
      </c>
      <c r="J543" s="38"/>
      <c r="K543" s="38">
        <v>650</v>
      </c>
      <c r="L543" s="38"/>
      <c r="M543" s="38"/>
      <c r="N543" s="38">
        <v>69.5</v>
      </c>
      <c r="O543" s="38">
        <v>0.62</v>
      </c>
      <c r="P543" s="38">
        <v>3.11</v>
      </c>
      <c r="Q543" s="38"/>
      <c r="R543" s="38">
        <v>6.8</v>
      </c>
      <c r="S543" s="38"/>
      <c r="T543" s="38"/>
      <c r="U543" s="38"/>
      <c r="V543" s="38"/>
      <c r="W543" s="38"/>
      <c r="X543" s="38"/>
      <c r="Y543" s="38"/>
      <c r="Z543" s="38">
        <v>0.87</v>
      </c>
      <c r="AA543" s="38">
        <v>18</v>
      </c>
      <c r="AB543" s="38"/>
      <c r="AC543" s="38">
        <v>2.2200000000000002</v>
      </c>
      <c r="AD543" s="38">
        <v>22.3</v>
      </c>
      <c r="AE543" s="38"/>
      <c r="AF543" s="38"/>
      <c r="AG543" s="38">
        <v>9.9499999999999993</v>
      </c>
      <c r="AH543" s="38"/>
      <c r="AI543" s="38">
        <v>102</v>
      </c>
      <c r="AJ543" s="38"/>
      <c r="AK543" s="38"/>
      <c r="AL543" s="38"/>
      <c r="AM543" s="38"/>
      <c r="AN543" s="38">
        <v>144</v>
      </c>
      <c r="AO543" s="38"/>
      <c r="AP543" s="38"/>
      <c r="AQ543" s="38">
        <v>0.76</v>
      </c>
      <c r="AR543" s="38" t="s">
        <v>4145</v>
      </c>
      <c r="AS543" s="38"/>
      <c r="AT543" s="38"/>
      <c r="AU543" s="38"/>
      <c r="AV543" s="38"/>
      <c r="AW543" s="38"/>
      <c r="AX543" s="38"/>
      <c r="AY543" s="38"/>
      <c r="AZ543" s="38"/>
      <c r="BA543" s="38"/>
      <c r="BB543" s="38"/>
    </row>
    <row r="544" spans="1:54">
      <c r="A544" s="38" t="s">
        <v>4146</v>
      </c>
      <c r="B544" s="38" t="s">
        <v>3409</v>
      </c>
      <c r="C544" s="38"/>
      <c r="D544" s="38" t="s">
        <v>3399</v>
      </c>
      <c r="E544" s="38"/>
      <c r="F544" s="38"/>
      <c r="G544" s="38" t="s">
        <v>4147</v>
      </c>
      <c r="H544" s="38" t="s">
        <v>3400</v>
      </c>
      <c r="I544" s="38" t="s">
        <v>4148</v>
      </c>
      <c r="J544" s="38"/>
      <c r="K544" s="38">
        <v>700</v>
      </c>
      <c r="L544" s="38"/>
      <c r="M544" s="38"/>
      <c r="N544" s="38">
        <v>81.94</v>
      </c>
      <c r="O544" s="38">
        <v>0.34</v>
      </c>
      <c r="P544" s="38"/>
      <c r="Q544" s="38"/>
      <c r="R544" s="38">
        <v>9.6999999999999993</v>
      </c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>
        <v>340</v>
      </c>
      <c r="AM544" s="38"/>
      <c r="AN544" s="38"/>
      <c r="AO544" s="38"/>
      <c r="AP544" s="38"/>
      <c r="AQ544" s="38"/>
      <c r="AR544" s="38"/>
      <c r="AS544" s="38">
        <v>270</v>
      </c>
      <c r="AT544" s="38">
        <v>820</v>
      </c>
      <c r="AU544" s="38"/>
      <c r="AV544" s="38">
        <v>1520</v>
      </c>
      <c r="AW544" s="38">
        <v>18330</v>
      </c>
      <c r="AX544" s="38"/>
      <c r="AY544" s="38"/>
      <c r="AZ544" s="38"/>
      <c r="BA544" s="38"/>
      <c r="BB544" s="38"/>
    </row>
    <row r="545" spans="1:54">
      <c r="A545" s="38" t="s">
        <v>3900</v>
      </c>
      <c r="B545" s="38" t="s">
        <v>3471</v>
      </c>
      <c r="C545" s="38" t="s">
        <v>4149</v>
      </c>
      <c r="D545" s="38" t="s">
        <v>3399</v>
      </c>
      <c r="E545" s="38"/>
      <c r="F545" s="38"/>
      <c r="G545" s="38" t="s">
        <v>4150</v>
      </c>
      <c r="H545" s="38" t="s">
        <v>3400</v>
      </c>
      <c r="I545" s="38" t="s">
        <v>4148</v>
      </c>
      <c r="J545" s="38"/>
      <c r="K545" s="38">
        <v>450</v>
      </c>
      <c r="L545" s="38"/>
      <c r="M545" s="38"/>
      <c r="N545" s="38">
        <v>82.86</v>
      </c>
      <c r="O545" s="38">
        <v>0.91</v>
      </c>
      <c r="P545" s="38"/>
      <c r="Q545" s="38"/>
      <c r="R545" s="38">
        <v>9.42</v>
      </c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>
        <v>160</v>
      </c>
      <c r="AM545" s="38"/>
      <c r="AN545" s="38"/>
      <c r="AO545" s="38"/>
      <c r="AP545" s="38"/>
      <c r="AQ545" s="38"/>
      <c r="AR545" s="38"/>
      <c r="AS545" s="38">
        <v>40</v>
      </c>
      <c r="AT545" s="38">
        <v>1560</v>
      </c>
      <c r="AU545" s="38"/>
      <c r="AV545" s="38">
        <v>1830</v>
      </c>
      <c r="AW545" s="38">
        <v>5180</v>
      </c>
      <c r="AX545" s="38"/>
      <c r="AY545" s="38"/>
      <c r="AZ545" s="38"/>
      <c r="BA545" s="38"/>
      <c r="BB545" s="38"/>
    </row>
    <row r="546" spans="1:54">
      <c r="A546" s="38" t="s">
        <v>4151</v>
      </c>
      <c r="B546" s="38" t="s">
        <v>3471</v>
      </c>
      <c r="C546" s="38" t="s">
        <v>4152</v>
      </c>
      <c r="D546" s="38" t="s">
        <v>3399</v>
      </c>
      <c r="E546" s="38"/>
      <c r="F546" s="38"/>
      <c r="G546" s="38" t="s">
        <v>3756</v>
      </c>
      <c r="H546" s="38" t="s">
        <v>3400</v>
      </c>
      <c r="I546" s="38" t="s">
        <v>4153</v>
      </c>
      <c r="J546" s="38"/>
      <c r="K546" s="38">
        <v>550</v>
      </c>
      <c r="L546" s="38"/>
      <c r="M546" s="38"/>
      <c r="N546" s="38">
        <v>77</v>
      </c>
      <c r="O546" s="38">
        <v>0.3</v>
      </c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38"/>
      <c r="AP546" s="38"/>
      <c r="AQ546" s="38"/>
      <c r="AR546" s="38"/>
      <c r="AS546" s="38"/>
      <c r="AT546" s="38">
        <v>5</v>
      </c>
      <c r="AU546" s="38">
        <v>600</v>
      </c>
      <c r="AV546" s="38">
        <v>300</v>
      </c>
      <c r="AW546" s="38">
        <v>60</v>
      </c>
      <c r="AX546" s="38"/>
      <c r="AY546" s="38"/>
      <c r="AZ546" s="38"/>
      <c r="BA546" s="38"/>
      <c r="BB546" s="38"/>
    </row>
    <row r="547" spans="1:54">
      <c r="A547" s="38" t="s">
        <v>4154</v>
      </c>
      <c r="B547" s="38" t="s">
        <v>3431</v>
      </c>
      <c r="C547" s="38" t="s">
        <v>4155</v>
      </c>
      <c r="D547" s="38" t="s">
        <v>3351</v>
      </c>
      <c r="E547" s="38"/>
      <c r="F547" s="38" t="s">
        <v>3974</v>
      </c>
      <c r="G547" s="38" t="s">
        <v>3756</v>
      </c>
      <c r="H547" s="38" t="s">
        <v>3400</v>
      </c>
      <c r="I547" s="38" t="s">
        <v>4156</v>
      </c>
      <c r="J547" s="38"/>
      <c r="K547" s="38">
        <v>600</v>
      </c>
      <c r="L547" s="38"/>
      <c r="M547" s="38"/>
      <c r="N547" s="38">
        <v>76.599999999999994</v>
      </c>
      <c r="O547" s="38">
        <v>0.7</v>
      </c>
      <c r="P547" s="38"/>
      <c r="Q547" s="38"/>
      <c r="R547" s="38">
        <v>10.1</v>
      </c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>
        <v>1600</v>
      </c>
      <c r="AM547" s="38"/>
      <c r="AN547" s="38"/>
      <c r="AO547" s="38"/>
      <c r="AP547" s="38"/>
      <c r="AQ547" s="38"/>
      <c r="AR547" s="38"/>
      <c r="AS547" s="38"/>
      <c r="AT547" s="38">
        <v>3900</v>
      </c>
      <c r="AU547" s="38">
        <v>18300</v>
      </c>
      <c r="AV547" s="38">
        <v>6200</v>
      </c>
      <c r="AW547" s="38">
        <v>6200</v>
      </c>
      <c r="AX547" s="38">
        <v>7000</v>
      </c>
      <c r="AY547" s="38">
        <v>5300</v>
      </c>
      <c r="AZ547" s="38"/>
      <c r="BA547" s="38"/>
      <c r="BB547" s="38"/>
    </row>
    <row r="548" spans="1:54">
      <c r="A548" s="38" t="s">
        <v>3971</v>
      </c>
      <c r="B548" s="38" t="s">
        <v>3409</v>
      </c>
      <c r="C548" s="38" t="s">
        <v>3972</v>
      </c>
      <c r="D548" s="38" t="s">
        <v>3351</v>
      </c>
      <c r="E548" s="38"/>
      <c r="F548" s="38" t="s">
        <v>3974</v>
      </c>
      <c r="G548" s="38" t="s">
        <v>3756</v>
      </c>
      <c r="H548" s="38" t="s">
        <v>3400</v>
      </c>
      <c r="I548" s="38" t="s">
        <v>4156</v>
      </c>
      <c r="J548" s="38"/>
      <c r="K548" s="38">
        <v>600</v>
      </c>
      <c r="L548" s="38"/>
      <c r="M548" s="38"/>
      <c r="N548" s="38">
        <v>52.8</v>
      </c>
      <c r="O548" s="38">
        <v>0.3</v>
      </c>
      <c r="P548" s="38"/>
      <c r="Q548" s="38"/>
      <c r="R548" s="38">
        <v>10.1</v>
      </c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>
        <v>1900</v>
      </c>
      <c r="AM548" s="38"/>
      <c r="AN548" s="38"/>
      <c r="AO548" s="38"/>
      <c r="AP548" s="38"/>
      <c r="AQ548" s="38"/>
      <c r="AR548" s="38"/>
      <c r="AS548" s="38"/>
      <c r="AT548" s="38">
        <v>2500</v>
      </c>
      <c r="AU548" s="38">
        <v>8300</v>
      </c>
      <c r="AV548" s="38">
        <v>3500</v>
      </c>
      <c r="AW548" s="38">
        <v>10600</v>
      </c>
      <c r="AX548" s="38">
        <v>7100</v>
      </c>
      <c r="AY548" s="38">
        <v>2100</v>
      </c>
      <c r="AZ548" s="38"/>
      <c r="BA548" s="38"/>
      <c r="BB548" s="38"/>
    </row>
    <row r="549" spans="1:54">
      <c r="A549" s="38" t="s">
        <v>4157</v>
      </c>
      <c r="B549" s="38" t="s">
        <v>3463</v>
      </c>
      <c r="C549" s="38" t="s">
        <v>4158</v>
      </c>
      <c r="D549" s="38" t="s">
        <v>3351</v>
      </c>
      <c r="E549" s="38"/>
      <c r="F549" s="38" t="s">
        <v>3974</v>
      </c>
      <c r="G549" s="38" t="s">
        <v>3756</v>
      </c>
      <c r="H549" s="38" t="s">
        <v>3400</v>
      </c>
      <c r="I549" s="38" t="s">
        <v>4156</v>
      </c>
      <c r="J549" s="38"/>
      <c r="K549" s="38">
        <v>600</v>
      </c>
      <c r="L549" s="38"/>
      <c r="M549" s="38"/>
      <c r="N549" s="38">
        <v>66.400000000000006</v>
      </c>
      <c r="O549" s="38">
        <v>2.5</v>
      </c>
      <c r="P549" s="38"/>
      <c r="Q549" s="38"/>
      <c r="R549" s="38">
        <v>10.7</v>
      </c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>
        <v>2800</v>
      </c>
      <c r="AM549" s="38"/>
      <c r="AN549" s="38"/>
      <c r="AO549" s="38"/>
      <c r="AP549" s="38"/>
      <c r="AQ549" s="38"/>
      <c r="AR549" s="38"/>
      <c r="AS549" s="38"/>
      <c r="AT549" s="38">
        <v>4000</v>
      </c>
      <c r="AU549" s="38">
        <v>59000</v>
      </c>
      <c r="AV549" s="38">
        <v>5100</v>
      </c>
      <c r="AW549" s="38">
        <v>18000</v>
      </c>
      <c r="AX549" s="38">
        <v>11000</v>
      </c>
      <c r="AY549" s="38">
        <v>14600</v>
      </c>
      <c r="AZ549" s="38"/>
      <c r="BA549" s="38"/>
      <c r="BB549" s="38"/>
    </row>
    <row r="550" spans="1:54">
      <c r="A550" s="38" t="s">
        <v>4159</v>
      </c>
      <c r="B550" s="38" t="s">
        <v>1948</v>
      </c>
      <c r="C550" s="38" t="s">
        <v>4160</v>
      </c>
      <c r="D550" s="38" t="s">
        <v>3399</v>
      </c>
      <c r="E550" s="38"/>
      <c r="F550" s="38"/>
      <c r="G550" s="38" t="s">
        <v>3756</v>
      </c>
      <c r="H550" s="38" t="s">
        <v>3400</v>
      </c>
      <c r="I550" s="38" t="s">
        <v>4161</v>
      </c>
      <c r="J550" s="38"/>
      <c r="K550" s="38">
        <v>300</v>
      </c>
      <c r="L550" s="38"/>
      <c r="M550" s="38"/>
      <c r="N550" s="38">
        <v>39.700000000000003</v>
      </c>
      <c r="O550" s="38">
        <v>7.1</v>
      </c>
      <c r="P550" s="38">
        <v>4.0999999999999996</v>
      </c>
      <c r="Q550" s="38"/>
      <c r="R550" s="38">
        <v>6</v>
      </c>
      <c r="S550" s="38"/>
      <c r="T550" s="38"/>
      <c r="U550" s="38"/>
      <c r="V550" s="38"/>
      <c r="W550" s="38"/>
      <c r="X550" s="38"/>
      <c r="Y550" s="38"/>
      <c r="Z550" s="38"/>
      <c r="AA550" s="38">
        <v>0.11</v>
      </c>
      <c r="AB550" s="38"/>
      <c r="AC550" s="38">
        <v>0.17</v>
      </c>
      <c r="AD550" s="38">
        <v>0.74</v>
      </c>
      <c r="AE550" s="38"/>
      <c r="AF550" s="38"/>
      <c r="AG550" s="38">
        <v>0.14000000000000001</v>
      </c>
      <c r="AH550" s="38"/>
      <c r="AI550" s="38"/>
      <c r="AJ550" s="38"/>
      <c r="AK550" s="38"/>
      <c r="AL550" s="38"/>
      <c r="AM550" s="38"/>
      <c r="AN550" s="38"/>
      <c r="AO550" s="38"/>
      <c r="AP550" s="38"/>
      <c r="AQ550" s="38">
        <v>4</v>
      </c>
      <c r="AR550" s="38" t="s">
        <v>3792</v>
      </c>
      <c r="AS550" s="38"/>
      <c r="AT550" s="38"/>
      <c r="AU550" s="38"/>
      <c r="AV550" s="38"/>
      <c r="AW550" s="38"/>
      <c r="AX550" s="38"/>
      <c r="AY550" s="38"/>
      <c r="AZ550" s="38"/>
      <c r="BA550" s="38"/>
      <c r="BB550" s="38"/>
    </row>
    <row r="551" spans="1:54">
      <c r="A551" s="38" t="s">
        <v>4162</v>
      </c>
      <c r="B551" s="38" t="s">
        <v>1948</v>
      </c>
      <c r="C551" s="38" t="s">
        <v>4160</v>
      </c>
      <c r="D551" s="38" t="s">
        <v>3399</v>
      </c>
      <c r="E551" s="38"/>
      <c r="F551" s="38"/>
      <c r="G551" s="38" t="s">
        <v>3756</v>
      </c>
      <c r="H551" s="38" t="s">
        <v>3400</v>
      </c>
      <c r="I551" s="38" t="s">
        <v>4161</v>
      </c>
      <c r="J551" s="38"/>
      <c r="K551" s="38">
        <v>500</v>
      </c>
      <c r="L551" s="38"/>
      <c r="M551" s="38"/>
      <c r="N551" s="38">
        <v>9.8000000000000007</v>
      </c>
      <c r="O551" s="38">
        <v>2.1</v>
      </c>
      <c r="P551" s="38">
        <v>0.4</v>
      </c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38"/>
      <c r="AP551" s="38"/>
      <c r="AQ551" s="38">
        <v>18</v>
      </c>
      <c r="AR551" s="38" t="s">
        <v>3792</v>
      </c>
      <c r="AS551" s="38"/>
      <c r="AT551" s="38"/>
      <c r="AU551" s="38"/>
      <c r="AV551" s="38"/>
      <c r="AW551" s="38"/>
      <c r="AX551" s="38"/>
      <c r="AY551" s="38"/>
      <c r="AZ551" s="38"/>
      <c r="BA551" s="38"/>
      <c r="BB551" s="38"/>
    </row>
    <row r="552" spans="1:54">
      <c r="A552" s="38" t="s">
        <v>4163</v>
      </c>
      <c r="B552" s="38" t="s">
        <v>3471</v>
      </c>
      <c r="C552" s="38" t="s">
        <v>4164</v>
      </c>
      <c r="D552" s="38" t="s">
        <v>3399</v>
      </c>
      <c r="E552" s="38"/>
      <c r="F552" s="38"/>
      <c r="G552" s="38" t="s">
        <v>3756</v>
      </c>
      <c r="H552" s="38" t="s">
        <v>3400</v>
      </c>
      <c r="I552" s="38" t="s">
        <v>4165</v>
      </c>
      <c r="J552" s="38"/>
      <c r="K552" s="38">
        <v>450</v>
      </c>
      <c r="L552" s="38">
        <v>14.5</v>
      </c>
      <c r="M552" s="38"/>
      <c r="N552" s="38">
        <v>82.3</v>
      </c>
      <c r="O552" s="38">
        <v>0.4</v>
      </c>
      <c r="P552" s="38">
        <v>3.2</v>
      </c>
      <c r="Q552" s="38">
        <v>14</v>
      </c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38"/>
      <c r="AP552" s="38"/>
      <c r="AQ552" s="38"/>
      <c r="AR552" s="38"/>
      <c r="AS552" s="38"/>
      <c r="AT552" s="38"/>
      <c r="AU552" s="38"/>
      <c r="AV552" s="38"/>
      <c r="AW552" s="38"/>
      <c r="AX552" s="38"/>
      <c r="AY552" s="38"/>
      <c r="AZ552" s="38"/>
      <c r="BA552" s="38"/>
      <c r="BB552" s="38"/>
    </row>
    <row r="553" spans="1:54">
      <c r="A553" s="38" t="s">
        <v>4166</v>
      </c>
      <c r="B553" s="38" t="s">
        <v>3471</v>
      </c>
      <c r="C553" s="38" t="s">
        <v>4167</v>
      </c>
      <c r="D553" s="38" t="s">
        <v>3399</v>
      </c>
      <c r="E553" s="38"/>
      <c r="F553" s="38"/>
      <c r="G553" s="38" t="s">
        <v>3756</v>
      </c>
      <c r="H553" s="38" t="s">
        <v>3400</v>
      </c>
      <c r="I553" s="38" t="s">
        <v>4165</v>
      </c>
      <c r="J553" s="38"/>
      <c r="K553" s="38">
        <v>550</v>
      </c>
      <c r="L553" s="38">
        <v>16.3</v>
      </c>
      <c r="M553" s="38"/>
      <c r="N553" s="38">
        <v>90.6</v>
      </c>
      <c r="O553" s="38">
        <v>0.3</v>
      </c>
      <c r="P553" s="38">
        <v>2.5</v>
      </c>
      <c r="Q553" s="38">
        <v>6.6</v>
      </c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38"/>
      <c r="AP553" s="38"/>
      <c r="AQ553" s="38"/>
      <c r="AR553" s="38"/>
      <c r="AS553" s="38"/>
      <c r="AT553" s="38"/>
      <c r="AU553" s="38"/>
      <c r="AV553" s="38"/>
      <c r="AW553" s="38"/>
      <c r="AX553" s="38"/>
      <c r="AY553" s="38"/>
      <c r="AZ553" s="38"/>
      <c r="BA553" s="38"/>
      <c r="BB553" s="38"/>
    </row>
    <row r="554" spans="1:54">
      <c r="A554" s="38" t="s">
        <v>4168</v>
      </c>
      <c r="B554" s="38" t="s">
        <v>3471</v>
      </c>
      <c r="C554" s="38" t="s">
        <v>4167</v>
      </c>
      <c r="D554" s="38" t="s">
        <v>3399</v>
      </c>
      <c r="E554" s="38"/>
      <c r="F554" s="38"/>
      <c r="G554" s="38" t="s">
        <v>3756</v>
      </c>
      <c r="H554" s="38" t="s">
        <v>3400</v>
      </c>
      <c r="I554" s="38" t="s">
        <v>4165</v>
      </c>
      <c r="J554" s="38"/>
      <c r="K554" s="38">
        <v>650</v>
      </c>
      <c r="L554" s="38">
        <v>17.8</v>
      </c>
      <c r="M554" s="38"/>
      <c r="N554" s="38">
        <v>92</v>
      </c>
      <c r="O554" s="38">
        <v>0.2</v>
      </c>
      <c r="P554" s="38">
        <v>1.7</v>
      </c>
      <c r="Q554" s="38">
        <v>6.2</v>
      </c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38"/>
      <c r="AP554" s="38"/>
      <c r="AQ554" s="38"/>
      <c r="AR554" s="38"/>
      <c r="AS554" s="38"/>
      <c r="AT554" s="38"/>
      <c r="AU554" s="38"/>
      <c r="AV554" s="38"/>
      <c r="AW554" s="38"/>
      <c r="AX554" s="38"/>
      <c r="AY554" s="38"/>
      <c r="AZ554" s="38"/>
      <c r="BA554" s="38"/>
      <c r="BB554" s="38"/>
    </row>
    <row r="555" spans="1:54">
      <c r="A555" s="38" t="s">
        <v>4169</v>
      </c>
      <c r="B555" s="38" t="s">
        <v>3471</v>
      </c>
      <c r="C555" s="38" t="s">
        <v>4167</v>
      </c>
      <c r="D555" s="38" t="s">
        <v>3399</v>
      </c>
      <c r="E555" s="38"/>
      <c r="F555" s="38"/>
      <c r="G555" s="38" t="s">
        <v>3756</v>
      </c>
      <c r="H555" s="38" t="s">
        <v>3400</v>
      </c>
      <c r="I555" s="38" t="s">
        <v>4165</v>
      </c>
      <c r="J555" s="38"/>
      <c r="K555" s="38">
        <v>750</v>
      </c>
      <c r="L555" s="38">
        <v>19.5</v>
      </c>
      <c r="M555" s="38"/>
      <c r="N555" s="38">
        <v>97.3</v>
      </c>
      <c r="O555" s="38">
        <v>0</v>
      </c>
      <c r="P555" s="38">
        <v>1.1000000000000001</v>
      </c>
      <c r="Q555" s="38">
        <v>1.2</v>
      </c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38"/>
      <c r="AP555" s="38"/>
      <c r="AQ555" s="38"/>
      <c r="AR555" s="38"/>
      <c r="AS555" s="38"/>
      <c r="AT555" s="38"/>
      <c r="AU555" s="38"/>
      <c r="AV555" s="38"/>
      <c r="AW555" s="38"/>
      <c r="AX555" s="38"/>
      <c r="AY555" s="38"/>
      <c r="AZ555" s="38"/>
      <c r="BA555" s="38"/>
      <c r="BB555" s="38"/>
    </row>
    <row r="556" spans="1:54">
      <c r="A556" s="38" t="s">
        <v>4170</v>
      </c>
      <c r="B556" s="38" t="s">
        <v>3471</v>
      </c>
      <c r="C556" s="38" t="s">
        <v>4164</v>
      </c>
      <c r="D556" s="38" t="s">
        <v>3399</v>
      </c>
      <c r="E556" s="38"/>
      <c r="F556" s="38"/>
      <c r="G556" s="38" t="s">
        <v>3756</v>
      </c>
      <c r="H556" s="38" t="s">
        <v>3400</v>
      </c>
      <c r="I556" s="38" t="s">
        <v>4165</v>
      </c>
      <c r="J556" s="38"/>
      <c r="K556" s="38">
        <v>850</v>
      </c>
      <c r="L556" s="38">
        <v>20</v>
      </c>
      <c r="M556" s="38"/>
      <c r="N556" s="38">
        <v>93.4</v>
      </c>
      <c r="O556" s="38">
        <v>0.1</v>
      </c>
      <c r="P556" s="38">
        <v>1.3</v>
      </c>
      <c r="Q556" s="38">
        <v>0.5</v>
      </c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38"/>
      <c r="AP556" s="38"/>
      <c r="AQ556" s="38"/>
      <c r="AR556" s="38"/>
      <c r="AS556" s="38"/>
      <c r="AT556" s="38"/>
      <c r="AU556" s="38"/>
      <c r="AV556" s="38"/>
      <c r="AW556" s="38"/>
      <c r="AX556" s="38"/>
      <c r="AY556" s="38"/>
      <c r="AZ556" s="38"/>
      <c r="BA556" s="38"/>
      <c r="BB556" s="38"/>
    </row>
    <row r="557" spans="1:54">
      <c r="A557" s="38" t="s">
        <v>4171</v>
      </c>
      <c r="B557" s="38" t="s">
        <v>3455</v>
      </c>
      <c r="C557" s="38" t="s">
        <v>4172</v>
      </c>
      <c r="D557" s="38" t="s">
        <v>3399</v>
      </c>
      <c r="E557" s="38"/>
      <c r="F557" s="38"/>
      <c r="G557" s="38" t="s">
        <v>3756</v>
      </c>
      <c r="H557" s="38" t="s">
        <v>3400</v>
      </c>
      <c r="I557" s="38" t="s">
        <v>4173</v>
      </c>
      <c r="J557" s="38"/>
      <c r="K557" s="38">
        <v>400</v>
      </c>
      <c r="L557" s="38">
        <v>1.05</v>
      </c>
      <c r="M557" s="38"/>
      <c r="N557" s="38">
        <v>74.38</v>
      </c>
      <c r="O557" s="38">
        <v>0.25</v>
      </c>
      <c r="P557" s="38">
        <v>4.0599999999999996</v>
      </c>
      <c r="Q557" s="38">
        <v>14.59</v>
      </c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38"/>
      <c r="AP557" s="38">
        <v>30.23</v>
      </c>
      <c r="AQ557" s="38">
        <v>0.22</v>
      </c>
      <c r="AR557" s="38" t="s">
        <v>3792</v>
      </c>
      <c r="AS557" s="38"/>
      <c r="AT557" s="38">
        <v>29</v>
      </c>
      <c r="AU557" s="38"/>
      <c r="AV557" s="38"/>
      <c r="AW557" s="38"/>
      <c r="AX557" s="38"/>
      <c r="AY557" s="38"/>
      <c r="AZ557" s="38"/>
      <c r="BA557" s="38"/>
      <c r="BB557" s="38"/>
    </row>
    <row r="558" spans="1:54">
      <c r="A558" s="38" t="s">
        <v>4174</v>
      </c>
      <c r="B558" s="38" t="s">
        <v>3455</v>
      </c>
      <c r="C558" s="38" t="s">
        <v>4175</v>
      </c>
      <c r="D558" s="38" t="s">
        <v>3399</v>
      </c>
      <c r="E558" s="38"/>
      <c r="F558" s="38"/>
      <c r="G558" s="38" t="s">
        <v>3756</v>
      </c>
      <c r="H558" s="38" t="s">
        <v>3400</v>
      </c>
      <c r="I558" s="38" t="s">
        <v>4173</v>
      </c>
      <c r="J558" s="38"/>
      <c r="K558" s="38">
        <v>500</v>
      </c>
      <c r="L558" s="38">
        <v>1.1100000000000001</v>
      </c>
      <c r="M558" s="38"/>
      <c r="N558" s="38">
        <v>81.709999999999994</v>
      </c>
      <c r="O558" s="38">
        <v>0.22</v>
      </c>
      <c r="P558" s="38">
        <v>3.1</v>
      </c>
      <c r="Q558" s="38">
        <v>8.76</v>
      </c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38"/>
      <c r="AP558" s="38">
        <v>19</v>
      </c>
      <c r="AQ558" s="38">
        <v>22.77</v>
      </c>
      <c r="AR558" s="38" t="s">
        <v>3792</v>
      </c>
      <c r="AS558" s="38"/>
      <c r="AT558" s="38">
        <v>36</v>
      </c>
      <c r="AU558" s="38"/>
      <c r="AV558" s="38"/>
      <c r="AW558" s="38"/>
      <c r="AX558" s="38"/>
      <c r="AY558" s="38"/>
      <c r="AZ558" s="38"/>
      <c r="BA558" s="38"/>
      <c r="BB558" s="38"/>
    </row>
    <row r="559" spans="1:54">
      <c r="A559" s="38" t="s">
        <v>4176</v>
      </c>
      <c r="B559" s="38" t="s">
        <v>3652</v>
      </c>
      <c r="C559" s="38" t="s">
        <v>4177</v>
      </c>
      <c r="D559" s="38" t="s">
        <v>3399</v>
      </c>
      <c r="E559" s="38"/>
      <c r="F559" s="38"/>
      <c r="G559" s="38" t="s">
        <v>3756</v>
      </c>
      <c r="H559" s="38" t="s">
        <v>3400</v>
      </c>
      <c r="I559" s="38" t="s">
        <v>4173</v>
      </c>
      <c r="J559" s="38"/>
      <c r="K559" s="38">
        <v>400</v>
      </c>
      <c r="L559" s="38">
        <v>43.07</v>
      </c>
      <c r="M559" s="38"/>
      <c r="N559" s="38">
        <v>41.87</v>
      </c>
      <c r="O559" s="38">
        <v>4.29</v>
      </c>
      <c r="P559" s="38">
        <v>2.4300000000000002</v>
      </c>
      <c r="Q559" s="38">
        <v>16.170000000000002</v>
      </c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38"/>
      <c r="AP559" s="38">
        <v>24.4</v>
      </c>
      <c r="AQ559" s="38">
        <v>4.8499999999999996</v>
      </c>
      <c r="AR559" s="38" t="s">
        <v>3792</v>
      </c>
      <c r="AS559" s="38"/>
      <c r="AT559" s="38">
        <v>9904</v>
      </c>
      <c r="AU559" s="38"/>
      <c r="AV559" s="38"/>
      <c r="AW559" s="38"/>
      <c r="AX559" s="38"/>
      <c r="AY559" s="38"/>
      <c r="AZ559" s="38"/>
      <c r="BA559" s="38"/>
      <c r="BB559" s="38"/>
    </row>
    <row r="560" spans="1:54">
      <c r="A560" s="38" t="s">
        <v>4178</v>
      </c>
      <c r="B560" s="38" t="s">
        <v>3652</v>
      </c>
      <c r="C560" s="38" t="s">
        <v>4177</v>
      </c>
      <c r="D560" s="38" t="s">
        <v>3399</v>
      </c>
      <c r="E560" s="38"/>
      <c r="F560" s="38"/>
      <c r="G560" s="38" t="s">
        <v>3756</v>
      </c>
      <c r="H560" s="38" t="s">
        <v>3400</v>
      </c>
      <c r="I560" s="38" t="s">
        <v>4173</v>
      </c>
      <c r="J560" s="38"/>
      <c r="K560" s="38">
        <v>500</v>
      </c>
      <c r="L560" s="38">
        <v>42.9</v>
      </c>
      <c r="M560" s="38"/>
      <c r="N560" s="38">
        <v>44.35</v>
      </c>
      <c r="O560" s="38">
        <v>4.0199999999999996</v>
      </c>
      <c r="P560" s="38">
        <v>1.64</v>
      </c>
      <c r="Q560" s="38">
        <v>12.19</v>
      </c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38"/>
      <c r="AP560" s="38">
        <v>18.079999999999998</v>
      </c>
      <c r="AQ560" s="38">
        <v>6.55</v>
      </c>
      <c r="AR560" s="38" t="s">
        <v>3792</v>
      </c>
      <c r="AS560" s="38"/>
      <c r="AT560" s="38">
        <v>9514</v>
      </c>
      <c r="AU560" s="38"/>
      <c r="AV560" s="38"/>
      <c r="AW560" s="38"/>
      <c r="AX560" s="38"/>
      <c r="AY560" s="38"/>
      <c r="AZ560" s="38"/>
      <c r="BA560" s="38"/>
      <c r="BB560" s="38"/>
    </row>
    <row r="561" spans="1:54">
      <c r="A561" s="38" t="s">
        <v>3839</v>
      </c>
      <c r="B561" s="38" t="s">
        <v>3652</v>
      </c>
      <c r="C561" s="38" t="s">
        <v>3822</v>
      </c>
      <c r="D561" s="38" t="s">
        <v>3351</v>
      </c>
      <c r="E561" s="38"/>
      <c r="F561" s="38" t="s">
        <v>4179</v>
      </c>
      <c r="G561" s="38" t="s">
        <v>3756</v>
      </c>
      <c r="H561" s="38" t="s">
        <v>3400</v>
      </c>
      <c r="I561" s="38" t="s">
        <v>4180</v>
      </c>
      <c r="J561" s="38"/>
      <c r="K561" s="38">
        <v>550</v>
      </c>
      <c r="L561" s="38"/>
      <c r="M561" s="38"/>
      <c r="N561" s="38">
        <v>72.2</v>
      </c>
      <c r="O561" s="38">
        <v>0.24</v>
      </c>
      <c r="P561" s="38"/>
      <c r="Q561" s="38"/>
      <c r="R561" s="38">
        <v>7.17</v>
      </c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38"/>
      <c r="AP561" s="38"/>
      <c r="AQ561" s="38"/>
      <c r="AR561" s="38"/>
      <c r="AS561" s="38"/>
      <c r="AT561" s="38">
        <v>310</v>
      </c>
      <c r="AU561" s="38"/>
      <c r="AV561" s="38"/>
      <c r="AW561" s="38"/>
      <c r="AX561" s="38"/>
      <c r="AY561" s="38"/>
      <c r="AZ561" s="38"/>
      <c r="BA561" s="38"/>
      <c r="BB561" s="38"/>
    </row>
    <row r="562" spans="1:54">
      <c r="A562" s="38" t="s">
        <v>4030</v>
      </c>
      <c r="B562" s="38" t="s">
        <v>3455</v>
      </c>
      <c r="C562" s="38" t="s">
        <v>4181</v>
      </c>
      <c r="D562" s="38" t="s">
        <v>3399</v>
      </c>
      <c r="E562" s="38"/>
      <c r="F562" s="38"/>
      <c r="G562" s="38" t="s">
        <v>3756</v>
      </c>
      <c r="H562" s="38" t="s">
        <v>3400</v>
      </c>
      <c r="I562" s="38" t="s">
        <v>4182</v>
      </c>
      <c r="J562" s="38"/>
      <c r="K562" s="38">
        <v>500</v>
      </c>
      <c r="L562" s="38">
        <v>10.41</v>
      </c>
      <c r="M562" s="38"/>
      <c r="N562" s="38">
        <v>87.8</v>
      </c>
      <c r="O562" s="38">
        <v>0.62</v>
      </c>
      <c r="P562" s="38"/>
      <c r="Q562" s="38"/>
      <c r="R562" s="38">
        <v>10.8</v>
      </c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38"/>
      <c r="AP562" s="38">
        <v>26.82</v>
      </c>
      <c r="AQ562" s="38">
        <v>34.1</v>
      </c>
      <c r="AR562" s="38" t="s">
        <v>3792</v>
      </c>
      <c r="AS562" s="38"/>
      <c r="AT562" s="38"/>
      <c r="AU562" s="38">
        <v>44400</v>
      </c>
      <c r="AV562" s="38"/>
      <c r="AW562" s="38">
        <v>32300</v>
      </c>
      <c r="AX562" s="38"/>
      <c r="AY562" s="38"/>
      <c r="AZ562" s="38"/>
      <c r="BA562" s="38"/>
      <c r="BB562" s="38"/>
    </row>
    <row r="563" spans="1:54">
      <c r="A563" s="38" t="s">
        <v>4183</v>
      </c>
      <c r="B563" s="38" t="s">
        <v>3471</v>
      </c>
      <c r="C563" s="38" t="s">
        <v>4184</v>
      </c>
      <c r="D563" s="38" t="s">
        <v>3351</v>
      </c>
      <c r="E563" s="38"/>
      <c r="F563" s="38" t="s">
        <v>4179</v>
      </c>
      <c r="G563" s="38" t="s">
        <v>3756</v>
      </c>
      <c r="H563" s="38" t="s">
        <v>3400</v>
      </c>
      <c r="I563" s="38" t="s">
        <v>4185</v>
      </c>
      <c r="J563" s="38"/>
      <c r="K563" s="38">
        <v>450</v>
      </c>
      <c r="L563" s="38"/>
      <c r="M563" s="38"/>
      <c r="N563" s="38">
        <v>67.400000000000006</v>
      </c>
      <c r="O563" s="38">
        <v>0.52</v>
      </c>
      <c r="P563" s="38"/>
      <c r="Q563" s="38"/>
      <c r="R563" s="38">
        <v>8.64</v>
      </c>
      <c r="S563" s="38">
        <v>8.94</v>
      </c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>
        <v>11.4</v>
      </c>
      <c r="AO563" s="38"/>
      <c r="AP563" s="38"/>
      <c r="AQ563" s="38">
        <v>191</v>
      </c>
      <c r="AR563" s="38" t="s">
        <v>4186</v>
      </c>
      <c r="AS563" s="38"/>
      <c r="AT563" s="38"/>
      <c r="AU563" s="38"/>
      <c r="AV563" s="38"/>
      <c r="AW563" s="38"/>
      <c r="AX563" s="38"/>
      <c r="AY563" s="38"/>
      <c r="AZ563" s="38"/>
      <c r="BA563" s="38"/>
      <c r="BB563" s="38"/>
    </row>
    <row r="564" spans="1:54">
      <c r="A564" s="38" t="s">
        <v>4187</v>
      </c>
      <c r="B564" s="38" t="s">
        <v>3471</v>
      </c>
      <c r="C564" s="38" t="s">
        <v>4188</v>
      </c>
      <c r="D564" s="38" t="s">
        <v>3351</v>
      </c>
      <c r="E564" s="38"/>
      <c r="F564" s="38" t="s">
        <v>4179</v>
      </c>
      <c r="G564" s="38" t="s">
        <v>3756</v>
      </c>
      <c r="H564" s="38" t="s">
        <v>3400</v>
      </c>
      <c r="I564" s="38" t="s">
        <v>4185</v>
      </c>
      <c r="J564" s="38"/>
      <c r="K564" s="38">
        <v>550</v>
      </c>
      <c r="L564" s="38"/>
      <c r="M564" s="38"/>
      <c r="N564" s="38">
        <v>73.19</v>
      </c>
      <c r="O564" s="38">
        <v>0.62</v>
      </c>
      <c r="P564" s="38"/>
      <c r="Q564" s="38"/>
      <c r="R564" s="38">
        <v>9.9600000000000009</v>
      </c>
      <c r="S564" s="38">
        <v>11.27</v>
      </c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>
        <v>54</v>
      </c>
      <c r="AO564" s="38"/>
      <c r="AP564" s="38"/>
      <c r="AQ564" s="38">
        <v>228.3</v>
      </c>
      <c r="AR564" s="38" t="s">
        <v>4186</v>
      </c>
      <c r="AS564" s="38"/>
      <c r="AT564" s="38"/>
      <c r="AU564" s="38"/>
      <c r="AV564" s="38"/>
      <c r="AW564" s="38"/>
      <c r="AX564" s="38"/>
      <c r="AY564" s="38"/>
      <c r="AZ564" s="38"/>
      <c r="BA564" s="38"/>
      <c r="BB564" s="38"/>
    </row>
    <row r="565" spans="1:54">
      <c r="A565" s="38" t="s">
        <v>4189</v>
      </c>
      <c r="B565" s="38" t="s">
        <v>3409</v>
      </c>
      <c r="C565" s="38" t="s">
        <v>4190</v>
      </c>
      <c r="D565" s="38" t="s">
        <v>3399</v>
      </c>
      <c r="E565" s="38"/>
      <c r="F565" s="38"/>
      <c r="G565" s="38" t="s">
        <v>3756</v>
      </c>
      <c r="H565" s="38" t="s">
        <v>3400</v>
      </c>
      <c r="I565" s="38" t="s">
        <v>4191</v>
      </c>
      <c r="J565" s="38"/>
      <c r="K565" s="38">
        <v>350</v>
      </c>
      <c r="L565" s="38">
        <v>5.86</v>
      </c>
      <c r="M565" s="38"/>
      <c r="N565" s="38">
        <v>88</v>
      </c>
      <c r="O565" s="38">
        <v>0.68</v>
      </c>
      <c r="P565" s="38"/>
      <c r="Q565" s="38"/>
      <c r="R565" s="38">
        <v>5.8</v>
      </c>
      <c r="S565" s="38">
        <v>0.7</v>
      </c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38"/>
      <c r="AP565" s="38"/>
      <c r="AQ565" s="38">
        <v>218.7</v>
      </c>
      <c r="AR565" s="38" t="s">
        <v>3792</v>
      </c>
      <c r="AS565" s="38"/>
      <c r="AT565" s="38"/>
      <c r="AU565" s="38"/>
      <c r="AV565" s="38"/>
      <c r="AW565" s="38"/>
      <c r="AX565" s="38"/>
      <c r="AY565" s="38"/>
      <c r="AZ565" s="38"/>
      <c r="BA565" s="38"/>
      <c r="BB565" s="38"/>
    </row>
    <row r="566" spans="1:54">
      <c r="A566" s="38" t="s">
        <v>4192</v>
      </c>
      <c r="B566" s="38" t="s">
        <v>3652</v>
      </c>
      <c r="C566" s="38" t="s">
        <v>4193</v>
      </c>
      <c r="D566" s="38" t="s">
        <v>3399</v>
      </c>
      <c r="E566" s="38" t="s">
        <v>4194</v>
      </c>
      <c r="F566" s="38"/>
      <c r="G566" s="38" t="s">
        <v>3756</v>
      </c>
      <c r="H566" s="38" t="s">
        <v>3400</v>
      </c>
      <c r="I566" s="38" t="s">
        <v>4195</v>
      </c>
      <c r="J566" s="38"/>
      <c r="K566" s="38">
        <v>450</v>
      </c>
      <c r="L566" s="38">
        <v>50.54</v>
      </c>
      <c r="M566" s="38"/>
      <c r="N566" s="38">
        <v>52.11</v>
      </c>
      <c r="O566" s="38">
        <v>2.12</v>
      </c>
      <c r="P566" s="38">
        <v>1.21</v>
      </c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38"/>
      <c r="AP566" s="38"/>
      <c r="AQ566" s="38">
        <v>3.48</v>
      </c>
      <c r="AR566" s="38" t="s">
        <v>3792</v>
      </c>
      <c r="AS566" s="38"/>
      <c r="AT566" s="38"/>
      <c r="AU566" s="38"/>
      <c r="AV566" s="38"/>
      <c r="AW566" s="38"/>
      <c r="AX566" s="38"/>
      <c r="AY566" s="38"/>
      <c r="AZ566" s="38"/>
      <c r="BA566" s="38"/>
      <c r="BB566" s="38"/>
    </row>
    <row r="567" spans="1:54">
      <c r="A567" s="38" t="s">
        <v>4196</v>
      </c>
      <c r="B567" s="38" t="s">
        <v>3455</v>
      </c>
      <c r="C567" s="38" t="s">
        <v>4197</v>
      </c>
      <c r="D567" s="38" t="s">
        <v>3399</v>
      </c>
      <c r="E567" s="38"/>
      <c r="F567" s="38"/>
      <c r="G567" s="38" t="s">
        <v>3756</v>
      </c>
      <c r="H567" s="38" t="s">
        <v>3400</v>
      </c>
      <c r="I567" s="38" t="s">
        <v>4198</v>
      </c>
      <c r="J567" s="38"/>
      <c r="K567" s="38">
        <v>200</v>
      </c>
      <c r="L567" s="38">
        <v>0.61</v>
      </c>
      <c r="M567" s="38"/>
      <c r="N567" s="38">
        <v>50.17</v>
      </c>
      <c r="O567" s="38">
        <v>0.55000000000000004</v>
      </c>
      <c r="P567" s="38">
        <v>6.01</v>
      </c>
      <c r="Q567" s="38">
        <v>43.27</v>
      </c>
      <c r="R567" s="38">
        <v>8</v>
      </c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38"/>
      <c r="AP567" s="38"/>
      <c r="AQ567" s="38">
        <v>15.82</v>
      </c>
      <c r="AR567" s="38" t="s">
        <v>3792</v>
      </c>
      <c r="AS567" s="38"/>
      <c r="AT567" s="38"/>
      <c r="AU567" s="38"/>
      <c r="AV567" s="38"/>
      <c r="AW567" s="38"/>
      <c r="AX567" s="38"/>
      <c r="AY567" s="38"/>
      <c r="AZ567" s="38"/>
      <c r="BA567" s="38"/>
      <c r="BB567" s="38"/>
    </row>
    <row r="568" spans="1:54">
      <c r="A568" s="38" t="s">
        <v>4199</v>
      </c>
      <c r="B568" s="38" t="s">
        <v>3455</v>
      </c>
      <c r="C568" s="38" t="s">
        <v>4200</v>
      </c>
      <c r="D568" s="38" t="s">
        <v>3399</v>
      </c>
      <c r="E568" s="38"/>
      <c r="F568" s="38"/>
      <c r="G568" s="38" t="s">
        <v>3756</v>
      </c>
      <c r="H568" s="38" t="s">
        <v>3400</v>
      </c>
      <c r="I568" s="38" t="s">
        <v>4198</v>
      </c>
      <c r="J568" s="38"/>
      <c r="K568" s="38">
        <v>300</v>
      </c>
      <c r="L568" s="38">
        <v>1.43</v>
      </c>
      <c r="M568" s="38"/>
      <c r="N568" s="38">
        <v>66.67</v>
      </c>
      <c r="O568" s="38">
        <v>0.26</v>
      </c>
      <c r="P568" s="38">
        <v>3.86</v>
      </c>
      <c r="Q568" s="38">
        <v>29.2</v>
      </c>
      <c r="R568" s="38">
        <v>9</v>
      </c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38"/>
      <c r="AP568" s="38"/>
      <c r="AQ568" s="38">
        <v>15.01</v>
      </c>
      <c r="AR568" s="38" t="s">
        <v>3792</v>
      </c>
      <c r="AS568" s="38"/>
      <c r="AT568" s="38"/>
      <c r="AU568" s="38"/>
      <c r="AV568" s="38"/>
      <c r="AW568" s="38"/>
      <c r="AX568" s="38"/>
      <c r="AY568" s="38"/>
      <c r="AZ568" s="38"/>
      <c r="BA568" s="38"/>
      <c r="BB568" s="38"/>
    </row>
    <row r="569" spans="1:54">
      <c r="A569" s="38" t="s">
        <v>4201</v>
      </c>
      <c r="B569" s="38" t="s">
        <v>3455</v>
      </c>
      <c r="C569" s="38" t="s">
        <v>4200</v>
      </c>
      <c r="D569" s="38" t="s">
        <v>3399</v>
      </c>
      <c r="E569" s="38"/>
      <c r="F569" s="38"/>
      <c r="G569" s="38" t="s">
        <v>3756</v>
      </c>
      <c r="H569" s="38" t="s">
        <v>3400</v>
      </c>
      <c r="I569" s="38" t="s">
        <v>4198</v>
      </c>
      <c r="J569" s="38"/>
      <c r="K569" s="38">
        <v>400</v>
      </c>
      <c r="L569" s="38">
        <v>2.54</v>
      </c>
      <c r="M569" s="38"/>
      <c r="N569" s="38">
        <v>75.930000000000007</v>
      </c>
      <c r="O569" s="38">
        <v>0.42</v>
      </c>
      <c r="P569" s="38">
        <v>3.26</v>
      </c>
      <c r="Q569" s="38">
        <v>20.38</v>
      </c>
      <c r="R569" s="38">
        <v>9</v>
      </c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38"/>
      <c r="AP569" s="38"/>
      <c r="AQ569" s="38">
        <v>62.12</v>
      </c>
      <c r="AR569" s="38" t="s">
        <v>3792</v>
      </c>
      <c r="AS569" s="38"/>
      <c r="AT569" s="38"/>
      <c r="AU569" s="38"/>
      <c r="AV569" s="38"/>
      <c r="AW569" s="38"/>
      <c r="AX569" s="38"/>
      <c r="AY569" s="38"/>
      <c r="AZ569" s="38"/>
      <c r="BA569" s="38"/>
      <c r="BB569" s="38"/>
    </row>
    <row r="570" spans="1:54">
      <c r="A570" s="38" t="s">
        <v>4202</v>
      </c>
      <c r="B570" s="38" t="s">
        <v>3455</v>
      </c>
      <c r="C570" s="38" t="s">
        <v>4200</v>
      </c>
      <c r="D570" s="38" t="s">
        <v>3399</v>
      </c>
      <c r="E570" s="38"/>
      <c r="F570" s="38"/>
      <c r="G570" s="38" t="s">
        <v>3756</v>
      </c>
      <c r="H570" s="38" t="s">
        <v>3400</v>
      </c>
      <c r="I570" s="38" t="s">
        <v>4198</v>
      </c>
      <c r="J570" s="38"/>
      <c r="K570" s="38">
        <v>500</v>
      </c>
      <c r="L570" s="38">
        <v>3.33</v>
      </c>
      <c r="M570" s="38"/>
      <c r="N570" s="38">
        <v>83.5</v>
      </c>
      <c r="O570" s="38">
        <v>0.49</v>
      </c>
      <c r="P570" s="38">
        <v>2.58</v>
      </c>
      <c r="Q570" s="38">
        <v>13.41</v>
      </c>
      <c r="R570" s="38">
        <v>10</v>
      </c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38"/>
      <c r="AP570" s="38"/>
      <c r="AQ570" s="38">
        <v>224.4</v>
      </c>
      <c r="AR570" s="38" t="s">
        <v>3792</v>
      </c>
      <c r="AS570" s="38"/>
      <c r="AT570" s="38"/>
      <c r="AU570" s="38"/>
      <c r="AV570" s="38"/>
      <c r="AW570" s="38"/>
      <c r="AX570" s="38"/>
      <c r="AY570" s="38"/>
      <c r="AZ570" s="38"/>
      <c r="BA570" s="38"/>
      <c r="BB570" s="38"/>
    </row>
    <row r="571" spans="1:54">
      <c r="A571" s="38" t="s">
        <v>4203</v>
      </c>
      <c r="B571" s="38" t="s">
        <v>3455</v>
      </c>
      <c r="C571" s="38" t="s">
        <v>4200</v>
      </c>
      <c r="D571" s="38" t="s">
        <v>3399</v>
      </c>
      <c r="E571" s="38"/>
      <c r="F571" s="38"/>
      <c r="G571" s="38" t="s">
        <v>3756</v>
      </c>
      <c r="H571" s="38" t="s">
        <v>3400</v>
      </c>
      <c r="I571" s="38" t="s">
        <v>4198</v>
      </c>
      <c r="J571" s="38"/>
      <c r="K571" s="38">
        <v>600</v>
      </c>
      <c r="L571" s="38">
        <v>3.33</v>
      </c>
      <c r="M571" s="38"/>
      <c r="N571" s="38">
        <v>87.58</v>
      </c>
      <c r="O571" s="38">
        <v>0.42</v>
      </c>
      <c r="P571" s="38">
        <v>1.85</v>
      </c>
      <c r="Q571" s="38">
        <v>10.119999999999999</v>
      </c>
      <c r="R571" s="38">
        <v>10</v>
      </c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38"/>
      <c r="AP571" s="38"/>
      <c r="AQ571" s="38">
        <v>438.6</v>
      </c>
      <c r="AR571" s="38" t="s">
        <v>3792</v>
      </c>
      <c r="AS571" s="38"/>
      <c r="AT571" s="38"/>
      <c r="AU571" s="38"/>
      <c r="AV571" s="38"/>
      <c r="AW571" s="38"/>
      <c r="AX571" s="38"/>
      <c r="AY571" s="38"/>
      <c r="AZ571" s="38"/>
      <c r="BA571" s="38"/>
      <c r="BB571" s="38"/>
    </row>
    <row r="572" spans="1:54">
      <c r="A572" s="38" t="s">
        <v>4204</v>
      </c>
      <c r="B572" s="38" t="s">
        <v>3455</v>
      </c>
      <c r="C572" s="38" t="s">
        <v>4200</v>
      </c>
      <c r="D572" s="38" t="s">
        <v>3399</v>
      </c>
      <c r="E572" s="38"/>
      <c r="F572" s="38"/>
      <c r="G572" s="38" t="s">
        <v>3756</v>
      </c>
      <c r="H572" s="38" t="s">
        <v>3400</v>
      </c>
      <c r="I572" s="38" t="s">
        <v>4198</v>
      </c>
      <c r="J572" s="38"/>
      <c r="K572" s="38">
        <v>700</v>
      </c>
      <c r="L572" s="38">
        <v>4.42</v>
      </c>
      <c r="M572" s="38"/>
      <c r="N572" s="38">
        <v>89.3</v>
      </c>
      <c r="O572" s="38">
        <v>0.3</v>
      </c>
      <c r="P572" s="38">
        <v>1.02</v>
      </c>
      <c r="Q572" s="38">
        <v>9.36</v>
      </c>
      <c r="R572" s="38">
        <v>10</v>
      </c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38"/>
      <c r="AP572" s="38"/>
      <c r="AQ572" s="38">
        <v>485.6</v>
      </c>
      <c r="AR572" s="38" t="s">
        <v>3792</v>
      </c>
      <c r="AS572" s="38"/>
      <c r="AT572" s="38"/>
      <c r="AU572" s="38"/>
      <c r="AV572" s="38"/>
      <c r="AW572" s="38"/>
      <c r="AX572" s="38"/>
      <c r="AY572" s="38"/>
      <c r="AZ572" s="38"/>
      <c r="BA572" s="38"/>
      <c r="BB572" s="38"/>
    </row>
    <row r="573" spans="1:54">
      <c r="A573" s="38" t="s">
        <v>4205</v>
      </c>
      <c r="B573" s="38" t="s">
        <v>3471</v>
      </c>
      <c r="C573" s="38" t="s">
        <v>4206</v>
      </c>
      <c r="D573" s="38" t="s">
        <v>3399</v>
      </c>
      <c r="E573" s="38" t="s">
        <v>3481</v>
      </c>
      <c r="F573" s="38" t="s">
        <v>4207</v>
      </c>
      <c r="G573" s="38" t="s">
        <v>3756</v>
      </c>
      <c r="H573" s="38" t="s">
        <v>3400</v>
      </c>
      <c r="I573" s="38" t="s">
        <v>4208</v>
      </c>
      <c r="J573" s="38"/>
      <c r="K573" s="38">
        <v>450</v>
      </c>
      <c r="L573" s="38">
        <v>3</v>
      </c>
      <c r="M573" s="38">
        <v>67.400000000000006</v>
      </c>
      <c r="N573" s="38"/>
      <c r="O573" s="38"/>
      <c r="P573" s="38"/>
      <c r="Q573" s="38"/>
      <c r="R573" s="38">
        <v>8.64</v>
      </c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38"/>
      <c r="AP573" s="38"/>
      <c r="AQ573" s="38"/>
      <c r="AR573" s="38"/>
      <c r="AS573" s="38"/>
      <c r="AT573" s="38"/>
      <c r="AU573" s="38"/>
      <c r="AV573" s="38"/>
      <c r="AW573" s="38"/>
      <c r="AX573" s="38"/>
      <c r="AY573" s="38"/>
      <c r="AZ573" s="38"/>
      <c r="BA573" s="38"/>
      <c r="BB573" s="38"/>
    </row>
    <row r="574" spans="1:54">
      <c r="A574" s="38" t="s">
        <v>4209</v>
      </c>
      <c r="B574" s="38" t="s">
        <v>3471</v>
      </c>
      <c r="C574" s="38" t="s">
        <v>4206</v>
      </c>
      <c r="D574" s="38" t="s">
        <v>3399</v>
      </c>
      <c r="E574" s="38"/>
      <c r="F574" s="38" t="s">
        <v>4207</v>
      </c>
      <c r="G574" s="38" t="s">
        <v>3756</v>
      </c>
      <c r="H574" s="38" t="s">
        <v>3400</v>
      </c>
      <c r="I574" s="38" t="s">
        <v>4208</v>
      </c>
      <c r="J574" s="38"/>
      <c r="K574" s="38">
        <v>550</v>
      </c>
      <c r="L574" s="38">
        <v>7</v>
      </c>
      <c r="M574" s="38">
        <v>73.2</v>
      </c>
      <c r="N574" s="38"/>
      <c r="O574" s="38"/>
      <c r="P574" s="38"/>
      <c r="Q574" s="38"/>
      <c r="R574" s="38">
        <v>9.9600000000000009</v>
      </c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38"/>
      <c r="AP574" s="38"/>
      <c r="AQ574" s="38"/>
      <c r="AR574" s="38"/>
      <c r="AS574" s="38"/>
      <c r="AT574" s="38"/>
      <c r="AU574" s="38"/>
      <c r="AV574" s="38"/>
      <c r="AW574" s="38"/>
      <c r="AX574" s="38"/>
      <c r="AY574" s="38"/>
      <c r="AZ574" s="38"/>
      <c r="BA574" s="38"/>
      <c r="BB574" s="38"/>
    </row>
    <row r="575" spans="1:54">
      <c r="A575" s="38" t="s">
        <v>4210</v>
      </c>
      <c r="B575" s="38" t="s">
        <v>3409</v>
      </c>
      <c r="C575" s="38" t="s">
        <v>4211</v>
      </c>
      <c r="D575" s="38" t="s">
        <v>3399</v>
      </c>
      <c r="E575" s="38"/>
      <c r="F575" s="38"/>
      <c r="G575" s="38" t="s">
        <v>3756</v>
      </c>
      <c r="H575" s="38" t="s">
        <v>3400</v>
      </c>
      <c r="I575" s="38" t="s">
        <v>4212</v>
      </c>
      <c r="J575" s="38"/>
      <c r="K575" s="38">
        <v>300</v>
      </c>
      <c r="L575" s="38">
        <v>25</v>
      </c>
      <c r="M575" s="38"/>
      <c r="N575" s="38">
        <v>51.7</v>
      </c>
      <c r="O575" s="38">
        <v>1.38</v>
      </c>
      <c r="P575" s="38"/>
      <c r="Q575" s="38"/>
      <c r="R575" s="38">
        <v>7.7</v>
      </c>
      <c r="S575" s="38">
        <v>1.78</v>
      </c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>
        <v>6.7</v>
      </c>
      <c r="AJ575" s="38"/>
      <c r="AK575" s="38"/>
      <c r="AL575" s="38"/>
      <c r="AM575" s="38"/>
      <c r="AN575" s="38">
        <v>103</v>
      </c>
      <c r="AO575" s="38"/>
      <c r="AP575" s="38"/>
      <c r="AQ575" s="38"/>
      <c r="AR575" s="38"/>
      <c r="AS575" s="38">
        <v>113</v>
      </c>
      <c r="AT575" s="38">
        <v>2600</v>
      </c>
      <c r="AU575" s="38">
        <v>1070</v>
      </c>
      <c r="AV575" s="38">
        <v>300</v>
      </c>
      <c r="AW575" s="38">
        <v>13000</v>
      </c>
      <c r="AX575" s="38"/>
      <c r="AY575" s="38">
        <v>73</v>
      </c>
      <c r="AZ575" s="38"/>
      <c r="BA575" s="38"/>
      <c r="BB575" s="38"/>
    </row>
    <row r="576" spans="1:54">
      <c r="A576" s="38" t="s">
        <v>4213</v>
      </c>
      <c r="B576" s="38" t="s">
        <v>3409</v>
      </c>
      <c r="C576" s="38" t="s">
        <v>3990</v>
      </c>
      <c r="D576" s="38" t="s">
        <v>3399</v>
      </c>
      <c r="E576" s="38"/>
      <c r="F576" s="38"/>
      <c r="G576" s="38" t="s">
        <v>3756</v>
      </c>
      <c r="H576" s="38" t="s">
        <v>3400</v>
      </c>
      <c r="I576" s="38" t="s">
        <v>4212</v>
      </c>
      <c r="J576" s="38"/>
      <c r="K576" s="38">
        <v>400</v>
      </c>
      <c r="L576" s="38">
        <v>37</v>
      </c>
      <c r="M576" s="38"/>
      <c r="N576" s="38">
        <v>62</v>
      </c>
      <c r="O576" s="38">
        <v>0.94</v>
      </c>
      <c r="P576" s="38"/>
      <c r="Q576" s="38"/>
      <c r="R576" s="38">
        <v>8.8000000000000007</v>
      </c>
      <c r="S576" s="38">
        <v>2.15</v>
      </c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>
        <v>4.0999999999999996</v>
      </c>
      <c r="AJ576" s="38"/>
      <c r="AK576" s="38"/>
      <c r="AL576" s="38"/>
      <c r="AM576" s="38"/>
      <c r="AN576" s="38">
        <v>119</v>
      </c>
      <c r="AO576" s="38"/>
      <c r="AP576" s="38"/>
      <c r="AQ576" s="38"/>
      <c r="AR576" s="38"/>
      <c r="AS576" s="38">
        <v>102</v>
      </c>
      <c r="AT576" s="38">
        <v>3000</v>
      </c>
      <c r="AU576" s="38">
        <v>1070</v>
      </c>
      <c r="AV576" s="38">
        <v>250</v>
      </c>
      <c r="AW576" s="38">
        <v>12000</v>
      </c>
      <c r="AX576" s="38"/>
      <c r="AY576" s="38">
        <v>60.9</v>
      </c>
      <c r="AZ576" s="38"/>
      <c r="BA576" s="38"/>
      <c r="BB576" s="38"/>
    </row>
    <row r="577" spans="1:54">
      <c r="A577" s="38" t="s">
        <v>4035</v>
      </c>
      <c r="B577" s="38" t="s">
        <v>3409</v>
      </c>
      <c r="C577" s="38" t="s">
        <v>3990</v>
      </c>
      <c r="D577" s="38" t="s">
        <v>3399</v>
      </c>
      <c r="E577" s="38"/>
      <c r="F577" s="38"/>
      <c r="G577" s="38" t="s">
        <v>3756</v>
      </c>
      <c r="H577" s="38" t="s">
        <v>3400</v>
      </c>
      <c r="I577" s="38" t="s">
        <v>4212</v>
      </c>
      <c r="J577" s="38"/>
      <c r="K577" s="38">
        <v>500</v>
      </c>
      <c r="L577" s="38">
        <v>46</v>
      </c>
      <c r="M577" s="38"/>
      <c r="N577" s="38">
        <v>66.2</v>
      </c>
      <c r="O577" s="38">
        <v>0.85</v>
      </c>
      <c r="P577" s="38"/>
      <c r="Q577" s="38"/>
      <c r="R577" s="38">
        <v>9.4</v>
      </c>
      <c r="S577" s="38">
        <v>2.6</v>
      </c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>
        <v>3</v>
      </c>
      <c r="AJ577" s="38"/>
      <c r="AK577" s="38"/>
      <c r="AL577" s="38"/>
      <c r="AM577" s="38"/>
      <c r="AN577" s="38">
        <v>85</v>
      </c>
      <c r="AO577" s="38"/>
      <c r="AP577" s="38"/>
      <c r="AQ577" s="38"/>
      <c r="AR577" s="38"/>
      <c r="AS577" s="38">
        <v>66</v>
      </c>
      <c r="AT577" s="38">
        <v>3400</v>
      </c>
      <c r="AU577" s="38">
        <v>760</v>
      </c>
      <c r="AV577" s="38">
        <v>220</v>
      </c>
      <c r="AW577" s="38">
        <v>10000</v>
      </c>
      <c r="AX577" s="38"/>
      <c r="AY577" s="38">
        <v>56.8</v>
      </c>
      <c r="AZ577" s="38"/>
      <c r="BA577" s="38"/>
      <c r="BB577" s="38"/>
    </row>
    <row r="578" spans="1:54">
      <c r="A578" s="38" t="s">
        <v>4214</v>
      </c>
      <c r="B578" s="38" t="s">
        <v>3409</v>
      </c>
      <c r="C578" s="38" t="s">
        <v>1750</v>
      </c>
      <c r="D578" s="38" t="s">
        <v>3399</v>
      </c>
      <c r="E578" s="38"/>
      <c r="F578" s="38"/>
      <c r="G578" s="38" t="s">
        <v>3756</v>
      </c>
      <c r="H578" s="38" t="s">
        <v>3400</v>
      </c>
      <c r="I578" s="38" t="s">
        <v>4212</v>
      </c>
      <c r="J578" s="38"/>
      <c r="K578" s="38">
        <v>300</v>
      </c>
      <c r="L578" s="38">
        <v>31</v>
      </c>
      <c r="M578" s="38"/>
      <c r="N578" s="38">
        <v>45.2</v>
      </c>
      <c r="O578" s="38">
        <v>1.1499999999999999</v>
      </c>
      <c r="P578" s="38"/>
      <c r="Q578" s="38"/>
      <c r="R578" s="38">
        <v>8</v>
      </c>
      <c r="S578" s="38">
        <v>2.35</v>
      </c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>
        <v>13.7</v>
      </c>
      <c r="AJ578" s="38"/>
      <c r="AK578" s="38"/>
      <c r="AL578" s="38"/>
      <c r="AM578" s="38"/>
      <c r="AN578" s="38">
        <v>93</v>
      </c>
      <c r="AO578" s="38"/>
      <c r="AP578" s="38"/>
      <c r="AQ578" s="38"/>
      <c r="AR578" s="38"/>
      <c r="AS578" s="38">
        <v>45</v>
      </c>
      <c r="AT578" s="38">
        <v>1100</v>
      </c>
      <c r="AU578" s="38">
        <v>560</v>
      </c>
      <c r="AV578" s="38">
        <v>1550</v>
      </c>
      <c r="AW578" s="38">
        <v>18000</v>
      </c>
      <c r="AX578" s="38"/>
      <c r="AY578" s="38">
        <v>32.5</v>
      </c>
      <c r="AZ578" s="38"/>
      <c r="BA578" s="38"/>
      <c r="BB578" s="38"/>
    </row>
    <row r="579" spans="1:54">
      <c r="A579" s="38" t="s">
        <v>4215</v>
      </c>
      <c r="B579" s="38" t="s">
        <v>3409</v>
      </c>
      <c r="C579" s="38" t="s">
        <v>3986</v>
      </c>
      <c r="D579" s="38" t="s">
        <v>3399</v>
      </c>
      <c r="E579" s="38"/>
      <c r="F579" s="38"/>
      <c r="G579" s="38" t="s">
        <v>3756</v>
      </c>
      <c r="H579" s="38" t="s">
        <v>3400</v>
      </c>
      <c r="I579" s="38" t="s">
        <v>4212</v>
      </c>
      <c r="J579" s="38"/>
      <c r="K579" s="38">
        <v>400</v>
      </c>
      <c r="L579" s="38">
        <v>40</v>
      </c>
      <c r="M579" s="38"/>
      <c r="N579" s="38">
        <v>55.5</v>
      </c>
      <c r="O579" s="38">
        <v>0.98</v>
      </c>
      <c r="P579" s="38"/>
      <c r="Q579" s="38"/>
      <c r="R579" s="38">
        <v>9.6999999999999993</v>
      </c>
      <c r="S579" s="38">
        <v>2.85</v>
      </c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>
        <v>11.6</v>
      </c>
      <c r="AJ579" s="38"/>
      <c r="AK579" s="38"/>
      <c r="AL579" s="38"/>
      <c r="AM579" s="38"/>
      <c r="AN579" s="38">
        <v>111</v>
      </c>
      <c r="AO579" s="38"/>
      <c r="AP579" s="38"/>
      <c r="AQ579" s="38"/>
      <c r="AR579" s="38"/>
      <c r="AS579" s="38">
        <v>36</v>
      </c>
      <c r="AT579" s="38">
        <v>1300</v>
      </c>
      <c r="AU579" s="38">
        <v>520</v>
      </c>
      <c r="AV579" s="38">
        <v>1160</v>
      </c>
      <c r="AW579" s="38">
        <v>14000</v>
      </c>
      <c r="AX579" s="38"/>
      <c r="AY579" s="38">
        <v>30.4</v>
      </c>
      <c r="AZ579" s="38"/>
      <c r="BA579" s="38"/>
      <c r="BB579" s="38"/>
    </row>
    <row r="580" spans="1:54">
      <c r="A580" s="38" t="s">
        <v>4002</v>
      </c>
      <c r="B580" s="38" t="s">
        <v>3409</v>
      </c>
      <c r="C580" s="38" t="s">
        <v>3986</v>
      </c>
      <c r="D580" s="38" t="s">
        <v>3399</v>
      </c>
      <c r="E580" s="38"/>
      <c r="F580" s="38"/>
      <c r="G580" s="38" t="s">
        <v>3756</v>
      </c>
      <c r="H580" s="38" t="s">
        <v>3400</v>
      </c>
      <c r="I580" s="38" t="s">
        <v>4212</v>
      </c>
      <c r="J580" s="38"/>
      <c r="K580" s="38">
        <v>500</v>
      </c>
      <c r="L580" s="38">
        <v>52</v>
      </c>
      <c r="M580" s="38"/>
      <c r="N580" s="38">
        <v>63</v>
      </c>
      <c r="O580" s="38">
        <v>0.85</v>
      </c>
      <c r="P580" s="38"/>
      <c r="Q580" s="38"/>
      <c r="R580" s="38">
        <v>10.4</v>
      </c>
      <c r="S580" s="38">
        <v>3.35</v>
      </c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>
        <v>5.6</v>
      </c>
      <c r="AJ580" s="38"/>
      <c r="AK580" s="38"/>
      <c r="AL580" s="38"/>
      <c r="AM580" s="38"/>
      <c r="AN580" s="38">
        <v>77</v>
      </c>
      <c r="AO580" s="38"/>
      <c r="AP580" s="38"/>
      <c r="AQ580" s="38"/>
      <c r="AR580" s="38"/>
      <c r="AS580" s="38">
        <v>23</v>
      </c>
      <c r="AT580" s="38">
        <v>1400</v>
      </c>
      <c r="AU580" s="38">
        <v>410</v>
      </c>
      <c r="AV580" s="38">
        <v>1100</v>
      </c>
      <c r="AW580" s="38">
        <v>11000</v>
      </c>
      <c r="AX580" s="38"/>
      <c r="AY580" s="38">
        <v>21.6</v>
      </c>
      <c r="AZ580" s="38"/>
      <c r="BA580" s="38"/>
      <c r="BB580" s="38"/>
    </row>
    <row r="581" spans="1:54">
      <c r="A581" s="38" t="s">
        <v>3989</v>
      </c>
      <c r="B581" s="38" t="s">
        <v>3409</v>
      </c>
      <c r="C581" s="38" t="s">
        <v>1731</v>
      </c>
      <c r="D581" s="38" t="s">
        <v>3399</v>
      </c>
      <c r="E581" s="38"/>
      <c r="F581" s="38"/>
      <c r="G581" s="38" t="s">
        <v>3844</v>
      </c>
      <c r="H581" s="38" t="s">
        <v>3400</v>
      </c>
      <c r="I581" s="38" t="s">
        <v>4216</v>
      </c>
      <c r="J581" s="38"/>
      <c r="K581" s="38">
        <v>450</v>
      </c>
      <c r="L581" s="38">
        <v>13.83</v>
      </c>
      <c r="M581" s="38"/>
      <c r="N581" s="38">
        <v>69</v>
      </c>
      <c r="O581" s="38">
        <v>0.3</v>
      </c>
      <c r="P581" s="38"/>
      <c r="Q581" s="38"/>
      <c r="R581" s="38">
        <v>9.93</v>
      </c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>
        <v>400</v>
      </c>
      <c r="AM581" s="38"/>
      <c r="AN581" s="38">
        <v>39</v>
      </c>
      <c r="AO581" s="38"/>
      <c r="AP581" s="38"/>
      <c r="AQ581" s="38"/>
      <c r="AR581" s="38"/>
      <c r="AS581" s="38"/>
      <c r="AT581" s="38"/>
      <c r="AU581" s="38">
        <v>2600</v>
      </c>
      <c r="AV581" s="38">
        <v>133</v>
      </c>
      <c r="AW581" s="38">
        <v>8990</v>
      </c>
      <c r="AX581" s="38"/>
      <c r="AY581" s="38"/>
      <c r="AZ581" s="38"/>
      <c r="BA581" s="38"/>
      <c r="BB581" s="38"/>
    </row>
    <row r="582" spans="1:54">
      <c r="A582" s="38" t="s">
        <v>4217</v>
      </c>
      <c r="B582" s="38" t="s">
        <v>3652</v>
      </c>
      <c r="C582" s="38" t="s">
        <v>4218</v>
      </c>
      <c r="D582" s="38" t="s">
        <v>3399</v>
      </c>
      <c r="E582" s="38"/>
      <c r="F582" s="38" t="s">
        <v>4219</v>
      </c>
      <c r="G582" s="38" t="s">
        <v>3756</v>
      </c>
      <c r="H582" s="38" t="s">
        <v>3400</v>
      </c>
      <c r="I582" s="38" t="s">
        <v>4220</v>
      </c>
      <c r="J582" s="38"/>
      <c r="K582" s="38">
        <v>500</v>
      </c>
      <c r="L582" s="38">
        <v>39.200000000000003</v>
      </c>
      <c r="M582" s="38"/>
      <c r="N582" s="38">
        <v>51.5</v>
      </c>
      <c r="O582" s="38">
        <v>1.55</v>
      </c>
      <c r="P582" s="38">
        <v>1.24</v>
      </c>
      <c r="Q582" s="38"/>
      <c r="R582" s="38">
        <v>9.3000000000000007</v>
      </c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38"/>
      <c r="AP582" s="38"/>
      <c r="AQ582" s="38"/>
      <c r="AR582" s="38"/>
      <c r="AS582" s="38"/>
      <c r="AT582" s="38"/>
      <c r="AU582" s="38"/>
      <c r="AV582" s="38"/>
      <c r="AW582" s="38"/>
      <c r="AX582" s="38"/>
      <c r="AY582" s="38"/>
      <c r="AZ582" s="38"/>
      <c r="BA582" s="38"/>
      <c r="BB582" s="38"/>
    </row>
    <row r="583" spans="1:54">
      <c r="A583" s="38" t="s">
        <v>4221</v>
      </c>
      <c r="B583" s="38" t="s">
        <v>3409</v>
      </c>
      <c r="C583" s="38" t="s">
        <v>4222</v>
      </c>
      <c r="D583" s="38" t="s">
        <v>3399</v>
      </c>
      <c r="E583" s="38" t="s">
        <v>4223</v>
      </c>
      <c r="F583" s="38" t="s">
        <v>4224</v>
      </c>
      <c r="G583" s="38" t="s">
        <v>3756</v>
      </c>
      <c r="H583" s="38" t="s">
        <v>3400</v>
      </c>
      <c r="I583" s="38" t="s">
        <v>4225</v>
      </c>
      <c r="J583" s="38"/>
      <c r="K583" s="38">
        <v>400</v>
      </c>
      <c r="L583" s="38">
        <v>25.22</v>
      </c>
      <c r="M583" s="38"/>
      <c r="N583" s="38">
        <v>59.02</v>
      </c>
      <c r="O583" s="38">
        <v>1.91</v>
      </c>
      <c r="P583" s="38">
        <v>3.81</v>
      </c>
      <c r="Q583" s="38"/>
      <c r="R583" s="38">
        <v>7.41</v>
      </c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38"/>
      <c r="AP583" s="38">
        <v>32.1</v>
      </c>
      <c r="AQ583" s="38"/>
      <c r="AR583" s="38"/>
      <c r="AS583" s="38"/>
      <c r="AT583" s="38"/>
      <c r="AU583" s="38"/>
      <c r="AV583" s="38"/>
      <c r="AW583" s="38"/>
      <c r="AX583" s="38"/>
      <c r="AY583" s="38"/>
      <c r="AZ583" s="38"/>
      <c r="BA583" s="38"/>
      <c r="BB583" s="38"/>
    </row>
    <row r="584" spans="1:54">
      <c r="A584" s="38" t="s">
        <v>4226</v>
      </c>
      <c r="B584" s="38" t="s">
        <v>3652</v>
      </c>
      <c r="C584" s="38" t="s">
        <v>4227</v>
      </c>
      <c r="D584" s="38" t="s">
        <v>3399</v>
      </c>
      <c r="E584" s="38"/>
      <c r="F584" s="38"/>
      <c r="G584" s="38" t="s">
        <v>3756</v>
      </c>
      <c r="H584" s="38" t="s">
        <v>3400</v>
      </c>
      <c r="I584" s="38" t="s">
        <v>4228</v>
      </c>
      <c r="J584" s="38">
        <v>2.86</v>
      </c>
      <c r="K584" s="38">
        <v>300</v>
      </c>
      <c r="L584" s="38">
        <v>31.24</v>
      </c>
      <c r="M584" s="38"/>
      <c r="N584" s="38">
        <v>68.37</v>
      </c>
      <c r="O584" s="38">
        <v>5.24</v>
      </c>
      <c r="P584" s="38">
        <v>6</v>
      </c>
      <c r="Q584" s="38">
        <v>20.39</v>
      </c>
      <c r="R584" s="38">
        <v>10.54</v>
      </c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38"/>
      <c r="AP584" s="38"/>
      <c r="AQ584" s="38"/>
      <c r="AR584" s="38"/>
      <c r="AS584" s="38"/>
      <c r="AT584" s="38"/>
      <c r="AU584" s="38"/>
      <c r="AV584" s="38"/>
      <c r="AW584" s="38"/>
      <c r="AX584" s="38"/>
      <c r="AY584" s="38"/>
      <c r="AZ584" s="38"/>
      <c r="BA584" s="38"/>
      <c r="BB584" s="38"/>
    </row>
    <row r="585" spans="1:54">
      <c r="A585" s="38" t="s">
        <v>4229</v>
      </c>
      <c r="B585" s="38" t="s">
        <v>3652</v>
      </c>
      <c r="C585" s="38" t="s">
        <v>4227</v>
      </c>
      <c r="D585" s="38" t="s">
        <v>3399</v>
      </c>
      <c r="E585" s="38"/>
      <c r="F585" s="38"/>
      <c r="G585" s="38" t="s">
        <v>3756</v>
      </c>
      <c r="H585" s="38" t="s">
        <v>3400</v>
      </c>
      <c r="I585" s="38" t="s">
        <v>4228</v>
      </c>
      <c r="J585" s="38">
        <v>2.87</v>
      </c>
      <c r="K585" s="38">
        <v>700</v>
      </c>
      <c r="L585" s="38">
        <v>54.29</v>
      </c>
      <c r="M585" s="38"/>
      <c r="N585" s="38">
        <v>78.069999999999993</v>
      </c>
      <c r="O585" s="38">
        <v>4.78</v>
      </c>
      <c r="P585" s="38">
        <v>2.48</v>
      </c>
      <c r="Q585" s="38">
        <v>14.66</v>
      </c>
      <c r="R585" s="38">
        <v>12.56</v>
      </c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38"/>
      <c r="AP585" s="38"/>
      <c r="AQ585" s="38"/>
      <c r="AR585" s="38"/>
      <c r="AS585" s="38"/>
      <c r="AT585" s="38"/>
      <c r="AU585" s="38"/>
      <c r="AV585" s="38"/>
      <c r="AW585" s="38"/>
      <c r="AX585" s="38"/>
      <c r="AY585" s="38"/>
      <c r="AZ585" s="38"/>
      <c r="BA585" s="38"/>
      <c r="BB585" s="38"/>
    </row>
    <row r="586" spans="1:54">
      <c r="A586" s="38" t="s">
        <v>4091</v>
      </c>
      <c r="B586" s="38" t="s">
        <v>3409</v>
      </c>
      <c r="C586" s="38" t="s">
        <v>4092</v>
      </c>
      <c r="D586" s="38" t="s">
        <v>3399</v>
      </c>
      <c r="E586" s="38"/>
      <c r="F586" s="38"/>
      <c r="G586" s="38" t="s">
        <v>3756</v>
      </c>
      <c r="H586" s="38" t="s">
        <v>3400</v>
      </c>
      <c r="I586" s="38" t="s">
        <v>4230</v>
      </c>
      <c r="J586" s="38"/>
      <c r="K586" s="38">
        <v>600</v>
      </c>
      <c r="L586" s="38">
        <v>5.0199999999999996</v>
      </c>
      <c r="M586" s="38"/>
      <c r="N586" s="38">
        <v>85.3</v>
      </c>
      <c r="O586" s="38">
        <v>0.8</v>
      </c>
      <c r="P586" s="38">
        <v>1.75</v>
      </c>
      <c r="Q586" s="38">
        <v>5.16</v>
      </c>
      <c r="R586" s="38">
        <v>10</v>
      </c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38"/>
      <c r="AP586" s="38"/>
      <c r="AQ586" s="38">
        <v>61</v>
      </c>
      <c r="AR586" s="38" t="s">
        <v>3792</v>
      </c>
      <c r="AS586" s="38"/>
      <c r="AT586" s="38"/>
      <c r="AU586" s="38"/>
      <c r="AV586" s="38"/>
      <c r="AW586" s="38"/>
      <c r="AX586" s="38"/>
      <c r="AY586" s="38"/>
      <c r="AZ586" s="38"/>
      <c r="BA586" s="38"/>
      <c r="BB586" s="38"/>
    </row>
    <row r="587" spans="1:54">
      <c r="A587" s="38" t="s">
        <v>4035</v>
      </c>
      <c r="B587" s="38" t="s">
        <v>3409</v>
      </c>
      <c r="C587" s="38" t="s">
        <v>3990</v>
      </c>
      <c r="D587" s="38" t="s">
        <v>3399</v>
      </c>
      <c r="E587" s="38"/>
      <c r="F587" s="38"/>
      <c r="G587" s="38" t="s">
        <v>3756</v>
      </c>
      <c r="H587" s="38" t="s">
        <v>3400</v>
      </c>
      <c r="I587" s="38" t="s">
        <v>4231</v>
      </c>
      <c r="J587" s="38"/>
      <c r="K587" s="38">
        <v>500</v>
      </c>
      <c r="L587" s="38">
        <v>20.8</v>
      </c>
      <c r="M587" s="38">
        <v>46.7</v>
      </c>
      <c r="N587" s="38"/>
      <c r="O587" s="38">
        <v>0.59</v>
      </c>
      <c r="P587" s="38"/>
      <c r="Q587" s="38"/>
      <c r="R587" s="38">
        <v>10.4</v>
      </c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38"/>
      <c r="AP587" s="38"/>
      <c r="AQ587" s="38"/>
      <c r="AR587" s="38"/>
      <c r="AS587" s="38"/>
      <c r="AT587" s="38"/>
      <c r="AU587" s="38"/>
      <c r="AV587" s="38"/>
      <c r="AW587" s="38"/>
      <c r="AX587" s="38"/>
      <c r="AY587" s="38"/>
      <c r="AZ587" s="38"/>
      <c r="BA587" s="38"/>
      <c r="BB587" s="38"/>
    </row>
    <row r="588" spans="1:54">
      <c r="A588" s="38" t="s">
        <v>4232</v>
      </c>
      <c r="B588" s="38" t="s">
        <v>3652</v>
      </c>
      <c r="C588" s="38" t="s">
        <v>4233</v>
      </c>
      <c r="D588" s="38" t="s">
        <v>3399</v>
      </c>
      <c r="E588" s="38"/>
      <c r="F588" s="38"/>
      <c r="G588" s="38" t="s">
        <v>4042</v>
      </c>
      <c r="H588" s="38" t="s">
        <v>3400</v>
      </c>
      <c r="I588" s="38" t="s">
        <v>4234</v>
      </c>
      <c r="J588" s="38">
        <v>2.8</v>
      </c>
      <c r="K588" s="38">
        <v>300</v>
      </c>
      <c r="L588" s="38">
        <v>5.69</v>
      </c>
      <c r="M588" s="38"/>
      <c r="N588" s="38">
        <v>70.05</v>
      </c>
      <c r="O588" s="38">
        <v>4.97</v>
      </c>
      <c r="P588" s="38">
        <v>5.24</v>
      </c>
      <c r="Q588" s="38">
        <v>19.62</v>
      </c>
      <c r="R588" s="38">
        <v>7.93</v>
      </c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38"/>
      <c r="AP588" s="38"/>
      <c r="AQ588" s="38">
        <v>2.2799999999999998</v>
      </c>
      <c r="AR588" s="38"/>
      <c r="AS588" s="38"/>
      <c r="AT588" s="38"/>
      <c r="AU588" s="38"/>
      <c r="AV588" s="38"/>
      <c r="AW588" s="38"/>
      <c r="AX588" s="38"/>
      <c r="AY588" s="38"/>
      <c r="AZ588" s="38"/>
      <c r="BA588" s="38"/>
      <c r="BB588" s="38"/>
    </row>
    <row r="589" spans="1:54">
      <c r="A589" s="38" t="s">
        <v>4235</v>
      </c>
      <c r="B589" s="38" t="s">
        <v>3652</v>
      </c>
      <c r="C589" s="38" t="s">
        <v>4233</v>
      </c>
      <c r="D589" s="38" t="s">
        <v>3399</v>
      </c>
      <c r="E589" s="38"/>
      <c r="F589" s="38"/>
      <c r="G589" s="38" t="s">
        <v>3756</v>
      </c>
      <c r="H589" s="38" t="s">
        <v>3400</v>
      </c>
      <c r="I589" s="38" t="s">
        <v>4234</v>
      </c>
      <c r="J589" s="38">
        <v>4.2300000000000004</v>
      </c>
      <c r="K589" s="38">
        <v>700</v>
      </c>
      <c r="L589" s="38">
        <v>10.87</v>
      </c>
      <c r="M589" s="38">
        <v>85.11</v>
      </c>
      <c r="N589" s="38"/>
      <c r="O589" s="38">
        <v>3.92</v>
      </c>
      <c r="P589" s="38">
        <v>1.98</v>
      </c>
      <c r="Q589" s="38">
        <v>8.8800000000000008</v>
      </c>
      <c r="R589" s="38">
        <v>11.05</v>
      </c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38"/>
      <c r="AP589" s="38"/>
      <c r="AQ589" s="38">
        <v>342.22</v>
      </c>
      <c r="AR589" s="38"/>
      <c r="AS589" s="38"/>
      <c r="AT589" s="38"/>
      <c r="AU589" s="38"/>
      <c r="AV589" s="38"/>
      <c r="AW589" s="38"/>
      <c r="AX589" s="38"/>
      <c r="AY589" s="38"/>
      <c r="AZ589" s="38"/>
      <c r="BA589" s="38"/>
      <c r="BB589" s="38"/>
    </row>
    <row r="590" spans="1:54">
      <c r="A590" s="38" t="s">
        <v>4236</v>
      </c>
      <c r="B590" s="38" t="s">
        <v>3652</v>
      </c>
      <c r="C590" s="38" t="s">
        <v>4233</v>
      </c>
      <c r="D590" s="38" t="s">
        <v>3399</v>
      </c>
      <c r="E590" s="38"/>
      <c r="F590" s="38"/>
      <c r="G590" s="38" t="s">
        <v>4237</v>
      </c>
      <c r="H590" s="38" t="s">
        <v>3400</v>
      </c>
      <c r="I590" s="38" t="s">
        <v>4234</v>
      </c>
      <c r="J590" s="38">
        <v>0.87</v>
      </c>
      <c r="K590" s="38">
        <v>300</v>
      </c>
      <c r="L590" s="38">
        <v>5.87</v>
      </c>
      <c r="M590" s="38"/>
      <c r="N590" s="38">
        <v>68.53</v>
      </c>
      <c r="O590" s="38">
        <v>5.48</v>
      </c>
      <c r="P590" s="38">
        <v>3.96</v>
      </c>
      <c r="Q590" s="38">
        <v>21.91</v>
      </c>
      <c r="R590" s="38">
        <v>6.74</v>
      </c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38"/>
      <c r="AP590" s="38"/>
      <c r="AQ590" s="38">
        <v>0.9</v>
      </c>
      <c r="AR590" s="38"/>
      <c r="AS590" s="38"/>
      <c r="AT590" s="38"/>
      <c r="AU590" s="38"/>
      <c r="AV590" s="38"/>
      <c r="AW590" s="38"/>
      <c r="AX590" s="38"/>
      <c r="AY590" s="38"/>
      <c r="AZ590" s="38"/>
      <c r="BA590" s="38"/>
      <c r="BB590" s="38"/>
    </row>
    <row r="591" spans="1:54">
      <c r="A591" s="38" t="s">
        <v>4238</v>
      </c>
      <c r="B591" s="38" t="s">
        <v>3652</v>
      </c>
      <c r="C591" s="38" t="s">
        <v>4233</v>
      </c>
      <c r="D591" s="38" t="s">
        <v>3399</v>
      </c>
      <c r="E591" s="38"/>
      <c r="F591" s="38"/>
      <c r="G591" s="38" t="s">
        <v>4237</v>
      </c>
      <c r="H591" s="38" t="s">
        <v>3400</v>
      </c>
      <c r="I591" s="38" t="s">
        <v>4234</v>
      </c>
      <c r="J591" s="38">
        <v>9.02</v>
      </c>
      <c r="K591" s="38">
        <v>700</v>
      </c>
      <c r="L591" s="38">
        <v>11.6</v>
      </c>
      <c r="M591" s="38"/>
      <c r="N591" s="38">
        <v>79.91</v>
      </c>
      <c r="O591" s="38">
        <v>4.28</v>
      </c>
      <c r="P591" s="38">
        <v>2.17</v>
      </c>
      <c r="Q591" s="38">
        <v>13.54</v>
      </c>
      <c r="R591" s="38">
        <v>9.9700000000000006</v>
      </c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38"/>
      <c r="AP591" s="38"/>
      <c r="AQ591" s="38">
        <v>421.31</v>
      </c>
      <c r="AR591" s="38"/>
      <c r="AS591" s="38"/>
      <c r="AT591" s="38"/>
      <c r="AU591" s="38"/>
      <c r="AV591" s="38"/>
      <c r="AW591" s="38"/>
      <c r="AX591" s="38"/>
      <c r="AY591" s="38"/>
      <c r="AZ591" s="38"/>
      <c r="BA591" s="38"/>
      <c r="BB591" s="38"/>
    </row>
    <row r="592" spans="1:54">
      <c r="A592" s="38" t="s">
        <v>4239</v>
      </c>
      <c r="B592" s="38" t="s">
        <v>3471</v>
      </c>
      <c r="C592" s="38" t="s">
        <v>4240</v>
      </c>
      <c r="D592" s="38" t="s">
        <v>3399</v>
      </c>
      <c r="E592" s="38"/>
      <c r="F592" s="38"/>
      <c r="G592" s="38" t="s">
        <v>3756</v>
      </c>
      <c r="H592" s="38" t="s">
        <v>3400</v>
      </c>
      <c r="I592" s="38" t="s">
        <v>4241</v>
      </c>
      <c r="J592" s="38"/>
      <c r="K592" s="38">
        <v>550</v>
      </c>
      <c r="L592" s="38"/>
      <c r="M592" s="38"/>
      <c r="N592" s="38">
        <v>81.069999999999993</v>
      </c>
      <c r="O592" s="38">
        <v>0.48</v>
      </c>
      <c r="P592" s="38">
        <v>2.0699999999999998</v>
      </c>
      <c r="Q592" s="38">
        <v>12.3</v>
      </c>
      <c r="R592" s="38">
        <v>8.2100000000000009</v>
      </c>
      <c r="S592" s="38">
        <v>0.78400000000000003</v>
      </c>
      <c r="T592" s="38"/>
      <c r="U592" s="38"/>
      <c r="V592" s="38"/>
      <c r="W592" s="38"/>
      <c r="X592" s="38"/>
      <c r="Y592" s="38"/>
      <c r="Z592" s="38"/>
      <c r="AA592" s="38">
        <v>213</v>
      </c>
      <c r="AB592" s="38"/>
      <c r="AC592" s="38">
        <v>109</v>
      </c>
      <c r="AD592" s="38">
        <v>74.7</v>
      </c>
      <c r="AE592" s="38"/>
      <c r="AF592" s="38"/>
      <c r="AG592" s="38">
        <v>253</v>
      </c>
      <c r="AH592" s="38"/>
      <c r="AI592" s="38">
        <v>130</v>
      </c>
      <c r="AJ592" s="38"/>
      <c r="AK592" s="38"/>
      <c r="AL592" s="38">
        <v>960</v>
      </c>
      <c r="AM592" s="38"/>
      <c r="AN592" s="38"/>
      <c r="AO592" s="38"/>
      <c r="AP592" s="38"/>
      <c r="AQ592" s="38"/>
      <c r="AR592" s="38"/>
      <c r="AS592" s="38"/>
      <c r="AT592" s="38">
        <v>1960</v>
      </c>
      <c r="AU592" s="38">
        <v>9570</v>
      </c>
      <c r="AV592" s="38">
        <v>1310</v>
      </c>
      <c r="AW592" s="38">
        <v>6570</v>
      </c>
      <c r="AX592" s="38"/>
      <c r="AY592" s="38">
        <v>1970</v>
      </c>
      <c r="AZ592" s="38"/>
      <c r="BA592" s="38"/>
      <c r="BB592" s="38"/>
    </row>
    <row r="593" spans="1:54">
      <c r="A593" s="38" t="s">
        <v>4242</v>
      </c>
      <c r="B593" s="38" t="s">
        <v>3471</v>
      </c>
      <c r="C593" s="38" t="s">
        <v>4243</v>
      </c>
      <c r="D593" s="38" t="s">
        <v>3399</v>
      </c>
      <c r="E593" s="38"/>
      <c r="F593" s="38"/>
      <c r="G593" s="38" t="s">
        <v>3844</v>
      </c>
      <c r="H593" s="38" t="s">
        <v>3400</v>
      </c>
      <c r="I593" s="38" t="s">
        <v>4241</v>
      </c>
      <c r="J593" s="38"/>
      <c r="K593" s="38">
        <v>510</v>
      </c>
      <c r="L593" s="38"/>
      <c r="M593" s="38"/>
      <c r="N593" s="38">
        <v>73.11</v>
      </c>
      <c r="O593" s="38">
        <v>0.35</v>
      </c>
      <c r="P593" s="38">
        <v>3.27</v>
      </c>
      <c r="Q593" s="38">
        <v>18.8</v>
      </c>
      <c r="R593" s="38">
        <v>8.14</v>
      </c>
      <c r="S593" s="38">
        <v>0.61</v>
      </c>
      <c r="T593" s="38"/>
      <c r="U593" s="38"/>
      <c r="V593" s="38"/>
      <c r="W593" s="38"/>
      <c r="X593" s="38"/>
      <c r="Y593" s="38"/>
      <c r="Z593" s="38"/>
      <c r="AA593" s="38">
        <v>40</v>
      </c>
      <c r="AB593" s="38"/>
      <c r="AC593" s="38">
        <v>29</v>
      </c>
      <c r="AD593" s="38">
        <v>62.1</v>
      </c>
      <c r="AE593" s="38"/>
      <c r="AF593" s="38"/>
      <c r="AG593" s="38">
        <v>23</v>
      </c>
      <c r="AH593" s="38"/>
      <c r="AI593" s="38">
        <v>540</v>
      </c>
      <c r="AJ593" s="38"/>
      <c r="AK593" s="38"/>
      <c r="AL593" s="38">
        <v>1030</v>
      </c>
      <c r="AM593" s="38"/>
      <c r="AN593" s="38"/>
      <c r="AO593" s="38"/>
      <c r="AP593" s="38"/>
      <c r="AQ593" s="38"/>
      <c r="AR593" s="38"/>
      <c r="AS593" s="38"/>
      <c r="AT593" s="38">
        <v>570</v>
      </c>
      <c r="AU593" s="38">
        <v>12180</v>
      </c>
      <c r="AV593" s="38">
        <v>1590</v>
      </c>
      <c r="AW593" s="38">
        <v>9210</v>
      </c>
      <c r="AX593" s="38"/>
      <c r="AY593" s="38">
        <v>1780</v>
      </c>
      <c r="AZ593" s="38"/>
      <c r="BA593" s="38"/>
      <c r="BB593" s="38"/>
    </row>
    <row r="594" spans="1:54">
      <c r="A594" s="38" t="s">
        <v>4244</v>
      </c>
      <c r="B594" s="38" t="s">
        <v>1948</v>
      </c>
      <c r="C594" s="38" t="s">
        <v>4024</v>
      </c>
      <c r="D594" s="38" t="s">
        <v>3399</v>
      </c>
      <c r="E594" s="38"/>
      <c r="F594" s="38"/>
      <c r="G594" s="38" t="s">
        <v>3756</v>
      </c>
      <c r="H594" s="38" t="s">
        <v>3400</v>
      </c>
      <c r="I594" s="38" t="s">
        <v>4241</v>
      </c>
      <c r="J594" s="38"/>
      <c r="K594" s="38">
        <v>550</v>
      </c>
      <c r="L594" s="38"/>
      <c r="M594" s="38"/>
      <c r="N594" s="38">
        <v>22.34</v>
      </c>
      <c r="O594" s="38">
        <v>2.2599999999999998</v>
      </c>
      <c r="P594" s="38">
        <v>1.2</v>
      </c>
      <c r="Q594" s="38">
        <v>4</v>
      </c>
      <c r="R594" s="38">
        <v>8.6999999999999993</v>
      </c>
      <c r="S594" s="38">
        <v>1.6240000000000001</v>
      </c>
      <c r="T594" s="38"/>
      <c r="U594" s="38"/>
      <c r="V594" s="38"/>
      <c r="W594" s="38"/>
      <c r="X594" s="38"/>
      <c r="Y594" s="38">
        <v>12.4</v>
      </c>
      <c r="Z594" s="38">
        <v>2.2000000000000002</v>
      </c>
      <c r="AA594" s="38">
        <v>385</v>
      </c>
      <c r="AB594" s="38"/>
      <c r="AC594" s="38">
        <v>767</v>
      </c>
      <c r="AD594" s="38">
        <v>277</v>
      </c>
      <c r="AE594" s="38"/>
      <c r="AF594" s="38"/>
      <c r="AG594" s="38">
        <v>249</v>
      </c>
      <c r="AH594" s="38"/>
      <c r="AI594" s="38">
        <v>3074</v>
      </c>
      <c r="AJ594" s="38"/>
      <c r="AK594" s="38"/>
      <c r="AL594" s="38">
        <v>3840</v>
      </c>
      <c r="AM594" s="38"/>
      <c r="AN594" s="38"/>
      <c r="AO594" s="38"/>
      <c r="AP594" s="38"/>
      <c r="AQ594" s="38"/>
      <c r="AR594" s="38"/>
      <c r="AS594" s="38">
        <v>51190</v>
      </c>
      <c r="AT594" s="38"/>
      <c r="AU594" s="38">
        <v>89110</v>
      </c>
      <c r="AV594" s="38">
        <v>11830</v>
      </c>
      <c r="AW594" s="38">
        <v>9090</v>
      </c>
      <c r="AX594" s="38"/>
      <c r="AY594" s="38">
        <v>42650</v>
      </c>
      <c r="AZ594" s="38"/>
      <c r="BA594" s="38"/>
      <c r="BB594" s="38"/>
    </row>
    <row r="595" spans="1:54">
      <c r="A595" s="38" t="s">
        <v>4245</v>
      </c>
      <c r="B595" s="38" t="s">
        <v>3455</v>
      </c>
      <c r="C595" s="38" t="s">
        <v>4246</v>
      </c>
      <c r="D595" s="38" t="s">
        <v>3399</v>
      </c>
      <c r="E595" s="38"/>
      <c r="F595" s="38"/>
      <c r="G595" s="38" t="s">
        <v>3899</v>
      </c>
      <c r="H595" s="38" t="s">
        <v>3400</v>
      </c>
      <c r="I595" s="38" t="s">
        <v>4241</v>
      </c>
      <c r="J595" s="38"/>
      <c r="K595" s="38">
        <v>900</v>
      </c>
      <c r="L595" s="38"/>
      <c r="M595" s="38"/>
      <c r="N595" s="38">
        <v>71.03</v>
      </c>
      <c r="O595" s="38">
        <v>0.12</v>
      </c>
      <c r="P595" s="38">
        <v>0.53</v>
      </c>
      <c r="Q595" s="38">
        <v>8.6999999999999993</v>
      </c>
      <c r="R595" s="38">
        <v>11.42</v>
      </c>
      <c r="S595" s="38">
        <v>1.8879999999999999</v>
      </c>
      <c r="T595" s="38"/>
      <c r="U595" s="38"/>
      <c r="V595" s="38"/>
      <c r="W595" s="38"/>
      <c r="X595" s="38"/>
      <c r="Y595" s="38"/>
      <c r="Z595" s="38">
        <v>1.2</v>
      </c>
      <c r="AA595" s="38">
        <v>26</v>
      </c>
      <c r="AB595" s="38"/>
      <c r="AC595" s="38">
        <v>219</v>
      </c>
      <c r="AD595" s="38">
        <v>9.1</v>
      </c>
      <c r="AE595" s="38"/>
      <c r="AF595" s="38"/>
      <c r="AG595" s="38">
        <v>10</v>
      </c>
      <c r="AH595" s="38"/>
      <c r="AI595" s="38">
        <v>823</v>
      </c>
      <c r="AJ595" s="38"/>
      <c r="AK595" s="38"/>
      <c r="AL595" s="38">
        <v>780</v>
      </c>
      <c r="AM595" s="38"/>
      <c r="AN595" s="38"/>
      <c r="AO595" s="38"/>
      <c r="AP595" s="38"/>
      <c r="AQ595" s="38"/>
      <c r="AR595" s="38"/>
      <c r="AS595" s="38"/>
      <c r="AT595" s="38">
        <v>800</v>
      </c>
      <c r="AU595" s="38">
        <v>92.34</v>
      </c>
      <c r="AV595" s="38">
        <v>2590</v>
      </c>
      <c r="AW595" s="38">
        <v>8250</v>
      </c>
      <c r="AX595" s="38"/>
      <c r="AY595" s="38">
        <v>1530</v>
      </c>
      <c r="AZ595" s="38"/>
      <c r="BA595" s="38"/>
      <c r="BB595" s="38"/>
    </row>
    <row r="596" spans="1:54">
      <c r="A596" s="38" t="s">
        <v>4247</v>
      </c>
      <c r="B596" s="38" t="s">
        <v>3455</v>
      </c>
      <c r="C596" s="38" t="s">
        <v>4246</v>
      </c>
      <c r="D596" s="38" t="s">
        <v>3399</v>
      </c>
      <c r="E596" s="38"/>
      <c r="F596" s="38"/>
      <c r="G596" s="38" t="s">
        <v>3756</v>
      </c>
      <c r="H596" s="38" t="s">
        <v>3400</v>
      </c>
      <c r="I596" s="38" t="s">
        <v>4241</v>
      </c>
      <c r="J596" s="38"/>
      <c r="K596" s="38">
        <v>550</v>
      </c>
      <c r="L596" s="38"/>
      <c r="M596" s="38"/>
      <c r="N596" s="38">
        <v>86.26</v>
      </c>
      <c r="O596" s="38">
        <v>0.12</v>
      </c>
      <c r="P596" s="38">
        <v>1.97</v>
      </c>
      <c r="Q596" s="38">
        <v>9.1</v>
      </c>
      <c r="R596" s="38">
        <v>7.29</v>
      </c>
      <c r="S596" s="38">
        <v>0.56499999999999995</v>
      </c>
      <c r="T596" s="38"/>
      <c r="U596" s="38"/>
      <c r="V596" s="38"/>
      <c r="W596" s="38"/>
      <c r="X596" s="38"/>
      <c r="Y596" s="38"/>
      <c r="Z596" s="38"/>
      <c r="AA596" s="38">
        <v>83</v>
      </c>
      <c r="AB596" s="38"/>
      <c r="AC596" s="38">
        <v>27</v>
      </c>
      <c r="AD596" s="38">
        <v>15.7</v>
      </c>
      <c r="AE596" s="38"/>
      <c r="AF596" s="38"/>
      <c r="AG596" s="38">
        <v>97</v>
      </c>
      <c r="AH596" s="38"/>
      <c r="AI596" s="38">
        <v>70</v>
      </c>
      <c r="AJ596" s="38"/>
      <c r="AK596" s="38"/>
      <c r="AL596" s="38">
        <v>330</v>
      </c>
      <c r="AM596" s="38"/>
      <c r="AN596" s="38"/>
      <c r="AO596" s="38"/>
      <c r="AP596" s="38"/>
      <c r="AQ596" s="38"/>
      <c r="AR596" s="38"/>
      <c r="AS596" s="38"/>
      <c r="AT596" s="38">
        <v>3510</v>
      </c>
      <c r="AU596" s="38">
        <v>3770</v>
      </c>
      <c r="AV596" s="38">
        <v>980</v>
      </c>
      <c r="AW596" s="38">
        <v>3480</v>
      </c>
      <c r="AX596" s="38"/>
      <c r="AY596" s="38">
        <v>1210</v>
      </c>
      <c r="AZ596" s="38"/>
      <c r="BA596" s="38"/>
      <c r="BB596" s="38"/>
    </row>
    <row r="597" spans="1:54">
      <c r="A597" s="38" t="s">
        <v>4248</v>
      </c>
      <c r="B597" s="38" t="s">
        <v>3455</v>
      </c>
      <c r="C597" s="38" t="s">
        <v>4246</v>
      </c>
      <c r="D597" s="38" t="s">
        <v>3399</v>
      </c>
      <c r="E597" s="38"/>
      <c r="F597" s="38"/>
      <c r="G597" s="38" t="s">
        <v>3844</v>
      </c>
      <c r="H597" s="38" t="s">
        <v>3400</v>
      </c>
      <c r="I597" s="38" t="s">
        <v>4241</v>
      </c>
      <c r="J597" s="38"/>
      <c r="K597" s="38">
        <v>480</v>
      </c>
      <c r="L597" s="38"/>
      <c r="M597" s="38"/>
      <c r="N597" s="38">
        <v>71.760000000000005</v>
      </c>
      <c r="O597" s="38">
        <v>0.19</v>
      </c>
      <c r="P597" s="38">
        <v>3.4</v>
      </c>
      <c r="Q597" s="38">
        <v>22</v>
      </c>
      <c r="R597" s="38">
        <v>8.0399999999999991</v>
      </c>
      <c r="S597" s="38">
        <v>0.63900000000000001</v>
      </c>
      <c r="T597" s="38"/>
      <c r="U597" s="38"/>
      <c r="V597" s="38"/>
      <c r="W597" s="38"/>
      <c r="X597" s="38"/>
      <c r="Y597" s="38"/>
      <c r="Z597" s="38"/>
      <c r="AA597" s="38">
        <v>26</v>
      </c>
      <c r="AB597" s="38"/>
      <c r="AC597" s="38">
        <v>13</v>
      </c>
      <c r="AD597" s="38">
        <v>10.1</v>
      </c>
      <c r="AE597" s="38"/>
      <c r="AF597" s="38"/>
      <c r="AG597" s="38">
        <v>25</v>
      </c>
      <c r="AH597" s="38"/>
      <c r="AI597" s="38">
        <v>181</v>
      </c>
      <c r="AJ597" s="38"/>
      <c r="AK597" s="38"/>
      <c r="AL597" s="38">
        <v>480</v>
      </c>
      <c r="AM597" s="38"/>
      <c r="AN597" s="38"/>
      <c r="AO597" s="38"/>
      <c r="AP597" s="38"/>
      <c r="AQ597" s="38"/>
      <c r="AR597" s="38"/>
      <c r="AS597" s="38"/>
      <c r="AT597" s="38">
        <v>480</v>
      </c>
      <c r="AU597" s="38">
        <v>8270</v>
      </c>
      <c r="AV597" s="38">
        <v>1420</v>
      </c>
      <c r="AW597" s="38">
        <v>6400</v>
      </c>
      <c r="AX597" s="38"/>
      <c r="AY597" s="38">
        <v>1580</v>
      </c>
      <c r="AZ597" s="38"/>
      <c r="BA597" s="38"/>
      <c r="BB597" s="38"/>
    </row>
    <row r="598" spans="1:54">
      <c r="A598" s="38" t="s">
        <v>4249</v>
      </c>
      <c r="B598" s="38">
        <v>0</v>
      </c>
      <c r="C598" s="38" t="s">
        <v>3409</v>
      </c>
      <c r="D598" s="38" t="s">
        <v>4250</v>
      </c>
      <c r="E598" s="38" t="s">
        <v>3399</v>
      </c>
      <c r="F598" s="38"/>
      <c r="G598" s="38"/>
      <c r="H598" s="38" t="s">
        <v>4251</v>
      </c>
      <c r="I598" s="38" t="s">
        <v>3400</v>
      </c>
      <c r="J598" s="38" t="s">
        <v>4252</v>
      </c>
      <c r="K598" s="38"/>
      <c r="L598" s="38">
        <v>350</v>
      </c>
      <c r="M598" s="38">
        <v>15</v>
      </c>
      <c r="N598" s="38"/>
      <c r="O598" s="38">
        <v>61.4</v>
      </c>
      <c r="P598" s="38">
        <v>1</v>
      </c>
      <c r="Q598" s="38">
        <v>3.6</v>
      </c>
      <c r="R598" s="38">
        <v>19</v>
      </c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38"/>
      <c r="AP598" s="38"/>
      <c r="AQ598" s="38">
        <v>39.200000000000003</v>
      </c>
      <c r="AR598" s="38"/>
      <c r="AS598" s="38"/>
      <c r="AT598" s="38"/>
      <c r="AU598" s="38"/>
      <c r="AV598" s="38"/>
      <c r="AW598" s="38"/>
      <c r="AX598" s="38"/>
      <c r="AY598" s="38"/>
      <c r="AZ598" s="38"/>
      <c r="BA598" s="38"/>
      <c r="BB598" s="38"/>
    </row>
    <row r="599" spans="1:54">
      <c r="A599" s="38" t="s">
        <v>4253</v>
      </c>
      <c r="B599" s="38">
        <v>0</v>
      </c>
      <c r="C599" s="38" t="s">
        <v>3409</v>
      </c>
      <c r="D599" s="38" t="s">
        <v>4254</v>
      </c>
      <c r="E599" s="38" t="s">
        <v>3399</v>
      </c>
      <c r="F599" s="38"/>
      <c r="G599" s="38"/>
      <c r="H599" s="38" t="s">
        <v>4255</v>
      </c>
      <c r="I599" s="38" t="s">
        <v>3400</v>
      </c>
      <c r="J599" s="38" t="s">
        <v>4252</v>
      </c>
      <c r="K599" s="38"/>
      <c r="L599" s="38">
        <v>350</v>
      </c>
      <c r="M599" s="38">
        <v>15.3</v>
      </c>
      <c r="N599" s="38"/>
      <c r="O599" s="38">
        <v>62.7</v>
      </c>
      <c r="P599" s="38">
        <v>1.1000000000000001</v>
      </c>
      <c r="Q599" s="38">
        <v>4.4000000000000004</v>
      </c>
      <c r="R599" s="38">
        <v>16.5</v>
      </c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38"/>
      <c r="AP599" s="38"/>
      <c r="AQ599" s="38">
        <v>39.1</v>
      </c>
      <c r="AR599" s="38"/>
      <c r="AS599" s="38"/>
      <c r="AT599" s="38"/>
      <c r="AU599" s="38"/>
      <c r="AV599" s="38"/>
      <c r="AW599" s="38"/>
      <c r="AX599" s="38"/>
      <c r="AY599" s="38"/>
      <c r="AZ599" s="38"/>
      <c r="BA599" s="38"/>
      <c r="BB599" s="38"/>
    </row>
    <row r="600" spans="1:54">
      <c r="A600" s="38" t="s">
        <v>4256</v>
      </c>
      <c r="B600" s="38">
        <v>0</v>
      </c>
      <c r="C600" s="38" t="s">
        <v>3409</v>
      </c>
      <c r="D600" s="38" t="s">
        <v>4254</v>
      </c>
      <c r="E600" s="38" t="s">
        <v>3399</v>
      </c>
      <c r="F600" s="38"/>
      <c r="G600" s="38"/>
      <c r="H600" s="38" t="s">
        <v>4257</v>
      </c>
      <c r="I600" s="38" t="s">
        <v>3400</v>
      </c>
      <c r="J600" s="38" t="s">
        <v>4252</v>
      </c>
      <c r="K600" s="38"/>
      <c r="L600" s="38">
        <v>350</v>
      </c>
      <c r="M600" s="38">
        <v>21.7</v>
      </c>
      <c r="N600" s="38"/>
      <c r="O600" s="38">
        <v>56.6</v>
      </c>
      <c r="P600" s="38">
        <v>1.1000000000000001</v>
      </c>
      <c r="Q600" s="38">
        <v>2.9</v>
      </c>
      <c r="R600" s="38">
        <v>17.600000000000001</v>
      </c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38"/>
      <c r="AP600" s="38"/>
      <c r="AQ600" s="38">
        <v>38.799999999999997</v>
      </c>
      <c r="AR600" s="38"/>
      <c r="AS600" s="38"/>
      <c r="AT600" s="38"/>
      <c r="AU600" s="38"/>
      <c r="AV600" s="38"/>
      <c r="AW600" s="38"/>
      <c r="AX600" s="38"/>
      <c r="AY600" s="38"/>
      <c r="AZ600" s="38"/>
      <c r="BA600" s="38"/>
      <c r="BB600" s="38"/>
    </row>
    <row r="601" spans="1:54">
      <c r="A601" s="38" t="s">
        <v>4258</v>
      </c>
      <c r="B601" s="38">
        <v>0</v>
      </c>
      <c r="C601" s="38" t="s">
        <v>3409</v>
      </c>
      <c r="D601" s="38" t="s">
        <v>4254</v>
      </c>
      <c r="E601" s="38" t="s">
        <v>3399</v>
      </c>
      <c r="F601" s="38"/>
      <c r="G601" s="38"/>
      <c r="H601" s="38" t="s">
        <v>4259</v>
      </c>
      <c r="I601" s="38" t="s">
        <v>3400</v>
      </c>
      <c r="J601" s="38" t="s">
        <v>4252</v>
      </c>
      <c r="K601" s="38"/>
      <c r="L601" s="38">
        <v>650</v>
      </c>
      <c r="M601" s="38">
        <v>20.9</v>
      </c>
      <c r="N601" s="38"/>
      <c r="O601" s="38">
        <v>71.099999999999994</v>
      </c>
      <c r="P601" s="38">
        <v>1</v>
      </c>
      <c r="Q601" s="38">
        <v>1.3</v>
      </c>
      <c r="R601" s="38">
        <v>5.8</v>
      </c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38"/>
      <c r="AP601" s="38"/>
      <c r="AQ601" s="38">
        <v>19.899999999999999</v>
      </c>
      <c r="AR601" s="38"/>
      <c r="AS601" s="38"/>
      <c r="AT601" s="38"/>
      <c r="AU601" s="38"/>
      <c r="AV601" s="38"/>
      <c r="AW601" s="38"/>
      <c r="AX601" s="38"/>
      <c r="AY601" s="38"/>
      <c r="AZ601" s="38"/>
      <c r="BA601" s="38"/>
      <c r="BB601" s="38"/>
    </row>
    <row r="602" spans="1:54">
      <c r="A602" s="38" t="s">
        <v>4260</v>
      </c>
      <c r="B602" s="38">
        <v>0</v>
      </c>
      <c r="C602" s="38" t="s">
        <v>3409</v>
      </c>
      <c r="D602" s="38" t="s">
        <v>4254</v>
      </c>
      <c r="E602" s="38" t="s">
        <v>3399</v>
      </c>
      <c r="F602" s="38"/>
      <c r="G602" s="38"/>
      <c r="H602" s="38" t="s">
        <v>4261</v>
      </c>
      <c r="I602" s="38" t="s">
        <v>3400</v>
      </c>
      <c r="J602" s="38" t="s">
        <v>4252</v>
      </c>
      <c r="K602" s="38"/>
      <c r="L602" s="38">
        <v>650</v>
      </c>
      <c r="M602" s="38">
        <v>22.9</v>
      </c>
      <c r="N602" s="38"/>
      <c r="O602" s="38">
        <v>72.099999999999994</v>
      </c>
      <c r="P602" s="38">
        <v>0.9</v>
      </c>
      <c r="Q602" s="38">
        <v>1.3</v>
      </c>
      <c r="R602" s="38">
        <v>2.8</v>
      </c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38"/>
      <c r="AP602" s="38"/>
      <c r="AQ602" s="38">
        <v>19.600000000000001</v>
      </c>
      <c r="AR602" s="38"/>
      <c r="AS602" s="38"/>
      <c r="AT602" s="38"/>
      <c r="AU602" s="38"/>
      <c r="AV602" s="38"/>
      <c r="AW602" s="38"/>
      <c r="AX602" s="38"/>
      <c r="AY602" s="38"/>
      <c r="AZ602" s="38"/>
      <c r="BA602" s="38"/>
      <c r="BB602" s="38"/>
    </row>
    <row r="603" spans="1:54">
      <c r="A603" s="38" t="s">
        <v>4262</v>
      </c>
      <c r="B603" s="38">
        <v>0</v>
      </c>
      <c r="C603" s="38" t="s">
        <v>3409</v>
      </c>
      <c r="D603" s="38" t="s">
        <v>4254</v>
      </c>
      <c r="E603" s="38" t="s">
        <v>3399</v>
      </c>
      <c r="F603" s="38"/>
      <c r="G603" s="38"/>
      <c r="H603" s="38" t="s">
        <v>4263</v>
      </c>
      <c r="I603" s="38" t="s">
        <v>3400</v>
      </c>
      <c r="J603" s="38" t="s">
        <v>4252</v>
      </c>
      <c r="K603" s="38"/>
      <c r="L603" s="38">
        <v>650</v>
      </c>
      <c r="M603" s="38">
        <v>20.9</v>
      </c>
      <c r="N603" s="38"/>
      <c r="O603" s="38">
        <v>73.2</v>
      </c>
      <c r="P603" s="38">
        <v>1.1000000000000001</v>
      </c>
      <c r="Q603" s="38">
        <v>1.2</v>
      </c>
      <c r="R603" s="38">
        <v>3.5</v>
      </c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38"/>
      <c r="AP603" s="38"/>
      <c r="AQ603" s="38">
        <v>16.2</v>
      </c>
      <c r="AR603" s="38"/>
      <c r="AS603" s="38"/>
      <c r="AT603" s="38"/>
      <c r="AU603" s="38"/>
      <c r="AV603" s="38"/>
      <c r="AW603" s="38"/>
      <c r="AX603" s="38"/>
      <c r="AY603" s="38"/>
      <c r="AZ603" s="38"/>
      <c r="BA603" s="38"/>
      <c r="BB603" s="38"/>
    </row>
    <row r="604" spans="1:54">
      <c r="A604" s="38" t="s">
        <v>4249</v>
      </c>
      <c r="B604" s="38">
        <v>0.33</v>
      </c>
      <c r="C604" s="38" t="s">
        <v>3409</v>
      </c>
      <c r="D604" s="38" t="s">
        <v>4254</v>
      </c>
      <c r="E604" s="38" t="s">
        <v>3399</v>
      </c>
      <c r="F604" s="38"/>
      <c r="G604" s="38"/>
      <c r="H604" s="38" t="s">
        <v>4264</v>
      </c>
      <c r="I604" s="38" t="s">
        <v>3400</v>
      </c>
      <c r="J604" s="38" t="s">
        <v>4252</v>
      </c>
      <c r="K604" s="38"/>
      <c r="L604" s="38">
        <v>350</v>
      </c>
      <c r="M604" s="38">
        <v>12.3</v>
      </c>
      <c r="N604" s="38"/>
      <c r="O604" s="38">
        <v>55.5</v>
      </c>
      <c r="P604" s="38">
        <v>0.9</v>
      </c>
      <c r="Q604" s="38">
        <v>4.2</v>
      </c>
      <c r="R604" s="38">
        <v>27.1</v>
      </c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38"/>
      <c r="AP604" s="38"/>
      <c r="AQ604" s="38">
        <v>51</v>
      </c>
      <c r="AR604" s="38"/>
      <c r="AS604" s="38"/>
      <c r="AT604" s="38"/>
      <c r="AU604" s="38"/>
      <c r="AV604" s="38"/>
      <c r="AW604" s="38"/>
      <c r="AX604" s="38"/>
      <c r="AY604" s="38"/>
      <c r="AZ604" s="38"/>
      <c r="BA604" s="38"/>
      <c r="BB604" s="38"/>
    </row>
    <row r="605" spans="1:54">
      <c r="A605" s="38" t="s">
        <v>4253</v>
      </c>
      <c r="B605" s="38">
        <v>0.33</v>
      </c>
      <c r="C605" s="38" t="s">
        <v>3409</v>
      </c>
      <c r="D605" s="38"/>
      <c r="E605" s="38" t="s">
        <v>3399</v>
      </c>
      <c r="F605" s="38"/>
      <c r="G605" s="38"/>
      <c r="H605" s="38" t="s">
        <v>4265</v>
      </c>
      <c r="I605" s="38" t="s">
        <v>3400</v>
      </c>
      <c r="J605" s="38" t="s">
        <v>4252</v>
      </c>
      <c r="K605" s="38"/>
      <c r="L605" s="38">
        <v>350</v>
      </c>
      <c r="M605" s="38">
        <v>14.2</v>
      </c>
      <c r="N605" s="38"/>
      <c r="O605" s="38">
        <v>60.4</v>
      </c>
      <c r="P605" s="38">
        <v>0.9</v>
      </c>
      <c r="Q605" s="38">
        <v>5.2</v>
      </c>
      <c r="R605" s="38">
        <v>27.1</v>
      </c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38"/>
      <c r="AP605" s="38"/>
      <c r="AQ605" s="38">
        <v>51</v>
      </c>
      <c r="AR605" s="38"/>
      <c r="AS605" s="38"/>
      <c r="AT605" s="38"/>
      <c r="AU605" s="38"/>
      <c r="AV605" s="38"/>
      <c r="AW605" s="38"/>
      <c r="AX605" s="38"/>
      <c r="AY605" s="38"/>
      <c r="AZ605" s="38"/>
      <c r="BA605" s="38"/>
      <c r="BB605" s="38"/>
    </row>
    <row r="606" spans="1:54">
      <c r="A606" s="38" t="s">
        <v>4256</v>
      </c>
      <c r="B606" s="38">
        <v>0.33</v>
      </c>
      <c r="C606" s="38" t="s">
        <v>3409</v>
      </c>
      <c r="D606" s="38" t="s">
        <v>4250</v>
      </c>
      <c r="E606" s="38" t="s">
        <v>3399</v>
      </c>
      <c r="F606" s="38"/>
      <c r="G606" s="38"/>
      <c r="H606" s="38" t="s">
        <v>4266</v>
      </c>
      <c r="I606" s="38" t="s">
        <v>3400</v>
      </c>
      <c r="J606" s="38" t="s">
        <v>4252</v>
      </c>
      <c r="K606" s="38"/>
      <c r="L606" s="38">
        <v>350</v>
      </c>
      <c r="M606" s="38">
        <v>16.2</v>
      </c>
      <c r="N606" s="38"/>
      <c r="O606" s="38">
        <v>62.1</v>
      </c>
      <c r="P606" s="38">
        <v>1</v>
      </c>
      <c r="Q606" s="38">
        <v>3</v>
      </c>
      <c r="R606" s="38">
        <v>17.8</v>
      </c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38"/>
      <c r="AP606" s="38"/>
      <c r="AQ606" s="38">
        <v>37</v>
      </c>
      <c r="AR606" s="38"/>
      <c r="AS606" s="38"/>
      <c r="AT606" s="38"/>
      <c r="AU606" s="38"/>
      <c r="AV606" s="38"/>
      <c r="AW606" s="38"/>
      <c r="AX606" s="38"/>
      <c r="AY606" s="38"/>
      <c r="AZ606" s="38"/>
      <c r="BA606" s="38"/>
      <c r="BB606" s="38"/>
    </row>
    <row r="607" spans="1:54">
      <c r="A607" s="38" t="s">
        <v>4258</v>
      </c>
      <c r="B607" s="38">
        <v>0.33</v>
      </c>
      <c r="C607" s="38" t="s">
        <v>3409</v>
      </c>
      <c r="D607" s="38" t="s">
        <v>4250</v>
      </c>
      <c r="E607" s="38" t="s">
        <v>3399</v>
      </c>
      <c r="F607" s="38"/>
      <c r="G607" s="38"/>
      <c r="H607" s="38" t="s">
        <v>4264</v>
      </c>
      <c r="I607" s="38" t="s">
        <v>3400</v>
      </c>
      <c r="J607" s="38" t="s">
        <v>4252</v>
      </c>
      <c r="K607" s="38"/>
      <c r="L607" s="38">
        <v>650</v>
      </c>
      <c r="M607" s="38">
        <v>21.4</v>
      </c>
      <c r="N607" s="38"/>
      <c r="O607" s="38">
        <v>69.2</v>
      </c>
      <c r="P607" s="38">
        <v>1</v>
      </c>
      <c r="Q607" s="38">
        <v>1.2</v>
      </c>
      <c r="R607" s="38">
        <v>7.2</v>
      </c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38"/>
      <c r="AP607" s="38"/>
      <c r="AQ607" s="38">
        <v>20.399999999999999</v>
      </c>
      <c r="AR607" s="38"/>
      <c r="AS607" s="38"/>
      <c r="AT607" s="38"/>
      <c r="AU607" s="38"/>
      <c r="AV607" s="38"/>
      <c r="AW607" s="38"/>
      <c r="AX607" s="38"/>
      <c r="AY607" s="38"/>
      <c r="AZ607" s="38"/>
      <c r="BA607" s="38"/>
      <c r="BB607" s="38"/>
    </row>
    <row r="608" spans="1:54">
      <c r="A608" s="38" t="s">
        <v>4260</v>
      </c>
      <c r="B608" s="38">
        <v>0.33</v>
      </c>
      <c r="C608" s="38" t="s">
        <v>3409</v>
      </c>
      <c r="D608" s="38" t="s">
        <v>4250</v>
      </c>
      <c r="E608" s="38" t="s">
        <v>3399</v>
      </c>
      <c r="F608" s="38"/>
      <c r="G608" s="38"/>
      <c r="H608" s="38" t="s">
        <v>4267</v>
      </c>
      <c r="I608" s="38" t="s">
        <v>3400</v>
      </c>
      <c r="J608" s="38" t="s">
        <v>4252</v>
      </c>
      <c r="K608" s="38"/>
      <c r="L608" s="38">
        <v>650</v>
      </c>
      <c r="M608" s="38">
        <v>20.100000000000001</v>
      </c>
      <c r="N608" s="38"/>
      <c r="O608" s="38">
        <v>71.2</v>
      </c>
      <c r="P608" s="38">
        <v>1</v>
      </c>
      <c r="Q608" s="38">
        <v>1</v>
      </c>
      <c r="R608" s="38">
        <v>6.7</v>
      </c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38"/>
      <c r="AP608" s="38"/>
      <c r="AQ608" s="38">
        <v>17.7</v>
      </c>
      <c r="AR608" s="38"/>
      <c r="AS608" s="38"/>
      <c r="AT608" s="38"/>
      <c r="AU608" s="38"/>
      <c r="AV608" s="38"/>
      <c r="AW608" s="38"/>
      <c r="AX608" s="38"/>
      <c r="AY608" s="38"/>
      <c r="AZ608" s="38"/>
      <c r="BA608" s="38"/>
      <c r="BB608" s="38"/>
    </row>
    <row r="609" spans="1:54">
      <c r="A609" s="38" t="s">
        <v>4262</v>
      </c>
      <c r="B609" s="38">
        <v>0.33</v>
      </c>
      <c r="C609" s="38" t="s">
        <v>3409</v>
      </c>
      <c r="D609" s="38" t="s">
        <v>4250</v>
      </c>
      <c r="E609" s="38" t="s">
        <v>3399</v>
      </c>
      <c r="F609" s="38"/>
      <c r="G609" s="38"/>
      <c r="H609" s="38" t="s">
        <v>4268</v>
      </c>
      <c r="I609" s="38" t="s">
        <v>3400</v>
      </c>
      <c r="J609" s="38" t="s">
        <v>4252</v>
      </c>
      <c r="K609" s="38"/>
      <c r="L609" s="38">
        <v>650</v>
      </c>
      <c r="M609" s="38">
        <v>21.8</v>
      </c>
      <c r="N609" s="38"/>
      <c r="O609" s="38">
        <v>71.400000000000006</v>
      </c>
      <c r="P609" s="38">
        <v>1.2</v>
      </c>
      <c r="Q609" s="38">
        <v>1.1000000000000001</v>
      </c>
      <c r="R609" s="38">
        <v>4.5999999999999996</v>
      </c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38"/>
      <c r="AP609" s="38"/>
      <c r="AQ609" s="38">
        <v>19</v>
      </c>
      <c r="AR609" s="38"/>
      <c r="AS609" s="38"/>
      <c r="AT609" s="38"/>
      <c r="AU609" s="38"/>
      <c r="AV609" s="38"/>
      <c r="AW609" s="38"/>
      <c r="AX609" s="38"/>
      <c r="AY609" s="38"/>
      <c r="AZ609" s="38"/>
      <c r="BA609" s="38"/>
      <c r="BB609" s="38"/>
    </row>
    <row r="610" spans="1:54">
      <c r="A610" s="38" t="s">
        <v>4249</v>
      </c>
      <c r="B610" s="38">
        <v>0.66</v>
      </c>
      <c r="C610" s="38" t="s">
        <v>3409</v>
      </c>
      <c r="D610" s="38"/>
      <c r="E610" s="38" t="s">
        <v>3399</v>
      </c>
      <c r="F610" s="38"/>
      <c r="G610" s="38"/>
      <c r="H610" s="38" t="s">
        <v>4269</v>
      </c>
      <c r="I610" s="38" t="s">
        <v>3400</v>
      </c>
      <c r="J610" s="38" t="s">
        <v>4252</v>
      </c>
      <c r="K610" s="38"/>
      <c r="L610" s="38">
        <v>350</v>
      </c>
      <c r="M610" s="38">
        <v>15.2</v>
      </c>
      <c r="N610" s="38"/>
      <c r="O610" s="38">
        <v>62</v>
      </c>
      <c r="P610" s="38">
        <v>1.1000000000000001</v>
      </c>
      <c r="Q610" s="38">
        <v>4.7</v>
      </c>
      <c r="R610" s="38">
        <v>16.899999999999999</v>
      </c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38"/>
      <c r="AP610" s="38"/>
      <c r="AQ610" s="38">
        <v>40.6</v>
      </c>
      <c r="AR610" s="38"/>
      <c r="AS610" s="38"/>
      <c r="AT610" s="38"/>
      <c r="AU610" s="38"/>
      <c r="AV610" s="38"/>
      <c r="AW610" s="38"/>
      <c r="AX610" s="38"/>
      <c r="AY610" s="38"/>
      <c r="AZ610" s="38"/>
      <c r="BA610" s="38"/>
      <c r="BB610" s="38"/>
    </row>
    <row r="611" spans="1:54">
      <c r="A611" s="38" t="s">
        <v>4253</v>
      </c>
      <c r="B611" s="38">
        <v>0.66</v>
      </c>
      <c r="C611" s="38" t="s">
        <v>3409</v>
      </c>
      <c r="D611" s="38" t="s">
        <v>4250</v>
      </c>
      <c r="E611" s="38" t="s">
        <v>3399</v>
      </c>
      <c r="F611" s="38"/>
      <c r="G611" s="38"/>
      <c r="H611" s="38" t="s">
        <v>4270</v>
      </c>
      <c r="I611" s="38" t="s">
        <v>3400</v>
      </c>
      <c r="J611" s="38" t="s">
        <v>4252</v>
      </c>
      <c r="K611" s="38"/>
      <c r="L611" s="38">
        <v>350</v>
      </c>
      <c r="M611" s="38">
        <v>16</v>
      </c>
      <c r="N611" s="38"/>
      <c r="O611" s="38">
        <v>62.9</v>
      </c>
      <c r="P611" s="38">
        <v>1.1000000000000001</v>
      </c>
      <c r="Q611" s="38">
        <v>4.5999999999999996</v>
      </c>
      <c r="R611" s="38">
        <v>15.4</v>
      </c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38"/>
      <c r="AP611" s="38"/>
      <c r="AQ611" s="38">
        <v>36.9</v>
      </c>
      <c r="AR611" s="38"/>
      <c r="AS611" s="38"/>
      <c r="AT611" s="38"/>
      <c r="AU611" s="38"/>
      <c r="AV611" s="38"/>
      <c r="AW611" s="38"/>
      <c r="AX611" s="38"/>
      <c r="AY611" s="38"/>
      <c r="AZ611" s="38"/>
      <c r="BA611" s="38"/>
      <c r="BB611" s="38"/>
    </row>
    <row r="612" spans="1:54">
      <c r="A612" s="38" t="s">
        <v>4256</v>
      </c>
      <c r="B612" s="38">
        <v>0.66</v>
      </c>
      <c r="C612" s="38" t="s">
        <v>3409</v>
      </c>
      <c r="D612" s="38" t="s">
        <v>4250</v>
      </c>
      <c r="E612" s="38" t="s">
        <v>3399</v>
      </c>
      <c r="F612" s="38"/>
      <c r="G612" s="38"/>
      <c r="H612" s="38" t="s">
        <v>4271</v>
      </c>
      <c r="I612" s="38" t="s">
        <v>3400</v>
      </c>
      <c r="J612" s="38" t="s">
        <v>4252</v>
      </c>
      <c r="K612" s="38"/>
      <c r="L612" s="38">
        <v>350</v>
      </c>
      <c r="M612" s="38">
        <v>16.600000000000001</v>
      </c>
      <c r="N612" s="38"/>
      <c r="O612" s="38">
        <v>64.599999999999994</v>
      </c>
      <c r="P612" s="38">
        <v>1.1000000000000001</v>
      </c>
      <c r="Q612" s="38">
        <v>4.3</v>
      </c>
      <c r="R612" s="38">
        <v>13.4</v>
      </c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38"/>
      <c r="AP612" s="38"/>
      <c r="AQ612" s="38">
        <v>33</v>
      </c>
      <c r="AR612" s="38"/>
      <c r="AS612" s="38"/>
      <c r="AT612" s="38"/>
      <c r="AU612" s="38"/>
      <c r="AV612" s="38"/>
      <c r="AW612" s="38"/>
      <c r="AX612" s="38"/>
      <c r="AY612" s="38"/>
      <c r="AZ612" s="38"/>
      <c r="BA612" s="38"/>
      <c r="BB612" s="38"/>
    </row>
    <row r="613" spans="1:54">
      <c r="A613" s="38" t="s">
        <v>4258</v>
      </c>
      <c r="B613" s="38">
        <v>0.66</v>
      </c>
      <c r="C613" s="38" t="s">
        <v>3409</v>
      </c>
      <c r="D613" s="38" t="s">
        <v>4250</v>
      </c>
      <c r="E613" s="38" t="s">
        <v>3399</v>
      </c>
      <c r="F613" s="38"/>
      <c r="G613" s="38"/>
      <c r="H613" s="38" t="s">
        <v>4272</v>
      </c>
      <c r="I613" s="38" t="s">
        <v>3400</v>
      </c>
      <c r="J613" s="38" t="s">
        <v>4252</v>
      </c>
      <c r="K613" s="38"/>
      <c r="L613" s="38">
        <v>650</v>
      </c>
      <c r="M613" s="38">
        <v>20.5</v>
      </c>
      <c r="N613" s="38"/>
      <c r="O613" s="38">
        <v>71.8</v>
      </c>
      <c r="P613" s="38">
        <v>1</v>
      </c>
      <c r="Q613" s="38">
        <v>1.6</v>
      </c>
      <c r="R613" s="38">
        <v>5.0999999999999996</v>
      </c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38"/>
      <c r="AP613" s="38"/>
      <c r="AQ613" s="38">
        <v>20</v>
      </c>
      <c r="AR613" s="38"/>
      <c r="AS613" s="38"/>
      <c r="AT613" s="38"/>
      <c r="AU613" s="38"/>
      <c r="AV613" s="38"/>
      <c r="AW613" s="38"/>
      <c r="AX613" s="38"/>
      <c r="AY613" s="38"/>
      <c r="AZ613" s="38"/>
      <c r="BA613" s="38"/>
      <c r="BB613" s="38"/>
    </row>
    <row r="614" spans="1:54">
      <c r="A614" s="38" t="s">
        <v>4260</v>
      </c>
      <c r="B614" s="38">
        <v>0.66</v>
      </c>
      <c r="C614" s="38" t="s">
        <v>3409</v>
      </c>
      <c r="D614" s="38" t="s">
        <v>4250</v>
      </c>
      <c r="E614" s="38" t="s">
        <v>3399</v>
      </c>
      <c r="F614" s="38"/>
      <c r="G614" s="38"/>
      <c r="H614" s="38" t="s">
        <v>4273</v>
      </c>
      <c r="I614" s="38" t="s">
        <v>3400</v>
      </c>
      <c r="J614" s="38" t="s">
        <v>4252</v>
      </c>
      <c r="K614" s="38"/>
      <c r="L614" s="38">
        <v>650</v>
      </c>
      <c r="M614" s="38">
        <v>21.4</v>
      </c>
      <c r="N614" s="38"/>
      <c r="O614" s="38">
        <v>68.8</v>
      </c>
      <c r="P614" s="38">
        <v>1.1000000000000001</v>
      </c>
      <c r="Q614" s="38">
        <v>1.4</v>
      </c>
      <c r="R614" s="38">
        <v>7.4</v>
      </c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38"/>
      <c r="AP614" s="38"/>
      <c r="AQ614" s="38">
        <v>22.5</v>
      </c>
      <c r="AR614" s="38"/>
      <c r="AS614" s="38"/>
      <c r="AT614" s="38"/>
      <c r="AU614" s="38"/>
      <c r="AV614" s="38"/>
      <c r="AW614" s="38"/>
      <c r="AX614" s="38"/>
      <c r="AY614" s="38"/>
      <c r="AZ614" s="38"/>
      <c r="BA614" s="38"/>
      <c r="BB614" s="38"/>
    </row>
    <row r="615" spans="1:54">
      <c r="A615" s="38" t="s">
        <v>4262</v>
      </c>
      <c r="B615" s="38">
        <v>0.66</v>
      </c>
      <c r="C615" s="38" t="s">
        <v>3409</v>
      </c>
      <c r="D615" s="38" t="s">
        <v>4250</v>
      </c>
      <c r="E615" s="38" t="s">
        <v>3399</v>
      </c>
      <c r="F615" s="38"/>
      <c r="G615" s="38"/>
      <c r="H615" s="38" t="s">
        <v>4274</v>
      </c>
      <c r="I615" s="38" t="s">
        <v>3400</v>
      </c>
      <c r="J615" s="38" t="s">
        <v>4252</v>
      </c>
      <c r="K615" s="38"/>
      <c r="L615" s="38">
        <v>650</v>
      </c>
      <c r="M615" s="38">
        <v>22</v>
      </c>
      <c r="N615" s="38"/>
      <c r="O615" s="38">
        <v>72.5</v>
      </c>
      <c r="P615" s="38">
        <v>1.1000000000000001</v>
      </c>
      <c r="Q615" s="38">
        <v>1.3</v>
      </c>
      <c r="R615" s="38">
        <v>3</v>
      </c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38"/>
      <c r="AP615" s="38"/>
      <c r="AQ615" s="38">
        <v>16.2</v>
      </c>
      <c r="AR615" s="38"/>
      <c r="AS615" s="38"/>
      <c r="AT615" s="38"/>
      <c r="AU615" s="38"/>
      <c r="AV615" s="38"/>
      <c r="AW615" s="38"/>
      <c r="AX615" s="38"/>
      <c r="AY615" s="38"/>
      <c r="AZ615" s="38"/>
      <c r="BA615" s="38"/>
      <c r="BB615" s="38"/>
    </row>
    <row r="616" spans="1:54">
      <c r="A616" s="38" t="s">
        <v>4275</v>
      </c>
      <c r="B616" s="38">
        <v>0</v>
      </c>
      <c r="C616" s="38" t="s">
        <v>3455</v>
      </c>
      <c r="D616" s="38" t="s">
        <v>4276</v>
      </c>
      <c r="E616" s="38" t="s">
        <v>3399</v>
      </c>
      <c r="F616" s="38"/>
      <c r="G616" s="38"/>
      <c r="H616" s="38" t="s">
        <v>4277</v>
      </c>
      <c r="I616" s="38" t="s">
        <v>3400</v>
      </c>
      <c r="J616" s="38" t="s">
        <v>4252</v>
      </c>
      <c r="K616" s="38"/>
      <c r="L616" s="38">
        <v>350</v>
      </c>
      <c r="M616" s="38">
        <v>0.8</v>
      </c>
      <c r="N616" s="38"/>
      <c r="O616" s="38">
        <v>67.3</v>
      </c>
      <c r="P616" s="38">
        <v>0</v>
      </c>
      <c r="Q616" s="38">
        <v>4.5</v>
      </c>
      <c r="R616" s="38">
        <v>27.5</v>
      </c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38"/>
      <c r="AP616" s="38"/>
      <c r="AQ616" s="38">
        <v>50.7</v>
      </c>
      <c r="AR616" s="38"/>
      <c r="AS616" s="38"/>
      <c r="AT616" s="38"/>
      <c r="AU616" s="38"/>
      <c r="AV616" s="38"/>
      <c r="AW616" s="38"/>
      <c r="AX616" s="38"/>
      <c r="AY616" s="38"/>
      <c r="AZ616" s="38"/>
      <c r="BA616" s="38"/>
      <c r="BB616" s="38"/>
    </row>
    <row r="617" spans="1:54">
      <c r="A617" s="38" t="s">
        <v>4278</v>
      </c>
      <c r="B617" s="38">
        <v>0</v>
      </c>
      <c r="C617" s="38" t="s">
        <v>3455</v>
      </c>
      <c r="D617" s="38" t="s">
        <v>4276</v>
      </c>
      <c r="E617" s="38" t="s">
        <v>3399</v>
      </c>
      <c r="F617" s="38"/>
      <c r="G617" s="38"/>
      <c r="H617" s="38" t="s">
        <v>4261</v>
      </c>
      <c r="I617" s="38" t="s">
        <v>3400</v>
      </c>
      <c r="J617" s="38" t="s">
        <v>4252</v>
      </c>
      <c r="K617" s="38"/>
      <c r="L617" s="38">
        <v>350</v>
      </c>
      <c r="M617" s="38">
        <v>1.2</v>
      </c>
      <c r="N617" s="38"/>
      <c r="O617" s="38">
        <v>63.5</v>
      </c>
      <c r="P617" s="38">
        <v>0.1</v>
      </c>
      <c r="Q617" s="38">
        <v>5.3</v>
      </c>
      <c r="R617" s="38">
        <v>30</v>
      </c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38"/>
      <c r="AP617" s="38"/>
      <c r="AQ617" s="38">
        <v>48</v>
      </c>
      <c r="AR617" s="38"/>
      <c r="AS617" s="38"/>
      <c r="AT617" s="38"/>
      <c r="AU617" s="38"/>
      <c r="AV617" s="38"/>
      <c r="AW617" s="38"/>
      <c r="AX617" s="38"/>
      <c r="AY617" s="38"/>
      <c r="AZ617" s="38"/>
      <c r="BA617" s="38"/>
      <c r="BB617" s="38"/>
    </row>
    <row r="618" spans="1:54">
      <c r="A618" s="38" t="s">
        <v>4279</v>
      </c>
      <c r="B618" s="38">
        <v>0</v>
      </c>
      <c r="C618" s="38" t="s">
        <v>3455</v>
      </c>
      <c r="D618" s="38" t="s">
        <v>4276</v>
      </c>
      <c r="E618" s="38" t="s">
        <v>3399</v>
      </c>
      <c r="F618" s="38"/>
      <c r="G618" s="38"/>
      <c r="H618" s="38" t="s">
        <v>4280</v>
      </c>
      <c r="I618" s="38" t="s">
        <v>3400</v>
      </c>
      <c r="J618" s="38" t="s">
        <v>4252</v>
      </c>
      <c r="K618" s="38"/>
      <c r="L618" s="38">
        <v>350</v>
      </c>
      <c r="M618" s="38">
        <v>1.2</v>
      </c>
      <c r="N618" s="38"/>
      <c r="O618" s="38">
        <v>68.400000000000006</v>
      </c>
      <c r="P618" s="38">
        <v>0</v>
      </c>
      <c r="Q618" s="38">
        <v>4.5999999999999996</v>
      </c>
      <c r="R618" s="38">
        <v>30</v>
      </c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38"/>
      <c r="AP618" s="38"/>
      <c r="AQ618" s="38">
        <v>44.2</v>
      </c>
      <c r="AR618" s="38"/>
      <c r="AS618" s="38"/>
      <c r="AT618" s="38"/>
      <c r="AU618" s="38"/>
      <c r="AV618" s="38"/>
      <c r="AW618" s="38"/>
      <c r="AX618" s="38"/>
      <c r="AY618" s="38"/>
      <c r="AZ618" s="38"/>
      <c r="BA618" s="38"/>
      <c r="BB618" s="38"/>
    </row>
    <row r="619" spans="1:54">
      <c r="A619" s="38" t="s">
        <v>4281</v>
      </c>
      <c r="B619" s="38">
        <v>0</v>
      </c>
      <c r="C619" s="38" t="s">
        <v>3455</v>
      </c>
      <c r="D619" s="38" t="s">
        <v>4276</v>
      </c>
      <c r="E619" s="38" t="s">
        <v>3399</v>
      </c>
      <c r="F619" s="38"/>
      <c r="G619" s="38"/>
      <c r="H619" s="38" t="s">
        <v>4259</v>
      </c>
      <c r="I619" s="38" t="s">
        <v>3400</v>
      </c>
      <c r="J619" s="38" t="s">
        <v>4252</v>
      </c>
      <c r="K619" s="38"/>
      <c r="L619" s="38">
        <v>650</v>
      </c>
      <c r="M619" s="38">
        <v>1.4</v>
      </c>
      <c r="N619" s="38"/>
      <c r="O619" s="38">
        <v>90.4</v>
      </c>
      <c r="P619" s="38">
        <v>0.1</v>
      </c>
      <c r="Q619" s="38">
        <v>2.2000000000000002</v>
      </c>
      <c r="R619" s="38">
        <v>5.9</v>
      </c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38"/>
      <c r="AP619" s="38"/>
      <c r="AQ619" s="38">
        <v>8.1</v>
      </c>
      <c r="AR619" s="38"/>
      <c r="AS619" s="38"/>
      <c r="AT619" s="38"/>
      <c r="AU619" s="38"/>
      <c r="AV619" s="38"/>
      <c r="AW619" s="38"/>
      <c r="AX619" s="38"/>
      <c r="AY619" s="38"/>
      <c r="AZ619" s="38"/>
      <c r="BA619" s="38"/>
      <c r="BB619" s="38"/>
    </row>
    <row r="620" spans="1:54">
      <c r="A620" s="38" t="s">
        <v>4282</v>
      </c>
      <c r="B620" s="38">
        <v>0</v>
      </c>
      <c r="C620" s="38" t="s">
        <v>3471</v>
      </c>
      <c r="D620" s="38" t="s">
        <v>4276</v>
      </c>
      <c r="E620" s="38" t="s">
        <v>3399</v>
      </c>
      <c r="F620" s="38"/>
      <c r="G620" s="38"/>
      <c r="H620" s="38" t="s">
        <v>4261</v>
      </c>
      <c r="I620" s="38" t="s">
        <v>3400</v>
      </c>
      <c r="J620" s="38" t="s">
        <v>4252</v>
      </c>
      <c r="K620" s="38"/>
      <c r="L620" s="38">
        <v>650</v>
      </c>
      <c r="M620" s="38">
        <v>2.1</v>
      </c>
      <c r="N620" s="38"/>
      <c r="O620" s="38">
        <v>89.8</v>
      </c>
      <c r="P620" s="38">
        <v>0.1</v>
      </c>
      <c r="Q620" s="38">
        <v>2.2000000000000002</v>
      </c>
      <c r="R620" s="38">
        <v>5.9</v>
      </c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38"/>
      <c r="AP620" s="38"/>
      <c r="AQ620" s="38">
        <v>7.5</v>
      </c>
      <c r="AR620" s="38"/>
      <c r="AS620" s="38"/>
      <c r="AT620" s="38"/>
      <c r="AU620" s="38"/>
      <c r="AV620" s="38"/>
      <c r="AW620" s="38"/>
      <c r="AX620" s="38"/>
      <c r="AY620" s="38"/>
      <c r="AZ620" s="38"/>
      <c r="BA620" s="38"/>
      <c r="BB620" s="38"/>
    </row>
    <row r="621" spans="1:54">
      <c r="A621" s="38" t="s">
        <v>4283</v>
      </c>
      <c r="B621" s="38">
        <v>0</v>
      </c>
      <c r="C621" s="38" t="s">
        <v>3455</v>
      </c>
      <c r="D621" s="38" t="s">
        <v>4276</v>
      </c>
      <c r="E621" s="38" t="s">
        <v>3399</v>
      </c>
      <c r="F621" s="38"/>
      <c r="G621" s="38"/>
      <c r="H621" s="38" t="s">
        <v>4263</v>
      </c>
      <c r="I621" s="38" t="s">
        <v>3400</v>
      </c>
      <c r="J621" s="38" t="s">
        <v>4252</v>
      </c>
      <c r="K621" s="38"/>
      <c r="L621" s="38">
        <v>650</v>
      </c>
      <c r="M621" s="38">
        <v>2</v>
      </c>
      <c r="N621" s="38"/>
      <c r="O621" s="38">
        <v>90</v>
      </c>
      <c r="P621" s="38">
        <v>0.1</v>
      </c>
      <c r="Q621" s="38">
        <v>2</v>
      </c>
      <c r="R621" s="38">
        <v>5.9</v>
      </c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38"/>
      <c r="AP621" s="38"/>
      <c r="AQ621" s="38">
        <v>6.7</v>
      </c>
      <c r="AR621" s="38"/>
      <c r="AS621" s="38"/>
      <c r="AT621" s="38"/>
      <c r="AU621" s="38"/>
      <c r="AV621" s="38"/>
      <c r="AW621" s="38"/>
      <c r="AX621" s="38"/>
      <c r="AY621" s="38"/>
      <c r="AZ621" s="38"/>
      <c r="BA621" s="38"/>
      <c r="BB621" s="38"/>
    </row>
    <row r="622" spans="1:54">
      <c r="A622" s="38" t="s">
        <v>4275</v>
      </c>
      <c r="B622" s="38">
        <v>0.33</v>
      </c>
      <c r="C622" s="38" t="s">
        <v>3455</v>
      </c>
      <c r="D622" s="38" t="s">
        <v>4276</v>
      </c>
      <c r="E622" s="38" t="s">
        <v>3399</v>
      </c>
      <c r="F622" s="38"/>
      <c r="G622" s="38"/>
      <c r="H622" s="38" t="s">
        <v>4264</v>
      </c>
      <c r="I622" s="38" t="s">
        <v>3400</v>
      </c>
      <c r="J622" s="38" t="s">
        <v>4252</v>
      </c>
      <c r="K622" s="38"/>
      <c r="L622" s="38">
        <v>350</v>
      </c>
      <c r="M622" s="38">
        <v>1.4</v>
      </c>
      <c r="N622" s="38"/>
      <c r="O622" s="38">
        <v>71.400000000000006</v>
      </c>
      <c r="P622" s="38">
        <v>0</v>
      </c>
      <c r="Q622" s="38">
        <v>4.5</v>
      </c>
      <c r="R622" s="38">
        <v>22.7</v>
      </c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38"/>
      <c r="AP622" s="38"/>
      <c r="AQ622" s="38">
        <v>40.700000000000003</v>
      </c>
      <c r="AR622" s="38"/>
      <c r="AS622" s="38"/>
      <c r="AT622" s="38"/>
      <c r="AU622" s="38"/>
      <c r="AV622" s="38"/>
      <c r="AW622" s="38"/>
      <c r="AX622" s="38"/>
      <c r="AY622" s="38"/>
      <c r="AZ622" s="38"/>
      <c r="BA622" s="38"/>
      <c r="BB622" s="38"/>
    </row>
    <row r="623" spans="1:54">
      <c r="A623" s="38" t="s">
        <v>4278</v>
      </c>
      <c r="B623" s="38">
        <v>0.33</v>
      </c>
      <c r="C623" s="38" t="s">
        <v>3455</v>
      </c>
      <c r="D623" s="38" t="s">
        <v>4276</v>
      </c>
      <c r="E623" s="38" t="s">
        <v>3399</v>
      </c>
      <c r="F623" s="38"/>
      <c r="G623" s="38"/>
      <c r="H623" s="38" t="s">
        <v>4265</v>
      </c>
      <c r="I623" s="38" t="s">
        <v>3400</v>
      </c>
      <c r="J623" s="38" t="s">
        <v>4252</v>
      </c>
      <c r="K623" s="38"/>
      <c r="L623" s="38">
        <v>350</v>
      </c>
      <c r="M623" s="38">
        <v>1.2</v>
      </c>
      <c r="N623" s="38"/>
      <c r="O623" s="38">
        <v>70.599999999999994</v>
      </c>
      <c r="P623" s="38">
        <v>0.1</v>
      </c>
      <c r="Q623" s="38">
        <v>5.5</v>
      </c>
      <c r="R623" s="38">
        <v>22.6</v>
      </c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38"/>
      <c r="AP623" s="38"/>
      <c r="AQ623" s="38">
        <v>42.4</v>
      </c>
      <c r="AR623" s="38"/>
      <c r="AS623" s="38"/>
      <c r="AT623" s="38"/>
      <c r="AU623" s="38"/>
      <c r="AV623" s="38"/>
      <c r="AW623" s="38"/>
      <c r="AX623" s="38"/>
      <c r="AY623" s="38"/>
      <c r="AZ623" s="38"/>
      <c r="BA623" s="38"/>
      <c r="BB623" s="38"/>
    </row>
    <row r="624" spans="1:54">
      <c r="A624" s="38" t="s">
        <v>4279</v>
      </c>
      <c r="B624" s="38">
        <v>0.33</v>
      </c>
      <c r="C624" s="38" t="s">
        <v>3455</v>
      </c>
      <c r="D624" s="38" t="s">
        <v>4276</v>
      </c>
      <c r="E624" s="38" t="s">
        <v>3399</v>
      </c>
      <c r="F624" s="38"/>
      <c r="G624" s="38"/>
      <c r="H624" s="38" t="s">
        <v>4284</v>
      </c>
      <c r="I624" s="38" t="s">
        <v>3400</v>
      </c>
      <c r="J624" s="38" t="s">
        <v>4252</v>
      </c>
      <c r="K624" s="38"/>
      <c r="L624" s="38">
        <v>350</v>
      </c>
      <c r="M624" s="38">
        <v>1.4</v>
      </c>
      <c r="N624" s="38"/>
      <c r="O624" s="38">
        <v>71.400000000000006</v>
      </c>
      <c r="P624" s="38">
        <v>0</v>
      </c>
      <c r="Q624" s="38">
        <v>4.5</v>
      </c>
      <c r="R624" s="38">
        <v>22.7</v>
      </c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38"/>
      <c r="AP624" s="38"/>
      <c r="AQ624" s="38">
        <v>38.4</v>
      </c>
      <c r="AR624" s="38"/>
      <c r="AS624" s="38"/>
      <c r="AT624" s="38"/>
      <c r="AU624" s="38"/>
      <c r="AV624" s="38"/>
      <c r="AW624" s="38"/>
      <c r="AX624" s="38"/>
      <c r="AY624" s="38"/>
      <c r="AZ624" s="38"/>
      <c r="BA624" s="38"/>
      <c r="BB624" s="38"/>
    </row>
    <row r="625" spans="1:54">
      <c r="A625" s="38" t="s">
        <v>4281</v>
      </c>
      <c r="B625" s="38">
        <v>0.33</v>
      </c>
      <c r="C625" s="38" t="s">
        <v>3455</v>
      </c>
      <c r="D625" s="38" t="s">
        <v>4276</v>
      </c>
      <c r="E625" s="38" t="s">
        <v>3399</v>
      </c>
      <c r="F625" s="38"/>
      <c r="G625" s="38"/>
      <c r="H625" s="38" t="s">
        <v>4264</v>
      </c>
      <c r="I625" s="38" t="s">
        <v>3400</v>
      </c>
      <c r="J625" s="38" t="s">
        <v>4252</v>
      </c>
      <c r="K625" s="38"/>
      <c r="L625" s="38">
        <v>650</v>
      </c>
      <c r="M625" s="38">
        <v>2.2000000000000002</v>
      </c>
      <c r="N625" s="38"/>
      <c r="O625" s="38">
        <v>92.8</v>
      </c>
      <c r="P625" s="38">
        <v>0</v>
      </c>
      <c r="Q625" s="38">
        <v>1.7</v>
      </c>
      <c r="R625" s="38">
        <v>3.3</v>
      </c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  <c r="AO625" s="38"/>
      <c r="AP625" s="38"/>
      <c r="AQ625" s="38">
        <v>8.8000000000000007</v>
      </c>
      <c r="AR625" s="38"/>
      <c r="AS625" s="38"/>
      <c r="AT625" s="38"/>
      <c r="AU625" s="38"/>
      <c r="AV625" s="38"/>
      <c r="AW625" s="38"/>
      <c r="AX625" s="38"/>
      <c r="AY625" s="38"/>
      <c r="AZ625" s="38"/>
      <c r="BA625" s="38"/>
      <c r="BB625" s="38"/>
    </row>
    <row r="626" spans="1:54">
      <c r="A626" s="38" t="s">
        <v>4282</v>
      </c>
      <c r="B626" s="38">
        <v>0.33</v>
      </c>
      <c r="C626" s="38" t="s">
        <v>3455</v>
      </c>
      <c r="D626" s="38" t="s">
        <v>4276</v>
      </c>
      <c r="E626" s="38" t="s">
        <v>3399</v>
      </c>
      <c r="F626" s="38"/>
      <c r="G626" s="38"/>
      <c r="H626" s="38" t="s">
        <v>4265</v>
      </c>
      <c r="I626" s="38" t="s">
        <v>3400</v>
      </c>
      <c r="J626" s="38" t="s">
        <v>4252</v>
      </c>
      <c r="K626" s="38"/>
      <c r="L626" s="38">
        <v>650</v>
      </c>
      <c r="M626" s="38">
        <v>2.8</v>
      </c>
      <c r="N626" s="38"/>
      <c r="O626" s="38">
        <v>87.9</v>
      </c>
      <c r="P626" s="38">
        <v>0.1</v>
      </c>
      <c r="Q626" s="38">
        <v>2.1</v>
      </c>
      <c r="R626" s="38">
        <v>7.2</v>
      </c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  <c r="AO626" s="38"/>
      <c r="AP626" s="38"/>
      <c r="AQ626" s="38">
        <v>8.8000000000000007</v>
      </c>
      <c r="AR626" s="38"/>
      <c r="AS626" s="38"/>
      <c r="AT626" s="38"/>
      <c r="AU626" s="38"/>
      <c r="AV626" s="38"/>
      <c r="AW626" s="38"/>
      <c r="AX626" s="38"/>
      <c r="AY626" s="38"/>
      <c r="AZ626" s="38"/>
      <c r="BA626" s="38"/>
      <c r="BB626" s="38"/>
    </row>
    <row r="627" spans="1:54">
      <c r="A627" s="38" t="s">
        <v>4283</v>
      </c>
      <c r="B627" s="38">
        <v>0.33</v>
      </c>
      <c r="C627" s="38" t="s">
        <v>3455</v>
      </c>
      <c r="D627" s="38" t="s">
        <v>4276</v>
      </c>
      <c r="E627" s="38" t="s">
        <v>3399</v>
      </c>
      <c r="F627" s="38"/>
      <c r="G627" s="38"/>
      <c r="H627" s="38" t="s">
        <v>4285</v>
      </c>
      <c r="I627" s="38" t="s">
        <v>3400</v>
      </c>
      <c r="J627" s="38" t="s">
        <v>4252</v>
      </c>
      <c r="K627" s="38"/>
      <c r="L627" s="38">
        <v>650</v>
      </c>
      <c r="M627" s="38">
        <v>1.5</v>
      </c>
      <c r="N627" s="38"/>
      <c r="O627" s="38">
        <v>90.2</v>
      </c>
      <c r="P627" s="38">
        <v>0</v>
      </c>
      <c r="Q627" s="38">
        <v>1.8</v>
      </c>
      <c r="R627" s="38">
        <v>6.4</v>
      </c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  <c r="AO627" s="38"/>
      <c r="AP627" s="38"/>
      <c r="AQ627" s="38">
        <v>9.1</v>
      </c>
      <c r="AR627" s="38"/>
      <c r="AS627" s="38"/>
      <c r="AT627" s="38"/>
      <c r="AU627" s="38"/>
      <c r="AV627" s="38"/>
      <c r="AW627" s="38"/>
      <c r="AX627" s="38"/>
      <c r="AY627" s="38"/>
      <c r="AZ627" s="38"/>
      <c r="BA627" s="38"/>
      <c r="BB627" s="38"/>
    </row>
    <row r="628" spans="1:54">
      <c r="A628" s="38" t="s">
        <v>4275</v>
      </c>
      <c r="B628" s="38">
        <v>0.66</v>
      </c>
      <c r="C628" s="38" t="s">
        <v>3455</v>
      </c>
      <c r="D628" s="38" t="s">
        <v>4276</v>
      </c>
      <c r="E628" s="38" t="s">
        <v>3399</v>
      </c>
      <c r="F628" s="38"/>
      <c r="G628" s="38"/>
      <c r="H628" s="38" t="s">
        <v>4286</v>
      </c>
      <c r="I628" s="38" t="s">
        <v>3400</v>
      </c>
      <c r="J628" s="38" t="s">
        <v>4252</v>
      </c>
      <c r="K628" s="38"/>
      <c r="L628" s="38">
        <v>350</v>
      </c>
      <c r="M628" s="38">
        <v>1.2</v>
      </c>
      <c r="N628" s="38"/>
      <c r="O628" s="38">
        <v>70.099999999999994</v>
      </c>
      <c r="P628" s="38">
        <v>0.1</v>
      </c>
      <c r="Q628" s="38">
        <v>5.0999999999999996</v>
      </c>
      <c r="R628" s="38">
        <v>23.4</v>
      </c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38"/>
      <c r="AP628" s="38"/>
      <c r="AQ628" s="38">
        <v>44.1</v>
      </c>
      <c r="AR628" s="38"/>
      <c r="AS628" s="38"/>
      <c r="AT628" s="38"/>
      <c r="AU628" s="38"/>
      <c r="AV628" s="38"/>
      <c r="AW628" s="38"/>
      <c r="AX628" s="38"/>
      <c r="AY628" s="38"/>
      <c r="AZ628" s="38"/>
      <c r="BA628" s="38"/>
      <c r="BB628" s="38"/>
    </row>
    <row r="629" spans="1:54">
      <c r="A629" s="38" t="s">
        <v>4278</v>
      </c>
      <c r="B629" s="38">
        <v>0.66</v>
      </c>
      <c r="C629" s="38" t="s">
        <v>3455</v>
      </c>
      <c r="D629" s="38" t="s">
        <v>4276</v>
      </c>
      <c r="E629" s="38" t="s">
        <v>3399</v>
      </c>
      <c r="F629" s="38"/>
      <c r="G629" s="38"/>
      <c r="H629" s="38" t="s">
        <v>4273</v>
      </c>
      <c r="I629" s="38" t="s">
        <v>3400</v>
      </c>
      <c r="J629" s="38" t="s">
        <v>4252</v>
      </c>
      <c r="K629" s="38"/>
      <c r="L629" s="38">
        <v>350</v>
      </c>
      <c r="M629" s="38">
        <v>1.3</v>
      </c>
      <c r="N629" s="38"/>
      <c r="O629" s="38">
        <v>76.400000000000006</v>
      </c>
      <c r="P629" s="38">
        <v>0.1</v>
      </c>
      <c r="Q629" s="38">
        <v>5</v>
      </c>
      <c r="R629" s="38">
        <v>17.2</v>
      </c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  <c r="AO629" s="38"/>
      <c r="AP629" s="38"/>
      <c r="AQ629" s="38">
        <v>44.1</v>
      </c>
      <c r="AR629" s="38"/>
      <c r="AS629" s="38"/>
      <c r="AT629" s="38"/>
      <c r="AU629" s="38"/>
      <c r="AV629" s="38"/>
      <c r="AW629" s="38"/>
      <c r="AX629" s="38"/>
      <c r="AY629" s="38"/>
      <c r="AZ629" s="38"/>
      <c r="BA629" s="38"/>
      <c r="BB629" s="38"/>
    </row>
    <row r="630" spans="1:54">
      <c r="A630" s="38" t="s">
        <v>4279</v>
      </c>
      <c r="B630" s="38">
        <v>0.66</v>
      </c>
      <c r="C630" s="38" t="s">
        <v>3455</v>
      </c>
      <c r="D630" s="38" t="s">
        <v>4276</v>
      </c>
      <c r="E630" s="38" t="s">
        <v>3399</v>
      </c>
      <c r="F630" s="38"/>
      <c r="G630" s="38"/>
      <c r="H630" s="38" t="s">
        <v>4287</v>
      </c>
      <c r="I630" s="38" t="s">
        <v>3400</v>
      </c>
      <c r="J630" s="38" t="s">
        <v>4252</v>
      </c>
      <c r="K630" s="38"/>
      <c r="L630" s="38">
        <v>350</v>
      </c>
      <c r="M630" s="38">
        <v>1.5</v>
      </c>
      <c r="N630" s="38"/>
      <c r="O630" s="38">
        <v>67.400000000000006</v>
      </c>
      <c r="P630" s="38">
        <v>0.1</v>
      </c>
      <c r="Q630" s="38">
        <v>5.9</v>
      </c>
      <c r="R630" s="38">
        <v>25.2</v>
      </c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  <c r="AO630" s="38"/>
      <c r="AP630" s="38"/>
      <c r="AQ630" s="38">
        <v>42.6</v>
      </c>
      <c r="AR630" s="38"/>
      <c r="AS630" s="38"/>
      <c r="AT630" s="38"/>
      <c r="AU630" s="38"/>
      <c r="AV630" s="38"/>
      <c r="AW630" s="38"/>
      <c r="AX630" s="38"/>
      <c r="AY630" s="38"/>
      <c r="AZ630" s="38"/>
      <c r="BA630" s="38"/>
      <c r="BB630" s="38"/>
    </row>
    <row r="631" spans="1:54">
      <c r="A631" s="38" t="s">
        <v>4281</v>
      </c>
      <c r="B631" s="38">
        <v>0.66</v>
      </c>
      <c r="C631" s="38" t="s">
        <v>3455</v>
      </c>
      <c r="D631" s="38"/>
      <c r="E631" s="38" t="s">
        <v>3399</v>
      </c>
      <c r="F631" s="38"/>
      <c r="G631" s="38"/>
      <c r="H631" s="38" t="s">
        <v>4272</v>
      </c>
      <c r="I631" s="38" t="s">
        <v>3400</v>
      </c>
      <c r="J631" s="38" t="s">
        <v>4252</v>
      </c>
      <c r="K631" s="38"/>
      <c r="L631" s="38">
        <v>650</v>
      </c>
      <c r="M631" s="38">
        <v>1.5</v>
      </c>
      <c r="N631" s="38"/>
      <c r="O631" s="38">
        <v>90.2</v>
      </c>
      <c r="P631" s="38">
        <v>0</v>
      </c>
      <c r="Q631" s="38">
        <v>1.8</v>
      </c>
      <c r="R631" s="38">
        <v>6.5</v>
      </c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38"/>
      <c r="AP631" s="38"/>
      <c r="AQ631" s="38">
        <v>42.6</v>
      </c>
      <c r="AR631" s="38"/>
      <c r="AS631" s="38"/>
      <c r="AT631" s="38"/>
      <c r="AU631" s="38"/>
      <c r="AV631" s="38"/>
      <c r="AW631" s="38"/>
      <c r="AX631" s="38"/>
      <c r="AY631" s="38"/>
      <c r="AZ631" s="38"/>
      <c r="BA631" s="38"/>
      <c r="BB631" s="38"/>
    </row>
    <row r="632" spans="1:54">
      <c r="A632" s="38" t="s">
        <v>4282</v>
      </c>
      <c r="B632" s="38">
        <v>0.66</v>
      </c>
      <c r="C632" s="38" t="s">
        <v>3455</v>
      </c>
      <c r="D632" s="38" t="s">
        <v>4276</v>
      </c>
      <c r="E632" s="38" t="s">
        <v>3399</v>
      </c>
      <c r="F632" s="38"/>
      <c r="G632" s="38"/>
      <c r="H632" s="38" t="s">
        <v>4273</v>
      </c>
      <c r="I632" s="38" t="s">
        <v>3400</v>
      </c>
      <c r="J632" s="38" t="s">
        <v>4252</v>
      </c>
      <c r="K632" s="38"/>
      <c r="L632" s="38">
        <v>650</v>
      </c>
      <c r="M632" s="38">
        <v>1.8</v>
      </c>
      <c r="N632" s="38"/>
      <c r="O632" s="38">
        <v>87.1</v>
      </c>
      <c r="P632" s="38">
        <v>0</v>
      </c>
      <c r="Q632" s="38">
        <v>1.8</v>
      </c>
      <c r="R632" s="38">
        <v>9.3000000000000007</v>
      </c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  <c r="AN632" s="38"/>
      <c r="AO632" s="38"/>
      <c r="AP632" s="38"/>
      <c r="AQ632" s="38">
        <v>9.1</v>
      </c>
      <c r="AR632" s="38"/>
      <c r="AS632" s="38"/>
      <c r="AT632" s="38"/>
      <c r="AU632" s="38"/>
      <c r="AV632" s="38"/>
      <c r="AW632" s="38"/>
      <c r="AX632" s="38"/>
      <c r="AY632" s="38"/>
      <c r="AZ632" s="38"/>
      <c r="BA632" s="38"/>
      <c r="BB632" s="38"/>
    </row>
    <row r="633" spans="1:54">
      <c r="A633" s="38" t="s">
        <v>4283</v>
      </c>
      <c r="B633" s="38">
        <v>0.66</v>
      </c>
      <c r="C633" s="38" t="s">
        <v>3455</v>
      </c>
      <c r="D633" s="38" t="s">
        <v>4276</v>
      </c>
      <c r="E633" s="38" t="s">
        <v>3399</v>
      </c>
      <c r="F633" s="38"/>
      <c r="G633" s="38"/>
      <c r="H633" s="38" t="s">
        <v>4287</v>
      </c>
      <c r="I633" s="38" t="s">
        <v>3400</v>
      </c>
      <c r="J633" s="38" t="s">
        <v>4252</v>
      </c>
      <c r="K633" s="38"/>
      <c r="L633" s="38">
        <v>650</v>
      </c>
      <c r="M633" s="38">
        <v>1.2</v>
      </c>
      <c r="N633" s="38"/>
      <c r="O633" s="38">
        <v>87.4</v>
      </c>
      <c r="P633" s="38">
        <v>0</v>
      </c>
      <c r="Q633" s="38">
        <v>1.8</v>
      </c>
      <c r="R633" s="38">
        <v>9.6</v>
      </c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  <c r="AM633" s="38"/>
      <c r="AN633" s="38"/>
      <c r="AO633" s="38"/>
      <c r="AP633" s="38"/>
      <c r="AQ633" s="38">
        <v>9.6999999999999993</v>
      </c>
      <c r="AR633" s="38"/>
      <c r="AS633" s="38"/>
      <c r="AT633" s="38"/>
      <c r="AU633" s="38"/>
      <c r="AV633" s="38"/>
      <c r="AW633" s="38"/>
      <c r="AX633" s="38"/>
      <c r="AY633" s="38"/>
      <c r="AZ633" s="38"/>
      <c r="BA633" s="38"/>
      <c r="BB633" s="38"/>
    </row>
    <row r="634" spans="1:54">
      <c r="A634" s="38" t="s">
        <v>4213</v>
      </c>
      <c r="B634" s="38" t="s">
        <v>3409</v>
      </c>
      <c r="C634" s="38" t="s">
        <v>3990</v>
      </c>
      <c r="D634" s="38" t="s">
        <v>3399</v>
      </c>
      <c r="E634" s="38"/>
      <c r="F634" s="38" t="s">
        <v>4288</v>
      </c>
      <c r="G634" s="38" t="s">
        <v>3756</v>
      </c>
      <c r="H634" s="38" t="s">
        <v>3400</v>
      </c>
      <c r="I634" s="38" t="s">
        <v>4289</v>
      </c>
      <c r="J634" s="38"/>
      <c r="K634" s="38">
        <v>400</v>
      </c>
      <c r="L634" s="38">
        <v>2.0699999999999998</v>
      </c>
      <c r="M634" s="38"/>
      <c r="N634" s="38">
        <v>58.51</v>
      </c>
      <c r="O634" s="38">
        <v>0.99</v>
      </c>
      <c r="P634" s="38">
        <v>3.23</v>
      </c>
      <c r="Q634" s="38">
        <v>35.840000000000003</v>
      </c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  <c r="AN634" s="38"/>
      <c r="AO634" s="38"/>
      <c r="AP634" s="38"/>
      <c r="AQ634" s="38">
        <v>427</v>
      </c>
      <c r="AR634" s="38" t="s">
        <v>3792</v>
      </c>
      <c r="AS634" s="38"/>
      <c r="AT634" s="38"/>
      <c r="AU634" s="38"/>
      <c r="AV634" s="38"/>
      <c r="AW634" s="38"/>
      <c r="AX634" s="38"/>
      <c r="AY634" s="38"/>
      <c r="AZ634" s="38"/>
      <c r="BA634" s="38"/>
      <c r="BB634" s="38"/>
    </row>
    <row r="635" spans="1:54">
      <c r="A635" s="38" t="s">
        <v>3991</v>
      </c>
      <c r="B635" s="38" t="s">
        <v>3409</v>
      </c>
      <c r="C635" s="38" t="s">
        <v>1731</v>
      </c>
      <c r="D635" s="38" t="s">
        <v>3399</v>
      </c>
      <c r="E635" s="38"/>
      <c r="F635" s="38" t="s">
        <v>4288</v>
      </c>
      <c r="G635" s="38" t="s">
        <v>3756</v>
      </c>
      <c r="H635" s="38" t="s">
        <v>3400</v>
      </c>
      <c r="I635" s="38" t="s">
        <v>4289</v>
      </c>
      <c r="J635" s="38"/>
      <c r="K635" s="38">
        <v>600</v>
      </c>
      <c r="L635" s="38">
        <v>4.63</v>
      </c>
      <c r="M635" s="38"/>
      <c r="N635" s="38">
        <v>67.72</v>
      </c>
      <c r="O635" s="38">
        <v>0.94</v>
      </c>
      <c r="P635" s="38">
        <v>2.41</v>
      </c>
      <c r="Q635" s="38">
        <v>26.19</v>
      </c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  <c r="AM635" s="38"/>
      <c r="AN635" s="38"/>
      <c r="AO635" s="38"/>
      <c r="AP635" s="38"/>
      <c r="AQ635" s="38">
        <v>537</v>
      </c>
      <c r="AR635" s="38" t="s">
        <v>3792</v>
      </c>
      <c r="AS635" s="38"/>
      <c r="AT635" s="38"/>
      <c r="AU635" s="38"/>
      <c r="AV635" s="38"/>
      <c r="AW635" s="38"/>
      <c r="AX635" s="38"/>
      <c r="AY635" s="38"/>
      <c r="AZ635" s="38"/>
      <c r="BA635" s="38"/>
      <c r="BB635" s="38"/>
    </row>
    <row r="636" spans="1:54">
      <c r="A636" s="38" t="s">
        <v>4290</v>
      </c>
      <c r="B636" s="38" t="s">
        <v>3409</v>
      </c>
      <c r="C636" s="38" t="s">
        <v>1731</v>
      </c>
      <c r="D636" s="38" t="s">
        <v>3399</v>
      </c>
      <c r="E636" s="38"/>
      <c r="F636" s="38" t="s">
        <v>4288</v>
      </c>
      <c r="G636" s="38" t="s">
        <v>3756</v>
      </c>
      <c r="H636" s="38" t="s">
        <v>3400</v>
      </c>
      <c r="I636" s="38" t="s">
        <v>4289</v>
      </c>
      <c r="J636" s="38"/>
      <c r="K636" s="38">
        <v>800</v>
      </c>
      <c r="L636" s="38">
        <v>5.12</v>
      </c>
      <c r="M636" s="38"/>
      <c r="N636" s="38">
        <v>80.08</v>
      </c>
      <c r="O636" s="38">
        <v>1.1299999999999999</v>
      </c>
      <c r="P636" s="38">
        <v>1.71</v>
      </c>
      <c r="Q636" s="38">
        <v>13.23</v>
      </c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  <c r="AL636" s="38"/>
      <c r="AM636" s="38"/>
      <c r="AN636" s="38"/>
      <c r="AO636" s="38"/>
      <c r="AP636" s="38"/>
      <c r="AQ636" s="38">
        <v>652</v>
      </c>
      <c r="AR636" s="38" t="s">
        <v>3792</v>
      </c>
      <c r="AS636" s="38"/>
      <c r="AT636" s="38"/>
      <c r="AU636" s="38"/>
      <c r="AV636" s="38"/>
      <c r="AW636" s="38"/>
      <c r="AX636" s="38"/>
      <c r="AY636" s="38"/>
      <c r="AZ636" s="38"/>
      <c r="BA636" s="38"/>
      <c r="BB636" s="38"/>
    </row>
    <row r="637" spans="1:54">
      <c r="A637" s="38" t="s">
        <v>4291</v>
      </c>
      <c r="B637" s="38" t="s">
        <v>1948</v>
      </c>
      <c r="C637" s="38" t="s">
        <v>4038</v>
      </c>
      <c r="D637" s="38" t="s">
        <v>3399</v>
      </c>
      <c r="E637" s="38"/>
      <c r="F637" s="38"/>
      <c r="G637" s="38" t="s">
        <v>3756</v>
      </c>
      <c r="H637" s="38" t="s">
        <v>3400</v>
      </c>
      <c r="I637" s="38" t="s">
        <v>4292</v>
      </c>
      <c r="J637" s="38"/>
      <c r="K637" s="38">
        <v>450</v>
      </c>
      <c r="L637" s="38"/>
      <c r="M637" s="38"/>
      <c r="N637" s="38">
        <v>21.3</v>
      </c>
      <c r="O637" s="38">
        <v>3.17</v>
      </c>
      <c r="P637" s="38"/>
      <c r="Q637" s="38"/>
      <c r="R637" s="38">
        <v>8.6</v>
      </c>
      <c r="S637" s="38"/>
      <c r="T637" s="38"/>
      <c r="U637" s="38"/>
      <c r="V637" s="38"/>
      <c r="W637" s="38"/>
      <c r="X637" s="38"/>
      <c r="Y637" s="38"/>
      <c r="Z637" s="38">
        <v>4.12</v>
      </c>
      <c r="AA637" s="38">
        <v>92.2</v>
      </c>
      <c r="AB637" s="38"/>
      <c r="AC637" s="38">
        <v>124.8</v>
      </c>
      <c r="AD637" s="38">
        <v>67.5</v>
      </c>
      <c r="AE637" s="38"/>
      <c r="AF637" s="38"/>
      <c r="AG637" s="38"/>
      <c r="AH637" s="38"/>
      <c r="AI637" s="38">
        <v>749</v>
      </c>
      <c r="AJ637" s="38"/>
      <c r="AK637" s="38"/>
      <c r="AL637" s="38"/>
      <c r="AM637" s="38"/>
      <c r="AN637" s="38"/>
      <c r="AO637" s="38"/>
      <c r="AP637" s="38"/>
      <c r="AQ637" s="38"/>
      <c r="AR637" s="38"/>
      <c r="AS637" s="38">
        <v>1310</v>
      </c>
      <c r="AT637" s="38">
        <v>15400</v>
      </c>
      <c r="AU637" s="38"/>
      <c r="AV637" s="38"/>
      <c r="AW637" s="38">
        <v>13800</v>
      </c>
      <c r="AX637" s="38"/>
      <c r="AY637" s="38"/>
      <c r="AZ637" s="38"/>
      <c r="BA637" s="38"/>
      <c r="BB637" s="38"/>
    </row>
    <row r="638" spans="1:54">
      <c r="A638" s="38" t="s">
        <v>4293</v>
      </c>
      <c r="B638" s="38" t="s">
        <v>3431</v>
      </c>
      <c r="C638" s="38" t="s">
        <v>4294</v>
      </c>
      <c r="D638" s="38" t="s">
        <v>3399</v>
      </c>
      <c r="E638" s="38"/>
      <c r="F638" s="38"/>
      <c r="G638" s="38" t="s">
        <v>3756</v>
      </c>
      <c r="H638" s="38" t="s">
        <v>3400</v>
      </c>
      <c r="I638" s="38" t="s">
        <v>4295</v>
      </c>
      <c r="J638" s="38"/>
      <c r="K638" s="38">
        <v>300</v>
      </c>
      <c r="L638" s="38">
        <v>21.4</v>
      </c>
      <c r="M638" s="38"/>
      <c r="N638" s="38">
        <v>69.099999999999994</v>
      </c>
      <c r="O638" s="38">
        <v>2.44</v>
      </c>
      <c r="P638" s="38">
        <v>4.32</v>
      </c>
      <c r="Q638" s="38">
        <v>24.2</v>
      </c>
      <c r="R638" s="38">
        <v>7.06</v>
      </c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  <c r="AN638" s="38"/>
      <c r="AO638" s="38"/>
      <c r="AP638" s="38"/>
      <c r="AQ638" s="38"/>
      <c r="AR638" s="38"/>
      <c r="AS638" s="38"/>
      <c r="AT638" s="38"/>
      <c r="AU638" s="38"/>
      <c r="AV638" s="38"/>
      <c r="AW638" s="38"/>
      <c r="AX638" s="38"/>
      <c r="AY638" s="38"/>
      <c r="AZ638" s="38"/>
      <c r="BA638" s="38"/>
      <c r="BB638" s="38"/>
    </row>
    <row r="639" spans="1:54">
      <c r="A639" s="38" t="s">
        <v>4296</v>
      </c>
      <c r="B639" s="38" t="s">
        <v>3431</v>
      </c>
      <c r="C639" s="38" t="s">
        <v>4294</v>
      </c>
      <c r="D639" s="38" t="s">
        <v>3399</v>
      </c>
      <c r="E639" s="38"/>
      <c r="F639" s="38"/>
      <c r="G639" s="38" t="s">
        <v>3756</v>
      </c>
      <c r="H639" s="38" t="s">
        <v>3400</v>
      </c>
      <c r="I639" s="38" t="s">
        <v>4295</v>
      </c>
      <c r="J639" s="38"/>
      <c r="K639" s="38">
        <v>700</v>
      </c>
      <c r="L639" s="38">
        <v>36.4</v>
      </c>
      <c r="M639" s="38"/>
      <c r="N639" s="38">
        <v>85</v>
      </c>
      <c r="O639" s="38">
        <v>2.15</v>
      </c>
      <c r="P639" s="38">
        <v>1.41</v>
      </c>
      <c r="Q639" s="38">
        <v>11.5</v>
      </c>
      <c r="R639" s="38">
        <v>9.11</v>
      </c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  <c r="AL639" s="38"/>
      <c r="AM639" s="38"/>
      <c r="AN639" s="38"/>
      <c r="AO639" s="38"/>
      <c r="AP639" s="38"/>
      <c r="AQ639" s="38"/>
      <c r="AR639" s="38"/>
      <c r="AS639" s="38"/>
      <c r="AT639" s="38"/>
      <c r="AU639" s="38"/>
      <c r="AV639" s="38"/>
      <c r="AW639" s="38"/>
      <c r="AX639" s="38"/>
      <c r="AY639" s="38"/>
      <c r="AZ639" s="38"/>
      <c r="BA639" s="38"/>
      <c r="BB639" s="38"/>
    </row>
    <row r="640" spans="1:54">
      <c r="A640" s="38" t="s">
        <v>4297</v>
      </c>
      <c r="B640" s="38" t="s">
        <v>3652</v>
      </c>
      <c r="C640" s="38" t="s">
        <v>4298</v>
      </c>
      <c r="D640" s="38" t="s">
        <v>3399</v>
      </c>
      <c r="E640" s="38"/>
      <c r="F640" s="38"/>
      <c r="G640" s="38"/>
      <c r="H640" s="38" t="s">
        <v>3400</v>
      </c>
      <c r="I640" s="38" t="s">
        <v>4299</v>
      </c>
      <c r="J640" s="38"/>
      <c r="K640" s="38">
        <v>350</v>
      </c>
      <c r="L640" s="38"/>
      <c r="M640" s="38"/>
      <c r="N640" s="38">
        <v>49.7</v>
      </c>
      <c r="O640" s="38">
        <v>3.8</v>
      </c>
      <c r="P640" s="38">
        <v>7.4</v>
      </c>
      <c r="Q640" s="38">
        <v>39.1</v>
      </c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M640" s="38"/>
      <c r="AN640" s="38"/>
      <c r="AO640" s="38"/>
      <c r="AP640" s="38"/>
      <c r="AQ640" s="38"/>
      <c r="AR640" s="38"/>
      <c r="AS640" s="38"/>
      <c r="AT640" s="38"/>
      <c r="AU640" s="38"/>
      <c r="AV640" s="38"/>
      <c r="AW640" s="38"/>
      <c r="AX640" s="38"/>
      <c r="AY640" s="38"/>
      <c r="AZ640" s="38"/>
      <c r="BA640" s="38"/>
      <c r="BB640" s="38"/>
    </row>
    <row r="641" spans="1:54">
      <c r="A641" s="38" t="s">
        <v>4300</v>
      </c>
      <c r="B641" s="38" t="s">
        <v>3652</v>
      </c>
      <c r="C641" s="38" t="s">
        <v>4301</v>
      </c>
      <c r="D641" s="38" t="s">
        <v>3399</v>
      </c>
      <c r="E641" s="38"/>
      <c r="F641" s="38"/>
      <c r="G641" s="38" t="s">
        <v>3756</v>
      </c>
      <c r="H641" s="38" t="s">
        <v>3400</v>
      </c>
      <c r="I641" s="38" t="s">
        <v>4302</v>
      </c>
      <c r="J641" s="38"/>
      <c r="K641" s="38">
        <v>250</v>
      </c>
      <c r="L641" s="38">
        <v>14.7</v>
      </c>
      <c r="M641" s="38"/>
      <c r="N641" s="38">
        <v>43.7</v>
      </c>
      <c r="O641" s="38">
        <v>2.76</v>
      </c>
      <c r="P641" s="38">
        <v>10.5</v>
      </c>
      <c r="Q641" s="38">
        <v>28</v>
      </c>
      <c r="R641" s="38">
        <v>6.7</v>
      </c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  <c r="AM641" s="38"/>
      <c r="AN641" s="38"/>
      <c r="AO641" s="38"/>
      <c r="AP641" s="38"/>
      <c r="AQ641" s="38">
        <v>3.8</v>
      </c>
      <c r="AR641" s="38" t="s">
        <v>3792</v>
      </c>
      <c r="AS641" s="38"/>
      <c r="AT641" s="38"/>
      <c r="AU641" s="38"/>
      <c r="AV641" s="38"/>
      <c r="AW641" s="38"/>
      <c r="AX641" s="38"/>
      <c r="AY641" s="38"/>
      <c r="AZ641" s="38"/>
      <c r="BA641" s="38"/>
      <c r="BB641" s="38"/>
    </row>
    <row r="642" spans="1:54">
      <c r="A642" s="38" t="s">
        <v>4303</v>
      </c>
      <c r="B642" s="38" t="s">
        <v>3652</v>
      </c>
      <c r="C642" s="38" t="s">
        <v>4301</v>
      </c>
      <c r="D642" s="38" t="s">
        <v>3399</v>
      </c>
      <c r="E642" s="38"/>
      <c r="F642" s="38"/>
      <c r="G642" s="38" t="s">
        <v>3756</v>
      </c>
      <c r="H642" s="38" t="s">
        <v>3400</v>
      </c>
      <c r="I642" s="38" t="s">
        <v>4302</v>
      </c>
      <c r="J642" s="38"/>
      <c r="K642" s="38">
        <v>400</v>
      </c>
      <c r="L642" s="38">
        <v>28.3</v>
      </c>
      <c r="M642" s="38"/>
      <c r="N642" s="38">
        <v>53.6</v>
      </c>
      <c r="O642" s="38">
        <v>3.22</v>
      </c>
      <c r="P642" s="38">
        <v>5.81</v>
      </c>
      <c r="Q642" s="38">
        <v>8.84</v>
      </c>
      <c r="R642" s="38">
        <v>10.199999999999999</v>
      </c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M642" s="38"/>
      <c r="AN642" s="38"/>
      <c r="AO642" s="38"/>
      <c r="AP642" s="38"/>
      <c r="AQ642" s="38">
        <v>49.2</v>
      </c>
      <c r="AR642" s="38" t="s">
        <v>3792</v>
      </c>
      <c r="AS642" s="38"/>
      <c r="AT642" s="38"/>
      <c r="AU642" s="38"/>
      <c r="AV642" s="38"/>
      <c r="AW642" s="38"/>
      <c r="AX642" s="38"/>
      <c r="AY642" s="38"/>
      <c r="AZ642" s="38"/>
      <c r="BA642" s="38"/>
      <c r="BB642" s="38"/>
    </row>
    <row r="643" spans="1:54">
      <c r="A643" s="38" t="s">
        <v>4304</v>
      </c>
      <c r="B643" s="38" t="s">
        <v>3652</v>
      </c>
      <c r="C643" s="38" t="s">
        <v>4301</v>
      </c>
      <c r="D643" s="38" t="s">
        <v>3399</v>
      </c>
      <c r="E643" s="38"/>
      <c r="F643" s="38"/>
      <c r="G643" s="38" t="s">
        <v>3756</v>
      </c>
      <c r="H643" s="38" t="s">
        <v>3400</v>
      </c>
      <c r="I643" s="38" t="s">
        <v>4302</v>
      </c>
      <c r="J643" s="38"/>
      <c r="K643" s="38">
        <v>600</v>
      </c>
      <c r="L643" s="38">
        <v>31.1</v>
      </c>
      <c r="M643" s="38"/>
      <c r="N643" s="38">
        <v>55</v>
      </c>
      <c r="O643" s="38">
        <v>2.68</v>
      </c>
      <c r="P643" s="38">
        <v>2.15</v>
      </c>
      <c r="Q643" s="38">
        <v>2.88</v>
      </c>
      <c r="R643" s="38">
        <v>10.1</v>
      </c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  <c r="AM643" s="38"/>
      <c r="AN643" s="38"/>
      <c r="AO643" s="38"/>
      <c r="AP643" s="38"/>
      <c r="AQ643" s="38">
        <v>51.3</v>
      </c>
      <c r="AR643" s="38" t="s">
        <v>3792</v>
      </c>
      <c r="AS643" s="38"/>
      <c r="AT643" s="38"/>
      <c r="AU643" s="38"/>
      <c r="AV643" s="38"/>
      <c r="AW643" s="38"/>
      <c r="AX643" s="38"/>
      <c r="AY643" s="38"/>
      <c r="AZ643" s="38"/>
      <c r="BA643" s="38"/>
      <c r="BB643" s="38"/>
    </row>
    <row r="644" spans="1:54">
      <c r="A644" s="38" t="s">
        <v>4305</v>
      </c>
      <c r="B644" s="38" t="s">
        <v>3652</v>
      </c>
      <c r="C644" s="38" t="s">
        <v>4301</v>
      </c>
      <c r="D644" s="38" t="s">
        <v>3399</v>
      </c>
      <c r="E644" s="38"/>
      <c r="F644" s="38"/>
      <c r="G644" s="38" t="s">
        <v>3756</v>
      </c>
      <c r="H644" s="38" t="s">
        <v>3400</v>
      </c>
      <c r="I644" s="38" t="s">
        <v>4302</v>
      </c>
      <c r="J644" s="38"/>
      <c r="K644" s="38">
        <v>800</v>
      </c>
      <c r="L644" s="38">
        <v>37.1</v>
      </c>
      <c r="M644" s="38"/>
      <c r="N644" s="38">
        <v>62.1</v>
      </c>
      <c r="O644" s="38">
        <v>2.21</v>
      </c>
      <c r="P644" s="38">
        <v>0.45</v>
      </c>
      <c r="Q644" s="38">
        <v>3.95</v>
      </c>
      <c r="R644" s="38">
        <v>10.6</v>
      </c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  <c r="AM644" s="38"/>
      <c r="AN644" s="38"/>
      <c r="AO644" s="38"/>
      <c r="AP644" s="38"/>
      <c r="AQ644" s="38">
        <v>70.3</v>
      </c>
      <c r="AR644" s="38" t="s">
        <v>3792</v>
      </c>
      <c r="AS644" s="38"/>
      <c r="AT644" s="38"/>
      <c r="AU644" s="38"/>
      <c r="AV644" s="38"/>
      <c r="AW644" s="38"/>
      <c r="AX644" s="38"/>
      <c r="AY644" s="38"/>
      <c r="AZ644" s="38"/>
      <c r="BA644" s="38"/>
      <c r="BB644" s="38"/>
    </row>
    <row r="645" spans="1:54">
      <c r="A645" s="38" t="s">
        <v>3848</v>
      </c>
      <c r="B645" s="38" t="s">
        <v>3409</v>
      </c>
      <c r="C645" s="38" t="s">
        <v>4306</v>
      </c>
      <c r="D645" s="38" t="s">
        <v>3399</v>
      </c>
      <c r="E645" s="38"/>
      <c r="F645" s="38"/>
      <c r="G645" s="38" t="s">
        <v>3756</v>
      </c>
      <c r="H645" s="38" t="s">
        <v>3400</v>
      </c>
      <c r="I645" s="38" t="s">
        <v>4307</v>
      </c>
      <c r="J645" s="38"/>
      <c r="K645" s="38">
        <v>500</v>
      </c>
      <c r="L645" s="38"/>
      <c r="M645" s="38"/>
      <c r="N645" s="38">
        <v>85.6</v>
      </c>
      <c r="O645" s="38"/>
      <c r="P645" s="38"/>
      <c r="Q645" s="38">
        <v>12.3</v>
      </c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  <c r="AK645" s="38"/>
      <c r="AL645" s="38"/>
      <c r="AM645" s="38"/>
      <c r="AN645" s="38"/>
      <c r="AO645" s="38"/>
      <c r="AP645" s="38"/>
      <c r="AQ645" s="38"/>
      <c r="AR645" s="38"/>
      <c r="AS645" s="38"/>
      <c r="AT645" s="38"/>
      <c r="AU645" s="38"/>
      <c r="AV645" s="38"/>
      <c r="AW645" s="38"/>
      <c r="AX645" s="38"/>
      <c r="AY645" s="38"/>
      <c r="AZ645" s="38"/>
      <c r="BA645" s="38"/>
      <c r="BB645" s="38"/>
    </row>
    <row r="646" spans="1:54">
      <c r="A646" s="38" t="s">
        <v>4308</v>
      </c>
      <c r="B646" s="38" t="s">
        <v>3652</v>
      </c>
      <c r="C646" s="38" t="s">
        <v>4309</v>
      </c>
      <c r="D646" s="38" t="s">
        <v>3399</v>
      </c>
      <c r="E646" s="38"/>
      <c r="F646" s="38"/>
      <c r="G646" s="38" t="s">
        <v>3756</v>
      </c>
      <c r="H646" s="38" t="s">
        <v>3400</v>
      </c>
      <c r="I646" s="38" t="s">
        <v>4307</v>
      </c>
      <c r="J646" s="38"/>
      <c r="K646" s="38">
        <v>350</v>
      </c>
      <c r="L646" s="38"/>
      <c r="M646" s="38"/>
      <c r="N646" s="38">
        <v>47.9</v>
      </c>
      <c r="O646" s="38"/>
      <c r="P646" s="38"/>
      <c r="Q646" s="38">
        <v>20.6</v>
      </c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  <c r="AL646" s="38"/>
      <c r="AM646" s="38"/>
      <c r="AN646" s="38"/>
      <c r="AO646" s="38"/>
      <c r="AP646" s="38"/>
      <c r="AQ646" s="38"/>
      <c r="AR646" s="38"/>
      <c r="AS646" s="38"/>
      <c r="AT646" s="38"/>
      <c r="AU646" s="38"/>
      <c r="AV646" s="38"/>
      <c r="AW646" s="38"/>
      <c r="AX646" s="38"/>
      <c r="AY646" s="38"/>
      <c r="AZ646" s="38"/>
      <c r="BA646" s="38"/>
      <c r="BB646" s="38"/>
    </row>
    <row r="647" spans="1:54">
      <c r="A647" s="38" t="s">
        <v>4310</v>
      </c>
      <c r="B647" s="38" t="s">
        <v>3652</v>
      </c>
      <c r="C647" s="38" t="s">
        <v>4311</v>
      </c>
      <c r="D647" s="38" t="s">
        <v>3399</v>
      </c>
      <c r="E647" s="38"/>
      <c r="F647" s="38"/>
      <c r="G647" s="38" t="s">
        <v>3756</v>
      </c>
      <c r="H647" s="38" t="s">
        <v>3400</v>
      </c>
      <c r="I647" s="38" t="s">
        <v>4307</v>
      </c>
      <c r="J647" s="38"/>
      <c r="K647" s="38">
        <v>350</v>
      </c>
      <c r="L647" s="38"/>
      <c r="M647" s="38"/>
      <c r="N647" s="38">
        <v>53.3</v>
      </c>
      <c r="O647" s="38"/>
      <c r="P647" s="38"/>
      <c r="Q647" s="38">
        <v>15.9</v>
      </c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  <c r="AK647" s="38"/>
      <c r="AL647" s="38"/>
      <c r="AM647" s="38"/>
      <c r="AN647" s="38"/>
      <c r="AO647" s="38"/>
      <c r="AP647" s="38"/>
      <c r="AQ647" s="38"/>
      <c r="AR647" s="38"/>
      <c r="AS647" s="38"/>
      <c r="AT647" s="38"/>
      <c r="AU647" s="38"/>
      <c r="AV647" s="38"/>
      <c r="AW647" s="38"/>
      <c r="AX647" s="38"/>
      <c r="AY647" s="38"/>
      <c r="AZ647" s="38"/>
      <c r="BA647" s="38"/>
      <c r="BB647" s="38"/>
    </row>
    <row r="648" spans="1:54">
      <c r="A648" s="38" t="s">
        <v>4312</v>
      </c>
      <c r="B648" s="38" t="s">
        <v>3455</v>
      </c>
      <c r="C648" s="38" t="s">
        <v>4172</v>
      </c>
      <c r="D648" s="38" t="s">
        <v>3399</v>
      </c>
      <c r="E648" s="38"/>
      <c r="F648" s="38"/>
      <c r="G648" s="38" t="s">
        <v>3756</v>
      </c>
      <c r="H648" s="38" t="s">
        <v>3400</v>
      </c>
      <c r="I648" s="38" t="s">
        <v>4307</v>
      </c>
      <c r="J648" s="38"/>
      <c r="K648" s="38">
        <v>700</v>
      </c>
      <c r="L648" s="38"/>
      <c r="M648" s="38"/>
      <c r="N648" s="38">
        <v>84.7</v>
      </c>
      <c r="O648" s="38"/>
      <c r="P648" s="38"/>
      <c r="Q648" s="38">
        <v>13.5</v>
      </c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  <c r="AL648" s="38"/>
      <c r="AM648" s="38"/>
      <c r="AN648" s="38"/>
      <c r="AO648" s="38"/>
      <c r="AP648" s="38"/>
      <c r="AQ648" s="38"/>
      <c r="AR648" s="38"/>
      <c r="AS648" s="38"/>
      <c r="AT648" s="38"/>
      <c r="AU648" s="38"/>
      <c r="AV648" s="38"/>
      <c r="AW648" s="38"/>
      <c r="AX648" s="38"/>
      <c r="AY648" s="38"/>
      <c r="AZ648" s="38"/>
      <c r="BA648" s="38"/>
      <c r="BB648" s="38"/>
    </row>
    <row r="649" spans="1:54">
      <c r="A649" s="38" t="s">
        <v>3849</v>
      </c>
      <c r="B649" s="38" t="s">
        <v>3471</v>
      </c>
      <c r="C649" s="38"/>
      <c r="D649" s="38" t="s">
        <v>3399</v>
      </c>
      <c r="E649" s="38"/>
      <c r="F649" s="38"/>
      <c r="G649" s="38" t="s">
        <v>3756</v>
      </c>
      <c r="H649" s="38" t="s">
        <v>3400</v>
      </c>
      <c r="I649" s="38" t="s">
        <v>4307</v>
      </c>
      <c r="J649" s="38"/>
      <c r="K649" s="38">
        <v>500</v>
      </c>
      <c r="L649" s="38"/>
      <c r="M649" s="38"/>
      <c r="N649" s="38">
        <v>86.4</v>
      </c>
      <c r="O649" s="38"/>
      <c r="P649" s="38"/>
      <c r="Q649" s="38">
        <v>20.399999999999999</v>
      </c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  <c r="AL649" s="38"/>
      <c r="AM649" s="38"/>
      <c r="AN649" s="38"/>
      <c r="AO649" s="38"/>
      <c r="AP649" s="38"/>
      <c r="AQ649" s="38"/>
      <c r="AR649" s="38"/>
      <c r="AS649" s="38"/>
      <c r="AT649" s="38"/>
      <c r="AU649" s="38"/>
      <c r="AV649" s="38"/>
      <c r="AW649" s="38"/>
      <c r="AX649" s="38"/>
      <c r="AY649" s="38"/>
      <c r="AZ649" s="38"/>
      <c r="BA649" s="38"/>
      <c r="BB649" s="38"/>
    </row>
    <row r="650" spans="1:54">
      <c r="A650" s="38" t="s">
        <v>4313</v>
      </c>
      <c r="B650" s="38" t="s">
        <v>3449</v>
      </c>
      <c r="C650" s="38" t="s">
        <v>4314</v>
      </c>
      <c r="D650" s="38" t="s">
        <v>3399</v>
      </c>
      <c r="E650" s="38"/>
      <c r="F650" s="38"/>
      <c r="G650" s="38" t="s">
        <v>3756</v>
      </c>
      <c r="H650" s="38" t="s">
        <v>3400</v>
      </c>
      <c r="I650" s="38" t="s">
        <v>4307</v>
      </c>
      <c r="J650" s="38"/>
      <c r="K650" s="38">
        <v>500</v>
      </c>
      <c r="L650" s="38"/>
      <c r="M650" s="38"/>
      <c r="N650" s="38">
        <v>68.400000000000006</v>
      </c>
      <c r="O650" s="38"/>
      <c r="P650" s="38"/>
      <c r="Q650" s="38">
        <v>26.4</v>
      </c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  <c r="AL650" s="38"/>
      <c r="AM650" s="38"/>
      <c r="AN650" s="38"/>
      <c r="AO650" s="38"/>
      <c r="AP650" s="38"/>
      <c r="AQ650" s="38"/>
      <c r="AR650" s="38"/>
      <c r="AS650" s="38"/>
      <c r="AT650" s="38"/>
      <c r="AU650" s="38"/>
      <c r="AV650" s="38"/>
      <c r="AW650" s="38"/>
      <c r="AX650" s="38"/>
      <c r="AY650" s="38"/>
      <c r="AZ650" s="38"/>
      <c r="BA650" s="38"/>
      <c r="BB650" s="38"/>
    </row>
    <row r="651" spans="1:54">
      <c r="A651" s="38" t="s">
        <v>4315</v>
      </c>
      <c r="B651" s="38" t="s">
        <v>3449</v>
      </c>
      <c r="C651" s="38" t="s">
        <v>4314</v>
      </c>
      <c r="D651" s="38" t="s">
        <v>3399</v>
      </c>
      <c r="E651" s="38"/>
      <c r="F651" s="38"/>
      <c r="G651" s="38" t="s">
        <v>3756</v>
      </c>
      <c r="H651" s="38" t="s">
        <v>3400</v>
      </c>
      <c r="I651" s="38" t="s">
        <v>4316</v>
      </c>
      <c r="J651" s="38"/>
      <c r="K651" s="38">
        <v>465</v>
      </c>
      <c r="L651" s="38"/>
      <c r="M651" s="38"/>
      <c r="N651" s="38">
        <v>74.72</v>
      </c>
      <c r="O651" s="38">
        <v>0.66</v>
      </c>
      <c r="P651" s="38"/>
      <c r="Q651" s="38"/>
      <c r="R651" s="38">
        <v>10.29</v>
      </c>
      <c r="S651" s="38">
        <v>0.17</v>
      </c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  <c r="AK651" s="38"/>
      <c r="AL651" s="38"/>
      <c r="AM651" s="38"/>
      <c r="AN651" s="38"/>
      <c r="AO651" s="38"/>
      <c r="AP651" s="38"/>
      <c r="AQ651" s="38">
        <v>202.49</v>
      </c>
      <c r="AR651" s="38"/>
      <c r="AS651" s="38"/>
      <c r="AT651" s="38">
        <v>900</v>
      </c>
      <c r="AU651" s="38"/>
      <c r="AV651" s="38"/>
      <c r="AW651" s="38">
        <v>10200</v>
      </c>
      <c r="AX651" s="38"/>
      <c r="AY651" s="38"/>
      <c r="AZ651" s="38"/>
      <c r="BA651" s="38"/>
      <c r="BB651" s="38"/>
    </row>
    <row r="652" spans="1:54">
      <c r="A652" s="38" t="s">
        <v>4317</v>
      </c>
      <c r="B652" s="38" t="s">
        <v>3471</v>
      </c>
      <c r="C652" s="38"/>
      <c r="D652" s="38" t="s">
        <v>3399</v>
      </c>
      <c r="E652" s="38"/>
      <c r="F652" s="38"/>
      <c r="G652" s="38" t="s">
        <v>3756</v>
      </c>
      <c r="H652" s="38" t="s">
        <v>3400</v>
      </c>
      <c r="I652" s="38" t="s">
        <v>4316</v>
      </c>
      <c r="J652" s="38"/>
      <c r="K652" s="38">
        <v>650</v>
      </c>
      <c r="L652" s="38"/>
      <c r="M652" s="38"/>
      <c r="N652" s="38">
        <v>67.069999999999993</v>
      </c>
      <c r="O652" s="38">
        <v>0.25</v>
      </c>
      <c r="P652" s="38"/>
      <c r="Q652" s="38"/>
      <c r="R652" s="38">
        <v>3.05</v>
      </c>
      <c r="S652" s="38">
        <v>8.2200000000000006</v>
      </c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  <c r="AL652" s="38"/>
      <c r="AM652" s="38"/>
      <c r="AN652" s="38"/>
      <c r="AO652" s="38"/>
      <c r="AP652" s="38"/>
      <c r="AQ652" s="38">
        <v>0.35</v>
      </c>
      <c r="AR652" s="38"/>
      <c r="AS652" s="38"/>
      <c r="AT652" s="38"/>
      <c r="AU652" s="38"/>
      <c r="AV652" s="38"/>
      <c r="AW652" s="38"/>
      <c r="AX652" s="38"/>
      <c r="AY652" s="38"/>
      <c r="AZ652" s="38"/>
      <c r="BA652" s="38"/>
      <c r="BB652" s="38"/>
    </row>
    <row r="653" spans="1:54">
      <c r="A653" s="38" t="s">
        <v>4318</v>
      </c>
      <c r="B653" s="38" t="s">
        <v>3652</v>
      </c>
      <c r="C653" s="38" t="s">
        <v>4319</v>
      </c>
      <c r="D653" s="38" t="s">
        <v>3399</v>
      </c>
      <c r="E653" s="38"/>
      <c r="F653" s="38"/>
      <c r="G653" s="38" t="s">
        <v>3756</v>
      </c>
      <c r="H653" s="38" t="s">
        <v>3400</v>
      </c>
      <c r="I653" s="38" t="s">
        <v>4316</v>
      </c>
      <c r="J653" s="38"/>
      <c r="K653" s="38">
        <v>550</v>
      </c>
      <c r="L653" s="38"/>
      <c r="M653" s="38"/>
      <c r="N653" s="38">
        <v>33.200000000000003</v>
      </c>
      <c r="O653" s="38">
        <v>3.84</v>
      </c>
      <c r="P653" s="38"/>
      <c r="Q653" s="38"/>
      <c r="R653" s="38">
        <v>7.83</v>
      </c>
      <c r="S653" s="38">
        <v>4.8</v>
      </c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  <c r="AL653" s="38"/>
      <c r="AM653" s="38"/>
      <c r="AN653" s="38"/>
      <c r="AO653" s="38"/>
      <c r="AP653" s="38"/>
      <c r="AQ653" s="38">
        <v>12.8</v>
      </c>
      <c r="AR653" s="38"/>
      <c r="AS653" s="38"/>
      <c r="AT653" s="38">
        <v>11900</v>
      </c>
      <c r="AU653" s="38"/>
      <c r="AV653" s="38"/>
      <c r="AW653" s="38">
        <v>28500</v>
      </c>
      <c r="AX653" s="38"/>
      <c r="AY653" s="38"/>
      <c r="AZ653" s="38"/>
      <c r="BA653" s="38"/>
      <c r="BB653" s="38"/>
    </row>
    <row r="654" spans="1:54">
      <c r="A654" s="38" t="s">
        <v>4320</v>
      </c>
      <c r="B654" s="38" t="s">
        <v>3455</v>
      </c>
      <c r="C654" s="38" t="s">
        <v>4321</v>
      </c>
      <c r="D654" s="38" t="s">
        <v>3399</v>
      </c>
      <c r="E654" s="38"/>
      <c r="F654" s="38"/>
      <c r="G654" s="38" t="s">
        <v>3756</v>
      </c>
      <c r="H654" s="38" t="s">
        <v>3400</v>
      </c>
      <c r="I654" s="38" t="s">
        <v>4322</v>
      </c>
      <c r="J654" s="38">
        <v>1.71</v>
      </c>
      <c r="K654" s="38">
        <v>550</v>
      </c>
      <c r="L654" s="38">
        <v>1.67</v>
      </c>
      <c r="M654" s="38"/>
      <c r="N654" s="38">
        <v>85.05</v>
      </c>
      <c r="O654" s="38"/>
      <c r="P654" s="38"/>
      <c r="Q654" s="38"/>
      <c r="R654" s="38">
        <v>7.12</v>
      </c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  <c r="AL654" s="38"/>
      <c r="AM654" s="38"/>
      <c r="AN654" s="38"/>
      <c r="AO654" s="38"/>
      <c r="AP654" s="38">
        <v>14.95</v>
      </c>
      <c r="AQ654" s="38"/>
      <c r="AR654" s="38"/>
      <c r="AS654" s="38"/>
      <c r="AT654" s="38"/>
      <c r="AU654" s="38"/>
      <c r="AV654" s="38"/>
      <c r="AW654" s="38"/>
      <c r="AX654" s="38"/>
      <c r="AY654" s="38"/>
      <c r="AZ654" s="38"/>
      <c r="BA654" s="38"/>
      <c r="BB654" s="38"/>
    </row>
    <row r="655" spans="1:54">
      <c r="A655" s="38" t="s">
        <v>4323</v>
      </c>
      <c r="B655" s="38" t="s">
        <v>3409</v>
      </c>
      <c r="C655" s="38" t="s">
        <v>4324</v>
      </c>
      <c r="D655" s="38" t="s">
        <v>3399</v>
      </c>
      <c r="E655" s="38"/>
      <c r="F655" s="38"/>
      <c r="G655" s="38" t="s">
        <v>3756</v>
      </c>
      <c r="H655" s="38" t="s">
        <v>3400</v>
      </c>
      <c r="I655" s="38" t="s">
        <v>4325</v>
      </c>
      <c r="J655" s="38">
        <v>3</v>
      </c>
      <c r="K655" s="38">
        <v>350</v>
      </c>
      <c r="L655" s="38">
        <v>4.9000000000000004</v>
      </c>
      <c r="M655" s="38"/>
      <c r="N655" s="38">
        <v>66.900000000000006</v>
      </c>
      <c r="O655" s="38">
        <v>0.7</v>
      </c>
      <c r="P655" s="38">
        <v>3.8</v>
      </c>
      <c r="Q655" s="38">
        <v>23.8</v>
      </c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  <c r="AL655" s="38"/>
      <c r="AM655" s="38"/>
      <c r="AN655" s="38"/>
      <c r="AO655" s="38"/>
      <c r="AP655" s="38"/>
      <c r="AQ655" s="38"/>
      <c r="AR655" s="38"/>
      <c r="AS655" s="38"/>
      <c r="AT655" s="38"/>
      <c r="AU655" s="38"/>
      <c r="AV655" s="38"/>
      <c r="AW655" s="38"/>
      <c r="AX655" s="38"/>
      <c r="AY655" s="38"/>
      <c r="AZ655" s="38"/>
      <c r="BA655" s="38"/>
      <c r="BB655" s="38"/>
    </row>
    <row r="656" spans="1:54">
      <c r="A656" s="38" t="s">
        <v>4326</v>
      </c>
      <c r="B656" s="38" t="s">
        <v>3409</v>
      </c>
      <c r="C656" s="38" t="s">
        <v>4324</v>
      </c>
      <c r="D656" s="38" t="s">
        <v>3399</v>
      </c>
      <c r="E656" s="38"/>
      <c r="F656" s="38"/>
      <c r="G656" s="38" t="s">
        <v>3756</v>
      </c>
      <c r="H656" s="38" t="s">
        <v>3400</v>
      </c>
      <c r="I656" s="38" t="s">
        <v>4325</v>
      </c>
      <c r="J656" s="38">
        <v>3.3</v>
      </c>
      <c r="K656" s="38">
        <v>400</v>
      </c>
      <c r="L656" s="38">
        <v>5.4</v>
      </c>
      <c r="M656" s="38"/>
      <c r="N656" s="38">
        <v>69.8</v>
      </c>
      <c r="O656" s="38">
        <v>0.7</v>
      </c>
      <c r="P656" s="38">
        <v>3.4</v>
      </c>
      <c r="Q656" s="38">
        <v>20.8</v>
      </c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  <c r="AL656" s="38"/>
      <c r="AM656" s="38"/>
      <c r="AN656" s="38"/>
      <c r="AO656" s="38"/>
      <c r="AP656" s="38"/>
      <c r="AQ656" s="38"/>
      <c r="AR656" s="38"/>
      <c r="AS656" s="38"/>
      <c r="AT656" s="38"/>
      <c r="AU656" s="38"/>
      <c r="AV656" s="38"/>
      <c r="AW656" s="38"/>
      <c r="AX656" s="38"/>
      <c r="AY656" s="38"/>
      <c r="AZ656" s="38"/>
      <c r="BA656" s="38"/>
      <c r="BB656" s="38"/>
    </row>
    <row r="657" spans="1:54">
      <c r="A657" s="38" t="s">
        <v>4327</v>
      </c>
      <c r="B657" s="38" t="s">
        <v>3409</v>
      </c>
      <c r="C657" s="38" t="s">
        <v>4324</v>
      </c>
      <c r="D657" s="38" t="s">
        <v>3399</v>
      </c>
      <c r="E657" s="38"/>
      <c r="F657" s="38"/>
      <c r="G657" s="38" t="s">
        <v>3756</v>
      </c>
      <c r="H657" s="38" t="s">
        <v>3400</v>
      </c>
      <c r="I657" s="38" t="s">
        <v>4325</v>
      </c>
      <c r="J657" s="38">
        <v>3.1</v>
      </c>
      <c r="K657" s="38">
        <v>450</v>
      </c>
      <c r="L657" s="38">
        <v>6.5</v>
      </c>
      <c r="M657" s="38"/>
      <c r="N657" s="38">
        <v>72.8</v>
      </c>
      <c r="O657" s="38">
        <v>0.6</v>
      </c>
      <c r="P657" s="38">
        <v>2.9</v>
      </c>
      <c r="Q657" s="38">
        <v>17.2</v>
      </c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  <c r="AL657" s="38"/>
      <c r="AM657" s="38"/>
      <c r="AN657" s="38"/>
      <c r="AO657" s="38"/>
      <c r="AP657" s="38"/>
      <c r="AQ657" s="38"/>
      <c r="AR657" s="38"/>
      <c r="AS657" s="38"/>
      <c r="AT657" s="38"/>
      <c r="AU657" s="38"/>
      <c r="AV657" s="38"/>
      <c r="AW657" s="38"/>
      <c r="AX657" s="38"/>
      <c r="AY657" s="38"/>
      <c r="AZ657" s="38"/>
      <c r="BA657" s="38"/>
      <c r="BB657" s="38"/>
    </row>
    <row r="658" spans="1:54">
      <c r="A658" s="38" t="s">
        <v>4328</v>
      </c>
      <c r="B658" s="38" t="s">
        <v>3409</v>
      </c>
      <c r="C658" s="38" t="s">
        <v>4329</v>
      </c>
      <c r="D658" s="38" t="s">
        <v>3399</v>
      </c>
      <c r="E658" s="38"/>
      <c r="F658" s="38"/>
      <c r="G658" s="38" t="s">
        <v>3756</v>
      </c>
      <c r="H658" s="38" t="s">
        <v>3400</v>
      </c>
      <c r="I658" s="38" t="s">
        <v>4325</v>
      </c>
      <c r="J658" s="38"/>
      <c r="K658" s="38">
        <v>550</v>
      </c>
      <c r="L658" s="38">
        <v>6.6</v>
      </c>
      <c r="M658" s="38"/>
      <c r="N658" s="38">
        <v>81.8</v>
      </c>
      <c r="O658" s="38">
        <v>0.5</v>
      </c>
      <c r="P658" s="38">
        <v>2.1</v>
      </c>
      <c r="Q658" s="38">
        <v>9</v>
      </c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  <c r="AL658" s="38"/>
      <c r="AM658" s="38"/>
      <c r="AN658" s="38"/>
      <c r="AO658" s="38"/>
      <c r="AP658" s="38"/>
      <c r="AQ658" s="38"/>
      <c r="AR658" s="38"/>
      <c r="AS658" s="38"/>
      <c r="AT658" s="38"/>
      <c r="AU658" s="38"/>
      <c r="AV658" s="38"/>
      <c r="AW658" s="38"/>
      <c r="AX658" s="38"/>
      <c r="AY658" s="38"/>
      <c r="AZ658" s="38"/>
      <c r="BA658" s="38"/>
      <c r="BB658" s="38"/>
    </row>
    <row r="659" spans="1:54">
      <c r="A659" s="38" t="s">
        <v>4330</v>
      </c>
      <c r="B659" s="38" t="s">
        <v>3409</v>
      </c>
      <c r="C659" s="38" t="s">
        <v>4324</v>
      </c>
      <c r="D659" s="38" t="s">
        <v>3399</v>
      </c>
      <c r="E659" s="38"/>
      <c r="F659" s="38"/>
      <c r="G659" s="38" t="s">
        <v>3756</v>
      </c>
      <c r="H659" s="38" t="s">
        <v>3400</v>
      </c>
      <c r="I659" s="38" t="s">
        <v>4325</v>
      </c>
      <c r="J659" s="38"/>
      <c r="K659" s="38">
        <v>600</v>
      </c>
      <c r="L659" s="38">
        <v>6.4</v>
      </c>
      <c r="M659" s="38"/>
      <c r="N659" s="38">
        <v>83.5</v>
      </c>
      <c r="O659" s="38">
        <v>0.5</v>
      </c>
      <c r="P659" s="38">
        <v>1.6</v>
      </c>
      <c r="Q659" s="38">
        <v>8</v>
      </c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  <c r="AL659" s="38"/>
      <c r="AM659" s="38"/>
      <c r="AN659" s="38"/>
      <c r="AO659" s="38"/>
      <c r="AP659" s="38"/>
      <c r="AQ659" s="38"/>
      <c r="AR659" s="38"/>
      <c r="AS659" s="38"/>
      <c r="AT659" s="38"/>
      <c r="AU659" s="38"/>
      <c r="AV659" s="38"/>
      <c r="AW659" s="38"/>
      <c r="AX659" s="38"/>
      <c r="AY659" s="38"/>
      <c r="AZ659" s="38"/>
      <c r="BA659" s="38"/>
      <c r="BB659" s="38"/>
    </row>
    <row r="660" spans="1:54">
      <c r="A660" s="38" t="s">
        <v>4331</v>
      </c>
      <c r="B660" s="38" t="s">
        <v>3409</v>
      </c>
      <c r="C660" s="38" t="s">
        <v>4329</v>
      </c>
      <c r="D660" s="38" t="s">
        <v>3399</v>
      </c>
      <c r="E660" s="38"/>
      <c r="F660" s="38"/>
      <c r="G660" s="38" t="s">
        <v>3756</v>
      </c>
      <c r="H660" s="38" t="s">
        <v>3400</v>
      </c>
      <c r="I660" s="38" t="s">
        <v>4325</v>
      </c>
      <c r="J660" s="38"/>
      <c r="K660" s="38">
        <v>700</v>
      </c>
      <c r="L660" s="38">
        <v>6.9</v>
      </c>
      <c r="M660" s="38"/>
      <c r="N660" s="38">
        <v>84.2</v>
      </c>
      <c r="O660" s="38">
        <v>0.6</v>
      </c>
      <c r="P660" s="38">
        <v>0.8</v>
      </c>
      <c r="Q660" s="38">
        <v>7.5</v>
      </c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  <c r="AL660" s="38"/>
      <c r="AM660" s="38"/>
      <c r="AN660" s="38"/>
      <c r="AO660" s="38"/>
      <c r="AP660" s="38"/>
      <c r="AQ660" s="38"/>
      <c r="AR660" s="38"/>
      <c r="AS660" s="38"/>
      <c r="AT660" s="38"/>
      <c r="AU660" s="38"/>
      <c r="AV660" s="38"/>
      <c r="AW660" s="38"/>
      <c r="AX660" s="38"/>
      <c r="AY660" s="38"/>
      <c r="AZ660" s="38"/>
      <c r="BA660" s="38"/>
      <c r="BB660" s="38"/>
    </row>
    <row r="661" spans="1:54">
      <c r="A661" s="38" t="s">
        <v>4323</v>
      </c>
      <c r="B661" s="38" t="s">
        <v>3409</v>
      </c>
      <c r="C661" s="38" t="s">
        <v>4329</v>
      </c>
      <c r="D661" s="38" t="s">
        <v>3399</v>
      </c>
      <c r="E661" s="38"/>
      <c r="F661" s="38"/>
      <c r="G661" s="38" t="s">
        <v>4332</v>
      </c>
      <c r="H661" s="38" t="s">
        <v>3400</v>
      </c>
      <c r="I661" s="38" t="s">
        <v>4325</v>
      </c>
      <c r="J661" s="38">
        <v>2.2999999999999998</v>
      </c>
      <c r="K661" s="38">
        <v>350</v>
      </c>
      <c r="L661" s="38">
        <v>1.8</v>
      </c>
      <c r="M661" s="38"/>
      <c r="N661" s="38">
        <v>51.4</v>
      </c>
      <c r="O661" s="38">
        <v>0.5</v>
      </c>
      <c r="P661" s="38">
        <v>5.4</v>
      </c>
      <c r="Q661" s="38">
        <v>40.9</v>
      </c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  <c r="AM661" s="38"/>
      <c r="AN661" s="38"/>
      <c r="AO661" s="38"/>
      <c r="AP661" s="38"/>
      <c r="AQ661" s="38"/>
      <c r="AR661" s="38"/>
      <c r="AS661" s="38"/>
      <c r="AT661" s="38"/>
      <c r="AU661" s="38"/>
      <c r="AV661" s="38"/>
      <c r="AW661" s="38"/>
      <c r="AX661" s="38"/>
      <c r="AY661" s="38"/>
      <c r="AZ661" s="38"/>
      <c r="BA661" s="38"/>
      <c r="BB661" s="38"/>
    </row>
    <row r="662" spans="1:54">
      <c r="A662" s="38" t="s">
        <v>4333</v>
      </c>
      <c r="B662" s="38" t="s">
        <v>3409</v>
      </c>
      <c r="C662" s="38" t="s">
        <v>4329</v>
      </c>
      <c r="D662" s="38" t="s">
        <v>3399</v>
      </c>
      <c r="E662" s="38"/>
      <c r="F662" s="38"/>
      <c r="G662" s="38" t="s">
        <v>4332</v>
      </c>
      <c r="H662" s="38" t="s">
        <v>3400</v>
      </c>
      <c r="I662" s="38" t="s">
        <v>4325</v>
      </c>
      <c r="J662" s="38">
        <v>2.2000000000000002</v>
      </c>
      <c r="K662" s="38">
        <v>360</v>
      </c>
      <c r="L662" s="38">
        <v>3.2</v>
      </c>
      <c r="M662" s="38"/>
      <c r="N662" s="38">
        <v>51.5</v>
      </c>
      <c r="O662" s="38">
        <v>0.2</v>
      </c>
      <c r="P662" s="38">
        <v>5.9</v>
      </c>
      <c r="Q662" s="38">
        <v>39.299999999999997</v>
      </c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  <c r="AL662" s="38"/>
      <c r="AM662" s="38"/>
      <c r="AN662" s="38"/>
      <c r="AO662" s="38"/>
      <c r="AP662" s="38"/>
      <c r="AQ662" s="38"/>
      <c r="AR662" s="38"/>
      <c r="AS662" s="38"/>
      <c r="AT662" s="38"/>
      <c r="AU662" s="38"/>
      <c r="AV662" s="38"/>
      <c r="AW662" s="38"/>
      <c r="AX662" s="38"/>
      <c r="AY662" s="38"/>
      <c r="AZ662" s="38"/>
      <c r="BA662" s="38"/>
      <c r="BB662" s="38"/>
    </row>
    <row r="663" spans="1:54">
      <c r="A663" s="38" t="s">
        <v>4334</v>
      </c>
      <c r="B663" s="38" t="s">
        <v>3409</v>
      </c>
      <c r="C663" s="38" t="s">
        <v>4324</v>
      </c>
      <c r="D663" s="38" t="s">
        <v>3399</v>
      </c>
      <c r="E663" s="38"/>
      <c r="F663" s="38"/>
      <c r="G663" s="38" t="s">
        <v>4332</v>
      </c>
      <c r="H663" s="38" t="s">
        <v>3400</v>
      </c>
      <c r="I663" s="38" t="s">
        <v>4325</v>
      </c>
      <c r="J663" s="38">
        <v>2.5</v>
      </c>
      <c r="K663" s="38">
        <v>370</v>
      </c>
      <c r="L663" s="38">
        <v>4.9000000000000004</v>
      </c>
      <c r="M663" s="38"/>
      <c r="N663" s="38">
        <v>67.599999999999994</v>
      </c>
      <c r="O663" s="38">
        <v>0.5</v>
      </c>
      <c r="P663" s="38">
        <v>5.0999999999999996</v>
      </c>
      <c r="Q663" s="38">
        <v>21.9</v>
      </c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  <c r="AK663" s="38"/>
      <c r="AL663" s="38"/>
      <c r="AM663" s="38"/>
      <c r="AN663" s="38"/>
      <c r="AO663" s="38"/>
      <c r="AP663" s="38"/>
      <c r="AQ663" s="38"/>
      <c r="AR663" s="38"/>
      <c r="AS663" s="38"/>
      <c r="AT663" s="38"/>
      <c r="AU663" s="38"/>
      <c r="AV663" s="38"/>
      <c r="AW663" s="38"/>
      <c r="AX663" s="38"/>
      <c r="AY663" s="38"/>
      <c r="AZ663" s="38"/>
      <c r="BA663" s="38"/>
      <c r="BB663" s="38"/>
    </row>
    <row r="664" spans="1:54">
      <c r="A664" s="38" t="s">
        <v>4326</v>
      </c>
      <c r="B664" s="38" t="s">
        <v>3409</v>
      </c>
      <c r="C664" s="38" t="s">
        <v>4329</v>
      </c>
      <c r="D664" s="38" t="s">
        <v>3399</v>
      </c>
      <c r="E664" s="38"/>
      <c r="F664" s="38"/>
      <c r="G664" s="38" t="s">
        <v>4332</v>
      </c>
      <c r="H664" s="38" t="s">
        <v>3400</v>
      </c>
      <c r="I664" s="38" t="s">
        <v>4325</v>
      </c>
      <c r="J664" s="38">
        <v>2.9</v>
      </c>
      <c r="K664" s="38">
        <v>400</v>
      </c>
      <c r="L664" s="38">
        <v>5.0999999999999996</v>
      </c>
      <c r="M664" s="38"/>
      <c r="N664" s="38">
        <v>68.8</v>
      </c>
      <c r="O664" s="38">
        <v>0.7</v>
      </c>
      <c r="P664" s="38">
        <v>4.4000000000000004</v>
      </c>
      <c r="Q664" s="38">
        <v>21.1</v>
      </c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  <c r="AK664" s="38"/>
      <c r="AL664" s="38"/>
      <c r="AM664" s="38"/>
      <c r="AN664" s="38"/>
      <c r="AO664" s="38"/>
      <c r="AP664" s="38"/>
      <c r="AQ664" s="38"/>
      <c r="AR664" s="38"/>
      <c r="AS664" s="38"/>
      <c r="AT664" s="38"/>
      <c r="AU664" s="38"/>
      <c r="AV664" s="38"/>
      <c r="AW664" s="38"/>
      <c r="AX664" s="38"/>
      <c r="AY664" s="38"/>
      <c r="AZ664" s="38"/>
      <c r="BA664" s="38"/>
      <c r="BB664" s="38"/>
    </row>
    <row r="665" spans="1:54">
      <c r="A665" s="38" t="s">
        <v>4335</v>
      </c>
      <c r="B665" s="38" t="s">
        <v>3409</v>
      </c>
      <c r="C665" s="38" t="s">
        <v>4329</v>
      </c>
      <c r="D665" s="38" t="s">
        <v>3399</v>
      </c>
      <c r="E665" s="38"/>
      <c r="F665" s="38"/>
      <c r="G665" s="38" t="s">
        <v>4336</v>
      </c>
      <c r="H665" s="38" t="s">
        <v>3400</v>
      </c>
      <c r="I665" s="38" t="s">
        <v>4325</v>
      </c>
      <c r="J665" s="38">
        <v>3.1</v>
      </c>
      <c r="K665" s="38">
        <v>425</v>
      </c>
      <c r="L665" s="38">
        <v>5.4</v>
      </c>
      <c r="M665" s="38"/>
      <c r="N665" s="38">
        <v>70.099999999999994</v>
      </c>
      <c r="O665" s="38">
        <v>0.5</v>
      </c>
      <c r="P665" s="38">
        <v>4.5</v>
      </c>
      <c r="Q665" s="38">
        <v>19.600000000000001</v>
      </c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38"/>
      <c r="AJ665" s="38"/>
      <c r="AK665" s="38"/>
      <c r="AL665" s="38"/>
      <c r="AM665" s="38"/>
      <c r="AN665" s="38"/>
      <c r="AO665" s="38"/>
      <c r="AP665" s="38"/>
      <c r="AQ665" s="38"/>
      <c r="AR665" s="38"/>
      <c r="AS665" s="38"/>
      <c r="AT665" s="38"/>
      <c r="AU665" s="38"/>
      <c r="AV665" s="38"/>
      <c r="AW665" s="38"/>
      <c r="AX665" s="38"/>
      <c r="AY665" s="38"/>
      <c r="AZ665" s="38"/>
      <c r="BA665" s="38"/>
      <c r="BB665" s="38"/>
    </row>
    <row r="666" spans="1:54">
      <c r="A666" s="38" t="s">
        <v>4327</v>
      </c>
      <c r="B666" s="38" t="s">
        <v>3409</v>
      </c>
      <c r="C666" s="38" t="s">
        <v>4329</v>
      </c>
      <c r="D666" s="38" t="s">
        <v>3399</v>
      </c>
      <c r="E666" s="38"/>
      <c r="F666" s="38"/>
      <c r="G666" s="38" t="s">
        <v>4336</v>
      </c>
      <c r="H666" s="38" t="s">
        <v>3400</v>
      </c>
      <c r="I666" s="38" t="s">
        <v>4325</v>
      </c>
      <c r="J666" s="38">
        <v>3.8</v>
      </c>
      <c r="K666" s="38">
        <v>450</v>
      </c>
      <c r="L666" s="38">
        <v>5.3</v>
      </c>
      <c r="M666" s="38"/>
      <c r="N666" s="38">
        <v>68</v>
      </c>
      <c r="O666" s="38">
        <v>0.8</v>
      </c>
      <c r="P666" s="38">
        <v>4</v>
      </c>
      <c r="Q666" s="38">
        <v>22</v>
      </c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38"/>
      <c r="AJ666" s="38"/>
      <c r="AK666" s="38"/>
      <c r="AL666" s="38"/>
      <c r="AM666" s="38"/>
      <c r="AN666" s="38"/>
      <c r="AO666" s="38"/>
      <c r="AP666" s="38"/>
      <c r="AQ666" s="38"/>
      <c r="AR666" s="38"/>
      <c r="AS666" s="38"/>
      <c r="AT666" s="38"/>
      <c r="AU666" s="38"/>
      <c r="AV666" s="38"/>
      <c r="AW666" s="38"/>
      <c r="AX666" s="38"/>
      <c r="AY666" s="38"/>
      <c r="AZ666" s="38"/>
      <c r="BA666" s="38"/>
      <c r="BB666" s="38"/>
    </row>
    <row r="667" spans="1:54">
      <c r="A667" s="38" t="s">
        <v>4337</v>
      </c>
      <c r="B667" s="38" t="s">
        <v>3471</v>
      </c>
      <c r="C667" s="38" t="s">
        <v>4338</v>
      </c>
      <c r="D667" s="38" t="s">
        <v>3399</v>
      </c>
      <c r="E667" s="38"/>
      <c r="F667" s="38"/>
      <c r="G667" s="38" t="s">
        <v>3756</v>
      </c>
      <c r="H667" s="38" t="s">
        <v>3400</v>
      </c>
      <c r="I667" s="38" t="s">
        <v>4325</v>
      </c>
      <c r="J667" s="38">
        <v>3</v>
      </c>
      <c r="K667" s="38">
        <v>300</v>
      </c>
      <c r="L667" s="38">
        <v>2.9</v>
      </c>
      <c r="M667" s="38"/>
      <c r="N667" s="38">
        <v>58.1</v>
      </c>
      <c r="O667" s="38">
        <v>0.5</v>
      </c>
      <c r="P667" s="38">
        <v>4.3</v>
      </c>
      <c r="Q667" s="38">
        <v>34.299999999999997</v>
      </c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  <c r="AI667" s="38"/>
      <c r="AJ667" s="38"/>
      <c r="AK667" s="38"/>
      <c r="AL667" s="38"/>
      <c r="AM667" s="38"/>
      <c r="AN667" s="38"/>
      <c r="AO667" s="38"/>
      <c r="AP667" s="38"/>
      <c r="AQ667" s="38"/>
      <c r="AR667" s="38"/>
      <c r="AS667" s="38"/>
      <c r="AT667" s="38"/>
      <c r="AU667" s="38"/>
      <c r="AV667" s="38"/>
      <c r="AW667" s="38"/>
      <c r="AX667" s="38"/>
      <c r="AY667" s="38"/>
      <c r="AZ667" s="38"/>
      <c r="BA667" s="38"/>
      <c r="BB667" s="38"/>
    </row>
    <row r="668" spans="1:54">
      <c r="A668" s="38" t="s">
        <v>4339</v>
      </c>
      <c r="B668" s="38" t="s">
        <v>3471</v>
      </c>
      <c r="C668" s="38" t="s">
        <v>4340</v>
      </c>
      <c r="D668" s="38" t="s">
        <v>3399</v>
      </c>
      <c r="E668" s="38"/>
      <c r="F668" s="38"/>
      <c r="G668" s="38" t="s">
        <v>3997</v>
      </c>
      <c r="H668" s="38" t="s">
        <v>3400</v>
      </c>
      <c r="I668" s="38" t="s">
        <v>4325</v>
      </c>
      <c r="J668" s="38">
        <v>3.7</v>
      </c>
      <c r="K668" s="38">
        <v>350</v>
      </c>
      <c r="L668" s="38">
        <v>2.7</v>
      </c>
      <c r="M668" s="38"/>
      <c r="N668" s="38">
        <v>70</v>
      </c>
      <c r="O668" s="38">
        <v>0.7</v>
      </c>
      <c r="P668" s="38">
        <v>3.8</v>
      </c>
      <c r="Q668" s="38">
        <v>22.8</v>
      </c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38"/>
      <c r="AJ668" s="38"/>
      <c r="AK668" s="38"/>
      <c r="AL668" s="38"/>
      <c r="AM668" s="38"/>
      <c r="AN668" s="38"/>
      <c r="AO668" s="38"/>
      <c r="AP668" s="38"/>
      <c r="AQ668" s="38"/>
      <c r="AR668" s="38"/>
      <c r="AS668" s="38"/>
      <c r="AT668" s="38"/>
      <c r="AU668" s="38"/>
      <c r="AV668" s="38"/>
      <c r="AW668" s="38"/>
      <c r="AX668" s="38"/>
      <c r="AY668" s="38"/>
      <c r="AZ668" s="38"/>
      <c r="BA668" s="38"/>
      <c r="BB668" s="38"/>
    </row>
    <row r="669" spans="1:54">
      <c r="A669" s="38" t="s">
        <v>4341</v>
      </c>
      <c r="B669" s="38" t="s">
        <v>3409</v>
      </c>
      <c r="C669" s="38" t="s">
        <v>4340</v>
      </c>
      <c r="D669" s="38" t="s">
        <v>3399</v>
      </c>
      <c r="E669" s="38"/>
      <c r="F669" s="38"/>
      <c r="G669" s="38" t="s">
        <v>3756</v>
      </c>
      <c r="H669" s="38" t="s">
        <v>3400</v>
      </c>
      <c r="I669" s="38" t="s">
        <v>4325</v>
      </c>
      <c r="J669" s="38">
        <v>3.1</v>
      </c>
      <c r="K669" s="38">
        <v>400</v>
      </c>
      <c r="L669" s="38">
        <v>3.3</v>
      </c>
      <c r="M669" s="38"/>
      <c r="N669" s="38">
        <v>71.900000000000006</v>
      </c>
      <c r="O669" s="38">
        <v>0.9</v>
      </c>
      <c r="P669" s="38">
        <v>3.5</v>
      </c>
      <c r="Q669" s="38">
        <v>20.5</v>
      </c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38"/>
      <c r="AJ669" s="38"/>
      <c r="AK669" s="38"/>
      <c r="AL669" s="38"/>
      <c r="AM669" s="38"/>
      <c r="AN669" s="38"/>
      <c r="AO669" s="38"/>
      <c r="AP669" s="38"/>
      <c r="AQ669" s="38"/>
      <c r="AR669" s="38"/>
      <c r="AS669" s="38"/>
      <c r="AT669" s="38"/>
      <c r="AU669" s="38"/>
      <c r="AV669" s="38"/>
      <c r="AW669" s="38"/>
      <c r="AX669" s="38"/>
      <c r="AY669" s="38"/>
      <c r="AZ669" s="38"/>
      <c r="BA669" s="38"/>
      <c r="BB669" s="38"/>
    </row>
    <row r="670" spans="1:54">
      <c r="A670" s="38" t="s">
        <v>4342</v>
      </c>
      <c r="B670" s="38" t="s">
        <v>3471</v>
      </c>
      <c r="C670" s="38" t="s">
        <v>4343</v>
      </c>
      <c r="D670" s="38" t="s">
        <v>3399</v>
      </c>
      <c r="E670" s="38"/>
      <c r="F670" s="38"/>
      <c r="G670" s="38" t="s">
        <v>3756</v>
      </c>
      <c r="H670" s="38" t="s">
        <v>3400</v>
      </c>
      <c r="I670" s="38" t="s">
        <v>4325</v>
      </c>
      <c r="J670" s="38">
        <v>3.6</v>
      </c>
      <c r="K670" s="38">
        <v>450</v>
      </c>
      <c r="L670" s="38">
        <v>4.4000000000000004</v>
      </c>
      <c r="M670" s="38"/>
      <c r="N670" s="38">
        <v>74.8</v>
      </c>
      <c r="O670" s="38">
        <v>1</v>
      </c>
      <c r="P670" s="38">
        <v>3.1</v>
      </c>
      <c r="Q670" s="38">
        <v>16.7</v>
      </c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38"/>
      <c r="AJ670" s="38"/>
      <c r="AK670" s="38"/>
      <c r="AL670" s="38"/>
      <c r="AM670" s="38"/>
      <c r="AN670" s="38"/>
      <c r="AO670" s="38"/>
      <c r="AP670" s="38"/>
      <c r="AQ670" s="38"/>
      <c r="AR670" s="38"/>
      <c r="AS670" s="38"/>
      <c r="AT670" s="38"/>
      <c r="AU670" s="38"/>
      <c r="AV670" s="38"/>
      <c r="AW670" s="38"/>
      <c r="AX670" s="38"/>
      <c r="AY670" s="38"/>
      <c r="AZ670" s="38"/>
      <c r="BA670" s="38"/>
      <c r="BB670" s="38"/>
    </row>
    <row r="671" spans="1:54">
      <c r="A671" s="38" t="s">
        <v>4344</v>
      </c>
      <c r="B671" s="38" t="s">
        <v>3471</v>
      </c>
      <c r="C671" s="38" t="s">
        <v>4343</v>
      </c>
      <c r="D671" s="38" t="s">
        <v>3399</v>
      </c>
      <c r="E671" s="38"/>
      <c r="F671" s="38"/>
      <c r="G671" s="38" t="s">
        <v>3756</v>
      </c>
      <c r="H671" s="38" t="s">
        <v>3400</v>
      </c>
      <c r="I671" s="38" t="s">
        <v>4325</v>
      </c>
      <c r="J671" s="38">
        <v>2.9</v>
      </c>
      <c r="K671" s="38">
        <v>550</v>
      </c>
      <c r="L671" s="38">
        <v>6.1</v>
      </c>
      <c r="M671" s="38"/>
      <c r="N671" s="38">
        <v>79.8</v>
      </c>
      <c r="O671" s="38">
        <v>1.3</v>
      </c>
      <c r="P671" s="38">
        <v>2.4</v>
      </c>
      <c r="Q671" s="38">
        <v>10.4</v>
      </c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38"/>
      <c r="AJ671" s="38"/>
      <c r="AK671" s="38"/>
      <c r="AL671" s="38"/>
      <c r="AM671" s="38"/>
      <c r="AN671" s="38"/>
      <c r="AO671" s="38"/>
      <c r="AP671" s="38"/>
      <c r="AQ671" s="38"/>
      <c r="AR671" s="38"/>
      <c r="AS671" s="38"/>
      <c r="AT671" s="38"/>
      <c r="AU671" s="38"/>
      <c r="AV671" s="38"/>
      <c r="AW671" s="38"/>
      <c r="AX671" s="38"/>
      <c r="AY671" s="38"/>
      <c r="AZ671" s="38"/>
      <c r="BA671" s="38"/>
      <c r="BB671" s="38"/>
    </row>
    <row r="672" spans="1:54">
      <c r="A672" s="38" t="s">
        <v>4345</v>
      </c>
      <c r="B672" s="38" t="s">
        <v>3471</v>
      </c>
      <c r="C672" s="38" t="s">
        <v>4343</v>
      </c>
      <c r="D672" s="38" t="s">
        <v>3399</v>
      </c>
      <c r="E672" s="38"/>
      <c r="F672" s="38"/>
      <c r="G672" s="38" t="s">
        <v>3756</v>
      </c>
      <c r="H672" s="38" t="s">
        <v>3400</v>
      </c>
      <c r="I672" s="38" t="s">
        <v>4325</v>
      </c>
      <c r="J672" s="38">
        <v>3</v>
      </c>
      <c r="K672" s="38">
        <v>600</v>
      </c>
      <c r="L672" s="38">
        <v>6.7</v>
      </c>
      <c r="M672" s="38"/>
      <c r="N672" s="38">
        <v>80.2</v>
      </c>
      <c r="O672" s="38">
        <v>1.1000000000000001</v>
      </c>
      <c r="P672" s="38">
        <v>1.9</v>
      </c>
      <c r="Q672" s="38">
        <v>10.1</v>
      </c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  <c r="AI672" s="38"/>
      <c r="AJ672" s="38"/>
      <c r="AK672" s="38"/>
      <c r="AL672" s="38"/>
      <c r="AM672" s="38"/>
      <c r="AN672" s="38"/>
      <c r="AO672" s="38"/>
      <c r="AP672" s="38"/>
      <c r="AQ672" s="38"/>
      <c r="AR672" s="38"/>
      <c r="AS672" s="38"/>
      <c r="AT672" s="38"/>
      <c r="AU672" s="38"/>
      <c r="AV672" s="38"/>
      <c r="AW672" s="38"/>
      <c r="AX672" s="38"/>
      <c r="AY672" s="38"/>
      <c r="AZ672" s="38"/>
      <c r="BA672" s="38"/>
      <c r="BB672" s="38"/>
    </row>
    <row r="673" spans="1:54">
      <c r="A673" s="38" t="s">
        <v>4346</v>
      </c>
      <c r="B673" s="38" t="s">
        <v>3471</v>
      </c>
      <c r="C673" s="38" t="s">
        <v>4340</v>
      </c>
      <c r="D673" s="38" t="s">
        <v>3399</v>
      </c>
      <c r="E673" s="38"/>
      <c r="F673" s="38"/>
      <c r="G673" s="38" t="s">
        <v>3756</v>
      </c>
      <c r="H673" s="38" t="s">
        <v>3400</v>
      </c>
      <c r="I673" s="38" t="s">
        <v>4325</v>
      </c>
      <c r="J673" s="38">
        <v>4.3</v>
      </c>
      <c r="K673" s="38">
        <v>700</v>
      </c>
      <c r="L673" s="38">
        <v>5.4</v>
      </c>
      <c r="M673" s="38"/>
      <c r="N673" s="38">
        <v>84.3</v>
      </c>
      <c r="O673" s="38">
        <v>0.7</v>
      </c>
      <c r="P673" s="38">
        <v>1.1000000000000001</v>
      </c>
      <c r="Q673" s="38">
        <v>8.5</v>
      </c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38"/>
      <c r="AJ673" s="38"/>
      <c r="AK673" s="38"/>
      <c r="AL673" s="38"/>
      <c r="AM673" s="38"/>
      <c r="AN673" s="38"/>
      <c r="AO673" s="38"/>
      <c r="AP673" s="38"/>
      <c r="AQ673" s="38"/>
      <c r="AR673" s="38"/>
      <c r="AS673" s="38"/>
      <c r="AT673" s="38"/>
      <c r="AU673" s="38"/>
      <c r="AV673" s="38"/>
      <c r="AW673" s="38"/>
      <c r="AX673" s="38"/>
      <c r="AY673" s="38"/>
      <c r="AZ673" s="38"/>
      <c r="BA673" s="38"/>
      <c r="BB673" s="38"/>
    </row>
    <row r="674" spans="1:54">
      <c r="A674" s="38" t="s">
        <v>4162</v>
      </c>
      <c r="B674" s="38" t="s">
        <v>1948</v>
      </c>
      <c r="C674" s="38" t="s">
        <v>4160</v>
      </c>
      <c r="D674" s="38" t="s">
        <v>3399</v>
      </c>
      <c r="E674" s="38" t="s">
        <v>1287</v>
      </c>
      <c r="F674" s="38"/>
      <c r="G674" s="38" t="s">
        <v>3844</v>
      </c>
      <c r="H674" s="38" t="s">
        <v>3400</v>
      </c>
      <c r="I674" s="38" t="s">
        <v>4347</v>
      </c>
      <c r="J674" s="38"/>
      <c r="K674" s="38">
        <v>500</v>
      </c>
      <c r="L674" s="38">
        <v>74.209999999999994</v>
      </c>
      <c r="M674" s="38"/>
      <c r="N674" s="38">
        <v>17.46</v>
      </c>
      <c r="O674" s="38">
        <v>1.54</v>
      </c>
      <c r="P674" s="38">
        <v>0.7</v>
      </c>
      <c r="Q674" s="38">
        <v>10.449</v>
      </c>
      <c r="R674" s="38">
        <v>8.81</v>
      </c>
      <c r="S674" s="38"/>
      <c r="T674" s="38"/>
      <c r="U674" s="38"/>
      <c r="V674" s="38"/>
      <c r="W674" s="38"/>
      <c r="X674" s="38"/>
      <c r="Y674" s="38"/>
      <c r="Z674" s="38">
        <v>3.37</v>
      </c>
      <c r="AA674" s="38">
        <v>100.34</v>
      </c>
      <c r="AB674" s="38"/>
      <c r="AC674" s="38">
        <v>202.44</v>
      </c>
      <c r="AD674" s="38">
        <v>51.52</v>
      </c>
      <c r="AE674" s="38"/>
      <c r="AF674" s="38"/>
      <c r="AG674" s="38"/>
      <c r="AH674" s="38"/>
      <c r="AI674" s="38"/>
      <c r="AJ674" s="38"/>
      <c r="AK674" s="38"/>
      <c r="AL674" s="38">
        <v>1173.02</v>
      </c>
      <c r="AM674" s="38"/>
      <c r="AN674" s="38">
        <v>76.75</v>
      </c>
      <c r="AO674" s="38"/>
      <c r="AP674" s="38"/>
      <c r="AQ674" s="38">
        <v>25.423999999999999</v>
      </c>
      <c r="AR674" s="38" t="s">
        <v>3792</v>
      </c>
      <c r="AS674" s="38"/>
      <c r="AT674" s="38">
        <v>18185.580000000002</v>
      </c>
      <c r="AU674" s="38">
        <v>59286.9</v>
      </c>
      <c r="AV674" s="38">
        <v>14736.07</v>
      </c>
      <c r="AW674" s="38">
        <v>8518.52</v>
      </c>
      <c r="AX674" s="38">
        <v>28417.35</v>
      </c>
      <c r="AY674" s="38">
        <v>31123.7</v>
      </c>
      <c r="AZ674" s="38"/>
      <c r="BA674" s="38"/>
      <c r="BB674" s="38"/>
    </row>
    <row r="675" spans="1:54">
      <c r="A675" s="38" t="s">
        <v>4348</v>
      </c>
      <c r="B675" s="38" t="s">
        <v>1948</v>
      </c>
      <c r="C675" s="38" t="s">
        <v>4160</v>
      </c>
      <c r="D675" s="38" t="s">
        <v>3399</v>
      </c>
      <c r="E675" s="38" t="s">
        <v>1287</v>
      </c>
      <c r="F675" s="38"/>
      <c r="G675" s="38" t="s">
        <v>3844</v>
      </c>
      <c r="H675" s="38" t="s">
        <v>3400</v>
      </c>
      <c r="I675" s="38" t="s">
        <v>4347</v>
      </c>
      <c r="J675" s="38"/>
      <c r="K675" s="38">
        <v>600</v>
      </c>
      <c r="L675" s="38">
        <v>77.900000000000006</v>
      </c>
      <c r="M675" s="38"/>
      <c r="N675" s="38">
        <v>18.399999999999999</v>
      </c>
      <c r="O675" s="38">
        <v>1.38</v>
      </c>
      <c r="P675" s="38">
        <v>0.34</v>
      </c>
      <c r="Q675" s="38">
        <v>7.3529999999999998</v>
      </c>
      <c r="R675" s="38">
        <v>9.5399999999999991</v>
      </c>
      <c r="S675" s="38"/>
      <c r="T675" s="38"/>
      <c r="U675" s="38"/>
      <c r="V675" s="38"/>
      <c r="W675" s="38"/>
      <c r="X675" s="38"/>
      <c r="Y675" s="38"/>
      <c r="Z675" s="38">
        <v>3.7</v>
      </c>
      <c r="AA675" s="38">
        <v>100.94</v>
      </c>
      <c r="AB675" s="38"/>
      <c r="AC675" s="38">
        <v>208.48</v>
      </c>
      <c r="AD675" s="38"/>
      <c r="AE675" s="38"/>
      <c r="AF675" s="38"/>
      <c r="AG675" s="38"/>
      <c r="AH675" s="38"/>
      <c r="AI675" s="38"/>
      <c r="AJ675" s="38"/>
      <c r="AK675" s="38"/>
      <c r="AL675" s="38">
        <v>1724.09</v>
      </c>
      <c r="AM675" s="38"/>
      <c r="AN675" s="38">
        <v>30.81</v>
      </c>
      <c r="AO675" s="38"/>
      <c r="AP675" s="38"/>
      <c r="AQ675" s="38">
        <v>20.268000000000001</v>
      </c>
      <c r="AR675" s="38" t="s">
        <v>3792</v>
      </c>
      <c r="AS675" s="38"/>
      <c r="AT675" s="38">
        <v>18760.23</v>
      </c>
      <c r="AU675" s="38">
        <v>62719.38</v>
      </c>
      <c r="AV675" s="38">
        <v>15457.6</v>
      </c>
      <c r="AW675" s="38">
        <v>8498.59</v>
      </c>
      <c r="AX675" s="38">
        <v>28332.37</v>
      </c>
      <c r="AY675" s="38">
        <v>33606.39</v>
      </c>
      <c r="AZ675" s="38"/>
      <c r="BA675" s="38"/>
      <c r="BB675" s="38"/>
    </row>
    <row r="676" spans="1:54">
      <c r="A676" s="38" t="s">
        <v>4349</v>
      </c>
      <c r="B676" s="38" t="s">
        <v>1948</v>
      </c>
      <c r="C676" s="38" t="s">
        <v>4160</v>
      </c>
      <c r="D676" s="38" t="s">
        <v>3399</v>
      </c>
      <c r="E676" s="38" t="s">
        <v>1287</v>
      </c>
      <c r="F676" s="38"/>
      <c r="G676" s="38" t="s">
        <v>3844</v>
      </c>
      <c r="H676" s="38" t="s">
        <v>3400</v>
      </c>
      <c r="I676" s="38" t="s">
        <v>4347</v>
      </c>
      <c r="J676" s="38"/>
      <c r="K676" s="38">
        <v>700</v>
      </c>
      <c r="L676" s="38">
        <v>81.53</v>
      </c>
      <c r="M676" s="38"/>
      <c r="N676" s="38">
        <v>16.920000000000002</v>
      </c>
      <c r="O676" s="38">
        <v>0.95</v>
      </c>
      <c r="P676" s="38">
        <v>0.21</v>
      </c>
      <c r="Q676" s="38">
        <v>6.86</v>
      </c>
      <c r="R676" s="38">
        <v>11.11</v>
      </c>
      <c r="S676" s="38"/>
      <c r="T676" s="38"/>
      <c r="U676" s="38"/>
      <c r="V676" s="38"/>
      <c r="W676" s="38"/>
      <c r="X676" s="38"/>
      <c r="Y676" s="38"/>
      <c r="Z676" s="38"/>
      <c r="AA676" s="38">
        <v>114.58</v>
      </c>
      <c r="AB676" s="38"/>
      <c r="AC676" s="38">
        <v>242.3</v>
      </c>
      <c r="AD676" s="38"/>
      <c r="AE676" s="38"/>
      <c r="AF676" s="38"/>
      <c r="AG676" s="38"/>
      <c r="AH676" s="38"/>
      <c r="AI676" s="38"/>
      <c r="AJ676" s="38"/>
      <c r="AK676" s="38"/>
      <c r="AL676" s="38">
        <v>1383.51</v>
      </c>
      <c r="AM676" s="38"/>
      <c r="AN676" s="38">
        <v>50.34</v>
      </c>
      <c r="AO676" s="38"/>
      <c r="AP676" s="38"/>
      <c r="AQ676" s="38">
        <v>32.167000000000002</v>
      </c>
      <c r="AR676" s="38" t="s">
        <v>4145</v>
      </c>
      <c r="AS676" s="38"/>
      <c r="AT676" s="38">
        <v>20350.03</v>
      </c>
      <c r="AU676" s="38">
        <v>64373.64</v>
      </c>
      <c r="AV676" s="38">
        <v>16369.21</v>
      </c>
      <c r="AW676" s="38">
        <v>9938.32</v>
      </c>
      <c r="AX676" s="38">
        <v>32848.06</v>
      </c>
      <c r="AY676" s="38">
        <v>35326.67</v>
      </c>
      <c r="AZ676" s="38"/>
      <c r="BA676" s="38"/>
      <c r="BB676" s="38"/>
    </row>
    <row r="677" spans="1:54">
      <c r="A677" s="38" t="s">
        <v>4350</v>
      </c>
      <c r="B677" s="38" t="s">
        <v>1948</v>
      </c>
      <c r="C677" s="38" t="s">
        <v>4038</v>
      </c>
      <c r="D677" s="38" t="s">
        <v>3399</v>
      </c>
      <c r="E677" s="38" t="s">
        <v>1287</v>
      </c>
      <c r="F677" s="38"/>
      <c r="G677" s="38" t="s">
        <v>3844</v>
      </c>
      <c r="H677" s="38" t="s">
        <v>3400</v>
      </c>
      <c r="I677" s="38" t="s">
        <v>4347</v>
      </c>
      <c r="J677" s="38"/>
      <c r="K677" s="38">
        <v>800</v>
      </c>
      <c r="L677" s="38">
        <v>83.93</v>
      </c>
      <c r="M677" s="38"/>
      <c r="N677" s="38">
        <v>16.2</v>
      </c>
      <c r="O677" s="38">
        <v>0.5</v>
      </c>
      <c r="P677" s="38">
        <v>0.03</v>
      </c>
      <c r="Q677" s="38">
        <v>3.641</v>
      </c>
      <c r="R677" s="38">
        <v>12.18</v>
      </c>
      <c r="S677" s="38"/>
      <c r="T677" s="38"/>
      <c r="U677" s="38"/>
      <c r="V677" s="38"/>
      <c r="W677" s="38"/>
      <c r="X677" s="38"/>
      <c r="Y677" s="38"/>
      <c r="Z677" s="38"/>
      <c r="AA677" s="38">
        <v>105.81</v>
      </c>
      <c r="AB677" s="38"/>
      <c r="AC677" s="38">
        <v>201.49</v>
      </c>
      <c r="AD677" s="38"/>
      <c r="AE677" s="38"/>
      <c r="AF677" s="38"/>
      <c r="AG677" s="38"/>
      <c r="AH677" s="38"/>
      <c r="AI677" s="38"/>
      <c r="AJ677" s="38"/>
      <c r="AK677" s="38"/>
      <c r="AL677" s="38">
        <v>1930.98</v>
      </c>
      <c r="AM677" s="38"/>
      <c r="AN677" s="38">
        <v>126.62</v>
      </c>
      <c r="AO677" s="38"/>
      <c r="AP677" s="38"/>
      <c r="AQ677" s="38">
        <v>48.499000000000002</v>
      </c>
      <c r="AR677" s="38" t="s">
        <v>3792</v>
      </c>
      <c r="AS677" s="38"/>
      <c r="AT677" s="38">
        <v>19348.41</v>
      </c>
      <c r="AU677" s="38">
        <v>65839.62</v>
      </c>
      <c r="AV677" s="38">
        <v>16573.98</v>
      </c>
      <c r="AW677" s="38">
        <v>9289.42</v>
      </c>
      <c r="AX677" s="38">
        <v>34454.769999999997</v>
      </c>
      <c r="AY677" s="38">
        <v>35769.17</v>
      </c>
      <c r="AZ677" s="38"/>
      <c r="BA677" s="38"/>
      <c r="BB677" s="38"/>
    </row>
    <row r="678" spans="1:54">
      <c r="A678" s="38" t="s">
        <v>4351</v>
      </c>
      <c r="B678" s="38" t="s">
        <v>1948</v>
      </c>
      <c r="C678" s="38" t="s">
        <v>4160</v>
      </c>
      <c r="D678" s="38" t="s">
        <v>3399</v>
      </c>
      <c r="E678" s="38" t="s">
        <v>1287</v>
      </c>
      <c r="F678" s="38"/>
      <c r="G678" s="38" t="s">
        <v>3844</v>
      </c>
      <c r="H678" s="38" t="s">
        <v>3400</v>
      </c>
      <c r="I678" s="38" t="s">
        <v>4347</v>
      </c>
      <c r="J678" s="38"/>
      <c r="K678" s="38">
        <v>900</v>
      </c>
      <c r="L678" s="38">
        <v>88.07</v>
      </c>
      <c r="M678" s="38"/>
      <c r="N678" s="38">
        <v>15.92</v>
      </c>
      <c r="O678" s="38">
        <v>0.53</v>
      </c>
      <c r="P678" s="38">
        <v>0.11</v>
      </c>
      <c r="Q678" s="38">
        <v>2.4390000000000001</v>
      </c>
      <c r="R678" s="38">
        <v>12.15</v>
      </c>
      <c r="S678" s="38"/>
      <c r="T678" s="38"/>
      <c r="U678" s="38"/>
      <c r="V678" s="38"/>
      <c r="W678" s="38"/>
      <c r="X678" s="38"/>
      <c r="Y678" s="38"/>
      <c r="Z678" s="38"/>
      <c r="AA678" s="38">
        <v>112.02</v>
      </c>
      <c r="AB678" s="38"/>
      <c r="AC678" s="38">
        <v>183.71</v>
      </c>
      <c r="AD678" s="38">
        <v>5.81</v>
      </c>
      <c r="AE678" s="38"/>
      <c r="AF678" s="38"/>
      <c r="AG678" s="38"/>
      <c r="AH678" s="38"/>
      <c r="AI678" s="38"/>
      <c r="AJ678" s="38"/>
      <c r="AK678" s="38"/>
      <c r="AL678" s="38">
        <v>3417.89</v>
      </c>
      <c r="AM678" s="38"/>
      <c r="AN678" s="38">
        <v>247.51</v>
      </c>
      <c r="AO678" s="38"/>
      <c r="AP678" s="38"/>
      <c r="AQ678" s="38">
        <v>67.602999999999994</v>
      </c>
      <c r="AR678" s="38" t="s">
        <v>3792</v>
      </c>
      <c r="AS678" s="38"/>
      <c r="AT678" s="38">
        <v>20238.78</v>
      </c>
      <c r="AU678" s="38">
        <v>69560.08</v>
      </c>
      <c r="AV678" s="38">
        <v>17523.36</v>
      </c>
      <c r="AW678" s="38">
        <v>8684.18</v>
      </c>
      <c r="AX678" s="38">
        <v>35501.94</v>
      </c>
      <c r="AY678" s="38">
        <v>37202.339999999997</v>
      </c>
      <c r="AZ678" s="38"/>
      <c r="BA678" s="38"/>
      <c r="BB678" s="38"/>
    </row>
    <row r="679" spans="1:54">
      <c r="A679" s="38" t="s">
        <v>4352</v>
      </c>
      <c r="B679" s="38" t="s">
        <v>3652</v>
      </c>
      <c r="C679" s="38" t="s">
        <v>4353</v>
      </c>
      <c r="D679" s="38" t="s">
        <v>3399</v>
      </c>
      <c r="E679" s="38"/>
      <c r="F679" s="38"/>
      <c r="G679" s="38" t="s">
        <v>3756</v>
      </c>
      <c r="H679" s="38" t="s">
        <v>3400</v>
      </c>
      <c r="I679" s="38" t="s">
        <v>4354</v>
      </c>
      <c r="J679" s="38"/>
      <c r="K679" s="38">
        <v>300</v>
      </c>
      <c r="L679" s="38">
        <v>28.79</v>
      </c>
      <c r="M679" s="38"/>
      <c r="N679" s="38">
        <v>50.64</v>
      </c>
      <c r="O679" s="38">
        <v>1.1499999999999999</v>
      </c>
      <c r="P679" s="38"/>
      <c r="Q679" s="38"/>
      <c r="R679" s="38">
        <v>4.5</v>
      </c>
      <c r="S679" s="38">
        <v>2.7</v>
      </c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38"/>
      <c r="AJ679" s="38"/>
      <c r="AK679" s="38"/>
      <c r="AL679" s="38">
        <v>1190</v>
      </c>
      <c r="AM679" s="38"/>
      <c r="AN679" s="38">
        <v>41.8</v>
      </c>
      <c r="AO679" s="38"/>
      <c r="AP679" s="38">
        <v>19.600000000000001</v>
      </c>
      <c r="AQ679" s="38"/>
      <c r="AR679" s="38"/>
      <c r="AS679" s="38"/>
      <c r="AT679" s="38">
        <v>1222</v>
      </c>
      <c r="AU679" s="38">
        <v>9156</v>
      </c>
      <c r="AV679" s="38">
        <v>1377</v>
      </c>
      <c r="AW679" s="38">
        <v>11616</v>
      </c>
      <c r="AX679" s="38"/>
      <c r="AY679" s="38"/>
      <c r="AZ679" s="38"/>
      <c r="BA679" s="38"/>
      <c r="BB679" s="38"/>
    </row>
    <row r="680" spans="1:54">
      <c r="A680" s="38" t="s">
        <v>4355</v>
      </c>
      <c r="B680" s="38" t="s">
        <v>3463</v>
      </c>
      <c r="C680" s="38" t="s">
        <v>4356</v>
      </c>
      <c r="D680" s="38" t="s">
        <v>3399</v>
      </c>
      <c r="E680" s="38"/>
      <c r="F680" s="38"/>
      <c r="G680" s="38" t="s">
        <v>3756</v>
      </c>
      <c r="H680" s="38" t="s">
        <v>3400</v>
      </c>
      <c r="I680" s="38" t="s">
        <v>4357</v>
      </c>
      <c r="J680" s="38"/>
      <c r="K680" s="38">
        <v>900</v>
      </c>
      <c r="L680" s="38">
        <v>5.49</v>
      </c>
      <c r="M680" s="38"/>
      <c r="N680" s="38">
        <v>83.16</v>
      </c>
      <c r="O680" s="38">
        <v>0.4</v>
      </c>
      <c r="P680" s="38">
        <v>3.24</v>
      </c>
      <c r="Q680" s="38">
        <v>7.24</v>
      </c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38"/>
      <c r="AJ680" s="38"/>
      <c r="AK680" s="38"/>
      <c r="AL680" s="38"/>
      <c r="AM680" s="38"/>
      <c r="AN680" s="38"/>
      <c r="AO680" s="38"/>
      <c r="AP680" s="38"/>
      <c r="AQ680" s="38"/>
      <c r="AR680" s="38"/>
      <c r="AS680" s="38"/>
      <c r="AT680" s="38"/>
      <c r="AU680" s="38"/>
      <c r="AV680" s="38"/>
      <c r="AW680" s="38"/>
      <c r="AX680" s="38"/>
      <c r="AY680" s="38"/>
      <c r="AZ680" s="38"/>
      <c r="BA680" s="38"/>
      <c r="BB680" s="38"/>
    </row>
    <row r="681" spans="1:54">
      <c r="A681" s="38" t="s">
        <v>4358</v>
      </c>
      <c r="B681" s="38" t="s">
        <v>3409</v>
      </c>
      <c r="C681" s="38" t="s">
        <v>4057</v>
      </c>
      <c r="D681" s="38" t="s">
        <v>3399</v>
      </c>
      <c r="E681" s="38"/>
      <c r="F681" s="38"/>
      <c r="G681" s="38" t="s">
        <v>3756</v>
      </c>
      <c r="H681" s="38" t="s">
        <v>3400</v>
      </c>
      <c r="I681" s="38" t="s">
        <v>4357</v>
      </c>
      <c r="J681" s="38"/>
      <c r="K681" s="38">
        <v>900</v>
      </c>
      <c r="L681" s="38">
        <v>1.32</v>
      </c>
      <c r="M681" s="38"/>
      <c r="N681" s="38">
        <v>83.29</v>
      </c>
      <c r="O681" s="38">
        <v>0.4</v>
      </c>
      <c r="P681" s="38">
        <v>3.08</v>
      </c>
      <c r="Q681" s="38">
        <v>11.56</v>
      </c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  <c r="AI681" s="38"/>
      <c r="AJ681" s="38"/>
      <c r="AK681" s="38"/>
      <c r="AL681" s="38"/>
      <c r="AM681" s="38"/>
      <c r="AN681" s="38"/>
      <c r="AO681" s="38"/>
      <c r="AP681" s="38"/>
      <c r="AQ681" s="38"/>
      <c r="AR681" s="38"/>
      <c r="AS681" s="38"/>
      <c r="AT681" s="38"/>
      <c r="AU681" s="38"/>
      <c r="AV681" s="38"/>
      <c r="AW681" s="38"/>
      <c r="AX681" s="38"/>
      <c r="AY681" s="38"/>
      <c r="AZ681" s="38"/>
      <c r="BA681" s="38"/>
      <c r="BB681" s="38"/>
    </row>
    <row r="682" spans="1:54">
      <c r="A682" s="38" t="s">
        <v>4359</v>
      </c>
      <c r="B682" s="38" t="s">
        <v>3431</v>
      </c>
      <c r="C682" s="38" t="s">
        <v>3520</v>
      </c>
      <c r="D682" s="38" t="s">
        <v>3399</v>
      </c>
      <c r="E682" s="38"/>
      <c r="F682" s="38"/>
      <c r="G682" s="38" t="s">
        <v>3756</v>
      </c>
      <c r="H682" s="38" t="s">
        <v>3400</v>
      </c>
      <c r="I682" s="38" t="s">
        <v>4357</v>
      </c>
      <c r="J682" s="38"/>
      <c r="K682" s="38">
        <v>600</v>
      </c>
      <c r="L682" s="38">
        <v>27.6</v>
      </c>
      <c r="M682" s="38"/>
      <c r="N682" s="38">
        <v>51.06</v>
      </c>
      <c r="O682" s="38">
        <v>0.66</v>
      </c>
      <c r="P682" s="38">
        <v>2.6</v>
      </c>
      <c r="Q682" s="38">
        <v>17.62</v>
      </c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38"/>
      <c r="AJ682" s="38"/>
      <c r="AK682" s="38"/>
      <c r="AL682" s="38"/>
      <c r="AM682" s="38"/>
      <c r="AN682" s="38"/>
      <c r="AO682" s="38"/>
      <c r="AP682" s="38"/>
      <c r="AQ682" s="38"/>
      <c r="AR682" s="38"/>
      <c r="AS682" s="38"/>
      <c r="AT682" s="38"/>
      <c r="AU682" s="38"/>
      <c r="AV682" s="38"/>
      <c r="AW682" s="38"/>
      <c r="AX682" s="38"/>
      <c r="AY682" s="38"/>
      <c r="AZ682" s="38"/>
      <c r="BA682" s="38"/>
      <c r="BB682" s="38"/>
    </row>
    <row r="683" spans="1:54">
      <c r="A683" s="38" t="s">
        <v>4360</v>
      </c>
      <c r="B683" s="38" t="s">
        <v>3471</v>
      </c>
      <c r="C683" s="38" t="s">
        <v>4361</v>
      </c>
      <c r="D683" s="38" t="s">
        <v>3399</v>
      </c>
      <c r="E683" s="38"/>
      <c r="F683" s="38"/>
      <c r="G683" s="38" t="s">
        <v>3756</v>
      </c>
      <c r="H683" s="38" t="s">
        <v>3400</v>
      </c>
      <c r="I683" s="38" t="s">
        <v>4362</v>
      </c>
      <c r="J683" s="38">
        <v>6.5</v>
      </c>
      <c r="K683" s="38">
        <v>900</v>
      </c>
      <c r="L683" s="38">
        <v>70</v>
      </c>
      <c r="M683" s="38"/>
      <c r="N683" s="38">
        <v>50</v>
      </c>
      <c r="O683" s="38">
        <v>0.5</v>
      </c>
      <c r="P683" s="38">
        <v>1</v>
      </c>
      <c r="Q683" s="38">
        <v>44</v>
      </c>
      <c r="R683" s="38">
        <v>10.1</v>
      </c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38"/>
      <c r="AJ683" s="38"/>
      <c r="AK683" s="38"/>
      <c r="AL683" s="38"/>
      <c r="AM683" s="38"/>
      <c r="AN683" s="38"/>
      <c r="AO683" s="38"/>
      <c r="AP683" s="38"/>
      <c r="AQ683" s="38">
        <v>714</v>
      </c>
      <c r="AR683" s="38" t="s">
        <v>3792</v>
      </c>
      <c r="AS683" s="38"/>
      <c r="AT683" s="38"/>
      <c r="AU683" s="38"/>
      <c r="AV683" s="38"/>
      <c r="AW683" s="38"/>
      <c r="AX683" s="38"/>
      <c r="AY683" s="38"/>
      <c r="AZ683" s="38"/>
      <c r="BA683" s="38"/>
      <c r="BB683" s="38"/>
    </row>
    <row r="684" spans="1:54">
      <c r="A684" s="38" t="s">
        <v>4363</v>
      </c>
      <c r="B684" s="38" t="s">
        <v>3455</v>
      </c>
      <c r="C684" s="38" t="s">
        <v>4364</v>
      </c>
      <c r="D684" s="38" t="s">
        <v>3399</v>
      </c>
      <c r="E684" s="38"/>
      <c r="F684" s="38"/>
      <c r="G684" s="38" t="s">
        <v>3756</v>
      </c>
      <c r="H684" s="38" t="s">
        <v>3400</v>
      </c>
      <c r="I684" s="38" t="s">
        <v>4365</v>
      </c>
      <c r="J684" s="38"/>
      <c r="K684" s="38">
        <v>600</v>
      </c>
      <c r="L684" s="38"/>
      <c r="M684" s="38"/>
      <c r="N684" s="38">
        <v>82</v>
      </c>
      <c r="O684" s="38">
        <v>0.42</v>
      </c>
      <c r="P684" s="38">
        <v>1.82</v>
      </c>
      <c r="Q684" s="38"/>
      <c r="R684" s="38">
        <v>9.3000000000000007</v>
      </c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  <c r="AI684" s="38"/>
      <c r="AJ684" s="38"/>
      <c r="AK684" s="38"/>
      <c r="AL684" s="38"/>
      <c r="AM684" s="38"/>
      <c r="AN684" s="38"/>
      <c r="AO684" s="38"/>
      <c r="AP684" s="38"/>
      <c r="AQ684" s="38"/>
      <c r="AR684" s="38"/>
      <c r="AS684" s="38"/>
      <c r="AT684" s="38"/>
      <c r="AU684" s="38"/>
      <c r="AV684" s="38"/>
      <c r="AW684" s="38"/>
      <c r="AX684" s="38"/>
      <c r="AY684" s="38"/>
      <c r="AZ684" s="38"/>
      <c r="BA684" s="38"/>
      <c r="BB684" s="38"/>
    </row>
    <row r="685" spans="1:54">
      <c r="A685" s="38" t="s">
        <v>4366</v>
      </c>
      <c r="B685" s="38" t="s">
        <v>1700</v>
      </c>
      <c r="C685" s="38" t="s">
        <v>4367</v>
      </c>
      <c r="D685" s="38" t="s">
        <v>3399</v>
      </c>
      <c r="E685" s="38"/>
      <c r="F685" s="38"/>
      <c r="G685" s="38" t="s">
        <v>3756</v>
      </c>
      <c r="H685" s="38" t="s">
        <v>3400</v>
      </c>
      <c r="I685" s="38" t="s">
        <v>4365</v>
      </c>
      <c r="J685" s="38"/>
      <c r="K685" s="38">
        <v>600</v>
      </c>
      <c r="L685" s="38"/>
      <c r="M685" s="38"/>
      <c r="N685" s="38">
        <v>62.7</v>
      </c>
      <c r="O685" s="38">
        <v>2.67</v>
      </c>
      <c r="P685" s="38">
        <v>2.6</v>
      </c>
      <c r="Q685" s="38"/>
      <c r="R685" s="38">
        <v>9.6</v>
      </c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38"/>
      <c r="AJ685" s="38"/>
      <c r="AK685" s="38"/>
      <c r="AL685" s="38"/>
      <c r="AM685" s="38"/>
      <c r="AN685" s="38"/>
      <c r="AO685" s="38"/>
      <c r="AP685" s="38"/>
      <c r="AQ685" s="38"/>
      <c r="AR685" s="38"/>
      <c r="AS685" s="38"/>
      <c r="AT685" s="38"/>
      <c r="AU685" s="38"/>
      <c r="AV685" s="38"/>
      <c r="AW685" s="38"/>
      <c r="AX685" s="38"/>
      <c r="AY685" s="38"/>
      <c r="AZ685" s="38"/>
      <c r="BA685" s="38"/>
      <c r="BB685" s="38"/>
    </row>
    <row r="686" spans="1:54">
      <c r="A686" s="38" t="s">
        <v>4368</v>
      </c>
      <c r="B686" s="38" t="s">
        <v>3652</v>
      </c>
      <c r="C686" s="38" t="s">
        <v>4369</v>
      </c>
      <c r="D686" s="38" t="s">
        <v>3351</v>
      </c>
      <c r="E686" s="38"/>
      <c r="F686" s="38" t="s">
        <v>4370</v>
      </c>
      <c r="G686" s="38" t="s">
        <v>3756</v>
      </c>
      <c r="H686" s="38" t="s">
        <v>3400</v>
      </c>
      <c r="I686" s="38" t="s">
        <v>4371</v>
      </c>
      <c r="J686" s="38"/>
      <c r="K686" s="38">
        <v>500</v>
      </c>
      <c r="L686" s="38"/>
      <c r="M686" s="38"/>
      <c r="N686" s="38">
        <v>77.81</v>
      </c>
      <c r="O686" s="38">
        <v>0.91</v>
      </c>
      <c r="P686" s="38"/>
      <c r="Q686" s="38"/>
      <c r="R686" s="38">
        <v>9.8000000000000007</v>
      </c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>
        <v>97</v>
      </c>
      <c r="AD686" s="38"/>
      <c r="AE686" s="38"/>
      <c r="AF686" s="38"/>
      <c r="AG686" s="38"/>
      <c r="AH686" s="38"/>
      <c r="AI686" s="38">
        <v>104</v>
      </c>
      <c r="AJ686" s="38"/>
      <c r="AK686" s="38"/>
      <c r="AL686" s="38">
        <v>11900</v>
      </c>
      <c r="AM686" s="38"/>
      <c r="AN686" s="38">
        <v>101</v>
      </c>
      <c r="AO686" s="38"/>
      <c r="AP686" s="38"/>
      <c r="AQ686" s="38"/>
      <c r="AR686" s="38"/>
      <c r="AS686" s="38"/>
      <c r="AT686" s="38">
        <v>23300</v>
      </c>
      <c r="AU686" s="38">
        <v>25000</v>
      </c>
      <c r="AV686" s="38">
        <v>28700</v>
      </c>
      <c r="AW686" s="38">
        <v>13900</v>
      </c>
      <c r="AX686" s="38">
        <v>268</v>
      </c>
      <c r="AY686" s="38">
        <v>333</v>
      </c>
      <c r="AZ686" s="38"/>
      <c r="BA686" s="38"/>
      <c r="BB686" s="38"/>
    </row>
    <row r="687" spans="1:54">
      <c r="A687" s="38" t="s">
        <v>4372</v>
      </c>
      <c r="B687" s="38" t="s">
        <v>3652</v>
      </c>
      <c r="C687" s="38" t="s">
        <v>4177</v>
      </c>
      <c r="D687" s="38" t="s">
        <v>3399</v>
      </c>
      <c r="E687" s="38"/>
      <c r="F687" s="38"/>
      <c r="G687" s="38" t="s">
        <v>3756</v>
      </c>
      <c r="H687" s="38" t="s">
        <v>3400</v>
      </c>
      <c r="I687" s="38" t="s">
        <v>4373</v>
      </c>
      <c r="J687" s="38"/>
      <c r="K687" s="38">
        <v>550</v>
      </c>
      <c r="L687" s="38"/>
      <c r="M687" s="38">
        <v>15</v>
      </c>
      <c r="N687" s="38">
        <v>23</v>
      </c>
      <c r="O687" s="38">
        <v>2.2000000000000002</v>
      </c>
      <c r="P687" s="38"/>
      <c r="Q687" s="38"/>
      <c r="R687" s="38">
        <v>9.1</v>
      </c>
      <c r="S687" s="38">
        <v>4</v>
      </c>
      <c r="T687" s="38"/>
      <c r="U687" s="38"/>
      <c r="V687" s="38"/>
      <c r="W687" s="38"/>
      <c r="X687" s="38"/>
      <c r="Y687" s="38"/>
      <c r="Z687" s="38"/>
      <c r="AA687" s="38">
        <v>110</v>
      </c>
      <c r="AB687" s="38"/>
      <c r="AC687" s="38">
        <v>200</v>
      </c>
      <c r="AD687" s="38"/>
      <c r="AE687" s="38"/>
      <c r="AF687" s="38"/>
      <c r="AG687" s="38">
        <v>8.8000000000000007</v>
      </c>
      <c r="AH687" s="38"/>
      <c r="AI687" s="38">
        <v>260</v>
      </c>
      <c r="AJ687" s="38"/>
      <c r="AK687" s="38"/>
      <c r="AL687" s="38"/>
      <c r="AM687" s="38"/>
      <c r="AN687" s="38"/>
      <c r="AO687" s="38"/>
      <c r="AP687" s="38"/>
      <c r="AQ687" s="38"/>
      <c r="AR687" s="38"/>
      <c r="AS687" s="38"/>
      <c r="AT687" s="38">
        <v>13000</v>
      </c>
      <c r="AU687" s="38"/>
      <c r="AV687" s="38"/>
      <c r="AW687" s="38">
        <v>16000</v>
      </c>
      <c r="AX687" s="38"/>
      <c r="AY687" s="38"/>
      <c r="AZ687" s="38"/>
      <c r="BA687" s="38"/>
      <c r="BB687" s="38"/>
    </row>
    <row r="688" spans="1:54">
      <c r="A688" s="38" t="s">
        <v>4374</v>
      </c>
      <c r="B688" s="38" t="s">
        <v>3463</v>
      </c>
      <c r="C688" s="38" t="s">
        <v>4375</v>
      </c>
      <c r="D688" s="38" t="s">
        <v>3351</v>
      </c>
      <c r="E688" s="38"/>
      <c r="F688" s="38" t="s">
        <v>4376</v>
      </c>
      <c r="G688" s="38" t="s">
        <v>3756</v>
      </c>
      <c r="H688" s="38" t="s">
        <v>3400</v>
      </c>
      <c r="I688" s="38" t="s">
        <v>4377</v>
      </c>
      <c r="J688" s="38"/>
      <c r="K688" s="38">
        <v>620</v>
      </c>
      <c r="L688" s="38">
        <v>7.87</v>
      </c>
      <c r="M688" s="38">
        <v>87.71</v>
      </c>
      <c r="N688" s="38"/>
      <c r="O688" s="38"/>
      <c r="P688" s="38"/>
      <c r="Q688" s="38"/>
      <c r="R688" s="38">
        <v>10.19</v>
      </c>
      <c r="S688" s="38">
        <v>1776</v>
      </c>
      <c r="T688" s="38"/>
      <c r="U688" s="38"/>
      <c r="V688" s="38"/>
      <c r="W688" s="38"/>
      <c r="X688" s="38"/>
      <c r="Y688" s="38"/>
      <c r="Z688" s="38">
        <v>0.43</v>
      </c>
      <c r="AA688" s="38">
        <v>21</v>
      </c>
      <c r="AB688" s="38"/>
      <c r="AC688" s="38">
        <v>15</v>
      </c>
      <c r="AD688" s="38">
        <v>4</v>
      </c>
      <c r="AE688" s="38"/>
      <c r="AF688" s="38"/>
      <c r="AG688" s="38">
        <v>18</v>
      </c>
      <c r="AH688" s="38"/>
      <c r="AI688" s="38">
        <v>47</v>
      </c>
      <c r="AJ688" s="38"/>
      <c r="AK688" s="38"/>
      <c r="AL688" s="38"/>
      <c r="AM688" s="38"/>
      <c r="AN688" s="38">
        <v>23.77</v>
      </c>
      <c r="AO688" s="38"/>
      <c r="AP688" s="38">
        <v>14.88</v>
      </c>
      <c r="AQ688" s="38">
        <v>332.13799999999998</v>
      </c>
      <c r="AR688" s="38" t="s">
        <v>3792</v>
      </c>
      <c r="AS688" s="38"/>
      <c r="AT688" s="38"/>
      <c r="AU688" s="38"/>
      <c r="AV688" s="38"/>
      <c r="AW688" s="38"/>
      <c r="AX688" s="38"/>
      <c r="AY688" s="38"/>
      <c r="AZ688" s="38"/>
      <c r="BA688" s="38"/>
      <c r="BB688" s="38"/>
    </row>
    <row r="689" spans="1:54">
      <c r="A689" s="38" t="s">
        <v>4217</v>
      </c>
      <c r="B689" s="38" t="s">
        <v>3652</v>
      </c>
      <c r="C689" s="38" t="s">
        <v>4378</v>
      </c>
      <c r="D689" s="38" t="s">
        <v>3351</v>
      </c>
      <c r="E689" s="38"/>
      <c r="F689" s="38" t="s">
        <v>4379</v>
      </c>
      <c r="G689" s="38" t="s">
        <v>3756</v>
      </c>
      <c r="H689" s="38" t="s">
        <v>3400</v>
      </c>
      <c r="I689" s="38" t="s">
        <v>4377</v>
      </c>
      <c r="J689" s="38"/>
      <c r="K689" s="38">
        <v>500</v>
      </c>
      <c r="L689" s="38">
        <v>34.85</v>
      </c>
      <c r="M689" s="38">
        <v>59.9</v>
      </c>
      <c r="N689" s="38"/>
      <c r="O689" s="38"/>
      <c r="P689" s="38"/>
      <c r="Q689" s="38"/>
      <c r="R689" s="38">
        <v>9.4</v>
      </c>
      <c r="S689" s="38">
        <v>2330</v>
      </c>
      <c r="T689" s="38"/>
      <c r="U689" s="38"/>
      <c r="V689" s="38"/>
      <c r="W689" s="38"/>
      <c r="X689" s="38"/>
      <c r="Y689" s="38"/>
      <c r="Z689" s="38">
        <v>0.72</v>
      </c>
      <c r="AA689" s="38">
        <v>32</v>
      </c>
      <c r="AB689" s="38"/>
      <c r="AC689" s="38">
        <v>37</v>
      </c>
      <c r="AD689" s="38">
        <v>24</v>
      </c>
      <c r="AE689" s="38"/>
      <c r="AF689" s="38"/>
      <c r="AG689" s="38">
        <v>30</v>
      </c>
      <c r="AH689" s="38"/>
      <c r="AI689" s="38">
        <v>134</v>
      </c>
      <c r="AJ689" s="38"/>
      <c r="AK689" s="38"/>
      <c r="AL689" s="38"/>
      <c r="AM689" s="38"/>
      <c r="AN689" s="38">
        <v>20.97</v>
      </c>
      <c r="AO689" s="38"/>
      <c r="AP689" s="38">
        <v>22.43</v>
      </c>
      <c r="AQ689" s="38">
        <v>92.611500000000007</v>
      </c>
      <c r="AR689" s="38" t="s">
        <v>3792</v>
      </c>
      <c r="AS689" s="38"/>
      <c r="AT689" s="38"/>
      <c r="AU689" s="38"/>
      <c r="AV689" s="38"/>
      <c r="AW689" s="38"/>
      <c r="AX689" s="38"/>
      <c r="AY689" s="38"/>
      <c r="AZ689" s="38"/>
      <c r="BA689" s="38"/>
      <c r="BB689" s="38"/>
    </row>
    <row r="690" spans="1:54">
      <c r="A690" s="38" t="s">
        <v>4348</v>
      </c>
      <c r="B690" s="38" t="s">
        <v>1948</v>
      </c>
      <c r="C690" s="38" t="s">
        <v>4160</v>
      </c>
      <c r="D690" s="38" t="s">
        <v>3351</v>
      </c>
      <c r="E690" s="38"/>
      <c r="F690" s="38" t="s">
        <v>4380</v>
      </c>
      <c r="G690" s="38" t="s">
        <v>3756</v>
      </c>
      <c r="H690" s="38" t="s">
        <v>3400</v>
      </c>
      <c r="I690" s="38" t="s">
        <v>4377</v>
      </c>
      <c r="J690" s="38"/>
      <c r="K690" s="38">
        <v>600</v>
      </c>
      <c r="L690" s="38">
        <v>73.55</v>
      </c>
      <c r="M690" s="38">
        <v>25.15</v>
      </c>
      <c r="N690" s="38"/>
      <c r="O690" s="38"/>
      <c r="P690" s="38"/>
      <c r="Q690" s="38"/>
      <c r="R690" s="38">
        <v>7.66</v>
      </c>
      <c r="S690" s="38">
        <v>3700</v>
      </c>
      <c r="T690" s="38"/>
      <c r="U690" s="38"/>
      <c r="V690" s="38"/>
      <c r="W690" s="38"/>
      <c r="X690" s="38"/>
      <c r="Y690" s="38"/>
      <c r="Z690" s="38">
        <v>4.9800000000000004</v>
      </c>
      <c r="AA690" s="38">
        <v>76</v>
      </c>
      <c r="AB690" s="38"/>
      <c r="AC690" s="38">
        <v>406</v>
      </c>
      <c r="AD690" s="38">
        <v>141</v>
      </c>
      <c r="AE690" s="38"/>
      <c r="AF690" s="38"/>
      <c r="AG690" s="38">
        <v>78</v>
      </c>
      <c r="AH690" s="38"/>
      <c r="AI690" s="38">
        <v>1350</v>
      </c>
      <c r="AJ690" s="38"/>
      <c r="AK690" s="38"/>
      <c r="AL690" s="38"/>
      <c r="AM690" s="38"/>
      <c r="AN690" s="38">
        <v>24.19</v>
      </c>
      <c r="AO690" s="38"/>
      <c r="AP690" s="38">
        <v>13.68</v>
      </c>
      <c r="AQ690" s="38">
        <v>59.157200000000003</v>
      </c>
      <c r="AR690" s="38" t="s">
        <v>3792</v>
      </c>
      <c r="AS690" s="38"/>
      <c r="AT690" s="38"/>
      <c r="AU690" s="38"/>
      <c r="AV690" s="38"/>
      <c r="AW690" s="38"/>
      <c r="AX690" s="38"/>
      <c r="AY690" s="38"/>
      <c r="AZ690" s="38"/>
      <c r="BA690" s="38"/>
      <c r="BB690" s="38"/>
    </row>
    <row r="691" spans="1:54">
      <c r="A691" s="38" t="s">
        <v>3989</v>
      </c>
      <c r="B691" s="38" t="s">
        <v>3409</v>
      </c>
      <c r="C691" s="38" t="s">
        <v>4381</v>
      </c>
      <c r="D691" s="38" t="s">
        <v>3399</v>
      </c>
      <c r="E691" s="38"/>
      <c r="F691" s="38"/>
      <c r="G691" s="38" t="s">
        <v>3756</v>
      </c>
      <c r="H691" s="38" t="s">
        <v>3400</v>
      </c>
      <c r="I691" s="38" t="s">
        <v>4382</v>
      </c>
      <c r="J691" s="38"/>
      <c r="K691" s="38">
        <v>450</v>
      </c>
      <c r="L691" s="38"/>
      <c r="M691" s="38"/>
      <c r="N691" s="38">
        <v>53.1</v>
      </c>
      <c r="O691" s="38">
        <v>2.2000000000000002</v>
      </c>
      <c r="P691" s="38"/>
      <c r="Q691" s="38"/>
      <c r="R691" s="38">
        <v>8.4</v>
      </c>
      <c r="S691" s="38">
        <v>9.1999999999999993</v>
      </c>
      <c r="T691" s="38"/>
      <c r="U691" s="38"/>
      <c r="V691" s="38"/>
      <c r="W691" s="38"/>
      <c r="X691" s="38"/>
      <c r="Y691" s="38"/>
      <c r="Z691" s="38"/>
      <c r="AA691" s="38"/>
      <c r="AB691" s="38"/>
      <c r="AC691" s="38">
        <v>8</v>
      </c>
      <c r="AD691" s="38"/>
      <c r="AE691" s="38"/>
      <c r="AF691" s="38"/>
      <c r="AG691" s="38">
        <v>5</v>
      </c>
      <c r="AH691" s="38"/>
      <c r="AI691" s="38">
        <v>36</v>
      </c>
      <c r="AJ691" s="38"/>
      <c r="AK691" s="38"/>
      <c r="AL691" s="38">
        <v>382</v>
      </c>
      <c r="AM691" s="38"/>
      <c r="AN691" s="38">
        <v>23.7</v>
      </c>
      <c r="AO691" s="38"/>
      <c r="AP691" s="38"/>
      <c r="AQ691" s="38"/>
      <c r="AR691" s="38"/>
      <c r="AS691" s="38"/>
      <c r="AT691" s="38">
        <v>33000</v>
      </c>
      <c r="AU691" s="38">
        <v>4000</v>
      </c>
      <c r="AV691" s="38">
        <v>2000</v>
      </c>
      <c r="AW691" s="38">
        <v>24000</v>
      </c>
      <c r="AX691" s="38"/>
      <c r="AY691" s="38">
        <v>2439</v>
      </c>
      <c r="AZ691" s="38"/>
      <c r="BA691" s="38"/>
      <c r="BB691" s="38"/>
    </row>
    <row r="692" spans="1:54">
      <c r="A692" s="38" t="s">
        <v>4383</v>
      </c>
      <c r="B692" s="38" t="s">
        <v>3449</v>
      </c>
      <c r="C692" s="38" t="s">
        <v>4384</v>
      </c>
      <c r="D692" s="38" t="s">
        <v>3399</v>
      </c>
      <c r="E692" s="38"/>
      <c r="F692" s="38"/>
      <c r="G692" s="38" t="s">
        <v>4385</v>
      </c>
      <c r="H692" s="38" t="s">
        <v>3400</v>
      </c>
      <c r="I692" s="38" t="s">
        <v>4386</v>
      </c>
      <c r="J692" s="38"/>
      <c r="K692" s="38">
        <v>850</v>
      </c>
      <c r="L692" s="38"/>
      <c r="M692" s="38"/>
      <c r="N692" s="38">
        <v>77.7</v>
      </c>
      <c r="O692" s="38">
        <v>0.6</v>
      </c>
      <c r="P692" s="38"/>
      <c r="Q692" s="38"/>
      <c r="R692" s="38">
        <v>6.2</v>
      </c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  <c r="AI692" s="38"/>
      <c r="AJ692" s="38"/>
      <c r="AK692" s="38"/>
      <c r="AL692" s="38"/>
      <c r="AM692" s="38"/>
      <c r="AN692" s="38"/>
      <c r="AO692" s="38"/>
      <c r="AP692" s="38"/>
      <c r="AQ692" s="38"/>
      <c r="AR692" s="38"/>
      <c r="AS692" s="38"/>
      <c r="AT692" s="38"/>
      <c r="AU692" s="38"/>
      <c r="AV692" s="38"/>
      <c r="AW692" s="38"/>
      <c r="AX692" s="38"/>
      <c r="AY692" s="38"/>
      <c r="AZ692" s="38"/>
      <c r="BA692" s="38"/>
      <c r="BB692" s="38"/>
    </row>
    <row r="693" spans="1:54">
      <c r="A693" s="38" t="s">
        <v>4387</v>
      </c>
      <c r="B693" s="38" t="s">
        <v>3471</v>
      </c>
      <c r="C693" s="38" t="s">
        <v>4388</v>
      </c>
      <c r="D693" s="38" t="s">
        <v>3399</v>
      </c>
      <c r="E693" s="38"/>
      <c r="F693" s="38"/>
      <c r="G693" s="38" t="s">
        <v>3756</v>
      </c>
      <c r="H693" s="38" t="s">
        <v>3400</v>
      </c>
      <c r="I693" s="38" t="s">
        <v>4386</v>
      </c>
      <c r="J693" s="38"/>
      <c r="K693" s="38">
        <v>540</v>
      </c>
      <c r="L693" s="38"/>
      <c r="M693" s="38"/>
      <c r="N693" s="38">
        <v>73.3</v>
      </c>
      <c r="O693" s="38">
        <v>0.3</v>
      </c>
      <c r="P693" s="38"/>
      <c r="Q693" s="38"/>
      <c r="R693" s="38">
        <v>6.6</v>
      </c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  <c r="AI693" s="38"/>
      <c r="AJ693" s="38"/>
      <c r="AK693" s="38"/>
      <c r="AL693" s="38"/>
      <c r="AM693" s="38"/>
      <c r="AN693" s="38"/>
      <c r="AO693" s="38"/>
      <c r="AP693" s="38"/>
      <c r="AQ693" s="38"/>
      <c r="AR693" s="38"/>
      <c r="AS693" s="38"/>
      <c r="AT693" s="38"/>
      <c r="AU693" s="38"/>
      <c r="AV693" s="38"/>
      <c r="AW693" s="38"/>
      <c r="AX693" s="38"/>
      <c r="AY693" s="38"/>
      <c r="AZ693" s="38"/>
      <c r="BA693" s="38"/>
      <c r="BB693" s="38"/>
    </row>
    <row r="694" spans="1:54">
      <c r="A694" s="38" t="s">
        <v>4389</v>
      </c>
      <c r="B694" s="38" t="s">
        <v>3455</v>
      </c>
      <c r="C694" s="38" t="s">
        <v>4390</v>
      </c>
      <c r="D694" s="38" t="s">
        <v>3399</v>
      </c>
      <c r="E694" s="38"/>
      <c r="F694" s="38"/>
      <c r="G694" s="38" t="s">
        <v>3756</v>
      </c>
      <c r="H694" s="38" t="s">
        <v>3400</v>
      </c>
      <c r="I694" s="38" t="s">
        <v>4391</v>
      </c>
      <c r="J694" s="38"/>
      <c r="K694" s="38">
        <v>400</v>
      </c>
      <c r="L694" s="38"/>
      <c r="M694" s="38"/>
      <c r="N694" s="38">
        <v>75.2</v>
      </c>
      <c r="O694" s="38">
        <v>0.24</v>
      </c>
      <c r="P694" s="38">
        <v>15.1</v>
      </c>
      <c r="Q694" s="38">
        <v>9</v>
      </c>
      <c r="R694" s="38">
        <v>6.1</v>
      </c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  <c r="AI694" s="38"/>
      <c r="AJ694" s="38"/>
      <c r="AK694" s="38"/>
      <c r="AL694" s="38"/>
      <c r="AM694" s="38"/>
      <c r="AN694" s="38"/>
      <c r="AO694" s="38"/>
      <c r="AP694" s="38"/>
      <c r="AQ694" s="38">
        <v>55.5</v>
      </c>
      <c r="AR694" s="38" t="s">
        <v>3792</v>
      </c>
      <c r="AS694" s="38"/>
      <c r="AT694" s="38"/>
      <c r="AU694" s="38"/>
      <c r="AV694" s="38"/>
      <c r="AW694" s="38"/>
      <c r="AX694" s="38"/>
      <c r="AY694" s="38"/>
      <c r="AZ694" s="38"/>
      <c r="BA694" s="38"/>
      <c r="BB694" s="38"/>
    </row>
    <row r="695" spans="1:54">
      <c r="A695" s="38" t="s">
        <v>4392</v>
      </c>
      <c r="B695" s="38" t="s">
        <v>3471</v>
      </c>
      <c r="C695" s="38"/>
      <c r="D695" s="38" t="s">
        <v>3399</v>
      </c>
      <c r="E695" s="38"/>
      <c r="F695" s="38"/>
      <c r="G695" s="38" t="s">
        <v>3756</v>
      </c>
      <c r="H695" s="38" t="s">
        <v>3400</v>
      </c>
      <c r="I695" s="38" t="s">
        <v>4393</v>
      </c>
      <c r="J695" s="38"/>
      <c r="K695" s="38">
        <v>650</v>
      </c>
      <c r="L695" s="38">
        <v>4.3</v>
      </c>
      <c r="M695" s="38"/>
      <c r="N695" s="38">
        <v>90</v>
      </c>
      <c r="O695" s="38">
        <v>0.3</v>
      </c>
      <c r="P695" s="38"/>
      <c r="Q695" s="38"/>
      <c r="R695" s="38">
        <v>9.4</v>
      </c>
      <c r="S695" s="38">
        <v>1.5</v>
      </c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  <c r="AI695" s="38"/>
      <c r="AJ695" s="38"/>
      <c r="AK695" s="38"/>
      <c r="AL695" s="38"/>
      <c r="AM695" s="38"/>
      <c r="AN695" s="38"/>
      <c r="AO695" s="38"/>
      <c r="AP695" s="38">
        <v>11</v>
      </c>
      <c r="AQ695" s="38">
        <v>214</v>
      </c>
      <c r="AR695" s="38" t="s">
        <v>3792</v>
      </c>
      <c r="AS695" s="38"/>
      <c r="AT695" s="38"/>
      <c r="AU695" s="38"/>
      <c r="AV695" s="38"/>
      <c r="AW695" s="38"/>
      <c r="AX695" s="38"/>
      <c r="AY695" s="38"/>
      <c r="AZ695" s="38"/>
      <c r="BA695" s="38"/>
      <c r="BB695" s="38"/>
    </row>
    <row r="696" spans="1:54">
      <c r="A696" s="38" t="s">
        <v>4394</v>
      </c>
      <c r="B696" s="38" t="s">
        <v>3455</v>
      </c>
      <c r="C696" s="38" t="s">
        <v>4395</v>
      </c>
      <c r="D696" s="38" t="s">
        <v>3399</v>
      </c>
      <c r="E696" s="38"/>
      <c r="F696" s="38"/>
      <c r="G696" s="38" t="s">
        <v>3756</v>
      </c>
      <c r="H696" s="38" t="s">
        <v>3400</v>
      </c>
      <c r="I696" s="38" t="s">
        <v>4396</v>
      </c>
      <c r="J696" s="38"/>
      <c r="K696" s="38">
        <v>450</v>
      </c>
      <c r="L696" s="38"/>
      <c r="M696" s="38"/>
      <c r="N696" s="38">
        <v>83.71</v>
      </c>
      <c r="O696" s="38">
        <v>0.36</v>
      </c>
      <c r="P696" s="38"/>
      <c r="Q696" s="38"/>
      <c r="R696" s="38">
        <v>7.52</v>
      </c>
      <c r="S696" s="38">
        <v>0.25600000000000001</v>
      </c>
      <c r="T696" s="38"/>
      <c r="U696" s="38"/>
      <c r="V696" s="38"/>
      <c r="W696" s="38"/>
      <c r="X696" s="38"/>
      <c r="Y696" s="38">
        <v>1.7</v>
      </c>
      <c r="Z696" s="38"/>
      <c r="AA696" s="38"/>
      <c r="AB696" s="38"/>
      <c r="AC696" s="38">
        <v>134</v>
      </c>
      <c r="AD696" s="38"/>
      <c r="AE696" s="38"/>
      <c r="AF696" s="38"/>
      <c r="AG696" s="38"/>
      <c r="AH696" s="38"/>
      <c r="AI696" s="38">
        <v>42</v>
      </c>
      <c r="AJ696" s="38"/>
      <c r="AK696" s="38"/>
      <c r="AL696" s="38"/>
      <c r="AM696" s="38"/>
      <c r="AN696" s="38">
        <v>12.6</v>
      </c>
      <c r="AO696" s="38"/>
      <c r="AP696" s="38"/>
      <c r="AQ696" s="38">
        <v>288</v>
      </c>
      <c r="AR696" s="38"/>
      <c r="AS696" s="38"/>
      <c r="AT696" s="38">
        <v>148</v>
      </c>
      <c r="AU696" s="38">
        <v>3316</v>
      </c>
      <c r="AV696" s="38">
        <v>574</v>
      </c>
      <c r="AW696" s="38">
        <v>1708</v>
      </c>
      <c r="AX696" s="38"/>
      <c r="AY696" s="38">
        <v>200</v>
      </c>
      <c r="AZ696" s="38"/>
      <c r="BA696" s="38"/>
      <c r="BB696" s="38"/>
    </row>
    <row r="697" spans="1:54">
      <c r="A697" s="38" t="s">
        <v>4397</v>
      </c>
      <c r="B697" s="38" t="s">
        <v>3471</v>
      </c>
      <c r="C697" s="38" t="s">
        <v>4398</v>
      </c>
      <c r="D697" s="38" t="s">
        <v>3399</v>
      </c>
      <c r="E697" s="38"/>
      <c r="F697" s="38"/>
      <c r="G697" s="38" t="s">
        <v>3756</v>
      </c>
      <c r="H697" s="38" t="s">
        <v>3400</v>
      </c>
      <c r="I697" s="38" t="s">
        <v>4396</v>
      </c>
      <c r="J697" s="38"/>
      <c r="K697" s="38">
        <v>450</v>
      </c>
      <c r="L697" s="38"/>
      <c r="M697" s="38"/>
      <c r="N697" s="38">
        <v>75.52</v>
      </c>
      <c r="O697" s="38">
        <v>1.1000000000000001</v>
      </c>
      <c r="P697" s="38"/>
      <c r="Q697" s="38"/>
      <c r="R697" s="38">
        <v>9.34</v>
      </c>
      <c r="S697" s="38">
        <v>2.4300000000000002</v>
      </c>
      <c r="T697" s="38"/>
      <c r="U697" s="38"/>
      <c r="V697" s="38"/>
      <c r="W697" s="38"/>
      <c r="X697" s="38"/>
      <c r="Y697" s="38">
        <v>6.1</v>
      </c>
      <c r="Z697" s="38"/>
      <c r="AA697" s="38"/>
      <c r="AB697" s="38"/>
      <c r="AC697" s="38">
        <v>114</v>
      </c>
      <c r="AD697" s="38"/>
      <c r="AE697" s="38"/>
      <c r="AF697" s="38"/>
      <c r="AG697" s="38"/>
      <c r="AH697" s="38"/>
      <c r="AI697" s="38">
        <v>24</v>
      </c>
      <c r="AJ697" s="38"/>
      <c r="AK697" s="38"/>
      <c r="AL697" s="38"/>
      <c r="AM697" s="38"/>
      <c r="AN697" s="38">
        <v>36.6</v>
      </c>
      <c r="AO697" s="38"/>
      <c r="AP697" s="38"/>
      <c r="AQ697" s="38">
        <v>265</v>
      </c>
      <c r="AR697" s="38"/>
      <c r="AS697" s="38"/>
      <c r="AT697" s="38">
        <v>1464</v>
      </c>
      <c r="AU697" s="38">
        <v>28524</v>
      </c>
      <c r="AV697" s="38">
        <v>2088</v>
      </c>
      <c r="AW697" s="38">
        <v>9159</v>
      </c>
      <c r="AX697" s="38"/>
      <c r="AY697" s="38">
        <v>496</v>
      </c>
      <c r="AZ697" s="38"/>
      <c r="BA697" s="38"/>
      <c r="BB697" s="38"/>
    </row>
    <row r="698" spans="1:54">
      <c r="A698" s="38" t="s">
        <v>4399</v>
      </c>
      <c r="B698" s="38" t="s">
        <v>3409</v>
      </c>
      <c r="C698" s="38" t="s">
        <v>4400</v>
      </c>
      <c r="D698" s="38" t="s">
        <v>3399</v>
      </c>
      <c r="E698" s="38"/>
      <c r="F698" s="38"/>
      <c r="G698" s="38" t="s">
        <v>3756</v>
      </c>
      <c r="H698" s="38" t="s">
        <v>3400</v>
      </c>
      <c r="I698" s="38" t="s">
        <v>4401</v>
      </c>
      <c r="J698" s="38"/>
      <c r="K698" s="38">
        <v>600</v>
      </c>
      <c r="L698" s="38"/>
      <c r="M698" s="38"/>
      <c r="N698" s="38">
        <v>83.2</v>
      </c>
      <c r="O698" s="38">
        <v>0.59</v>
      </c>
      <c r="P698" s="38">
        <v>2.2799999999999998</v>
      </c>
      <c r="Q698" s="38"/>
      <c r="R698" s="38">
        <v>9.81</v>
      </c>
      <c r="S698" s="38">
        <v>0.77</v>
      </c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38"/>
      <c r="AI698" s="38"/>
      <c r="AJ698" s="38"/>
      <c r="AK698" s="38"/>
      <c r="AL698" s="38"/>
      <c r="AM698" s="38"/>
      <c r="AN698" s="38">
        <v>15.3</v>
      </c>
      <c r="AO698" s="38"/>
      <c r="AP698" s="38"/>
      <c r="AQ698" s="38">
        <v>63.87</v>
      </c>
      <c r="AR698" s="38"/>
      <c r="AS698" s="38"/>
      <c r="AT698" s="38">
        <v>78</v>
      </c>
      <c r="AU698" s="38">
        <v>130</v>
      </c>
      <c r="AV698" s="38">
        <v>190</v>
      </c>
      <c r="AW698" s="38">
        <v>2610</v>
      </c>
      <c r="AX698" s="38"/>
      <c r="AY698" s="38"/>
      <c r="AZ698" s="38"/>
      <c r="BA698" s="38"/>
      <c r="BB698" s="38"/>
    </row>
    <row r="699" spans="1:54">
      <c r="A699" s="38" t="s">
        <v>3988</v>
      </c>
      <c r="B699" s="38" t="s">
        <v>3409</v>
      </c>
      <c r="C699" s="38" t="s">
        <v>3986</v>
      </c>
      <c r="D699" s="38" t="s">
        <v>3399</v>
      </c>
      <c r="E699" s="38"/>
      <c r="F699" s="38"/>
      <c r="G699" s="38" t="s">
        <v>3756</v>
      </c>
      <c r="H699" s="38" t="s">
        <v>3400</v>
      </c>
      <c r="I699" s="38" t="s">
        <v>4401</v>
      </c>
      <c r="J699" s="38"/>
      <c r="K699" s="38">
        <v>600</v>
      </c>
      <c r="L699" s="38"/>
      <c r="M699" s="38"/>
      <c r="N699" s="38">
        <v>51.3</v>
      </c>
      <c r="O699" s="38"/>
      <c r="P699" s="38">
        <v>2.62</v>
      </c>
      <c r="Q699" s="38">
        <v>1.07</v>
      </c>
      <c r="R699" s="38">
        <v>10.199999999999999</v>
      </c>
      <c r="S699" s="38">
        <v>1.81</v>
      </c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  <c r="AH699" s="38"/>
      <c r="AI699" s="38"/>
      <c r="AJ699" s="38"/>
      <c r="AK699" s="38"/>
      <c r="AL699" s="38"/>
      <c r="AM699" s="38"/>
      <c r="AN699" s="38">
        <v>44.7</v>
      </c>
      <c r="AO699" s="38"/>
      <c r="AP699" s="38"/>
      <c r="AQ699" s="38">
        <v>96.98</v>
      </c>
      <c r="AR699" s="38"/>
      <c r="AS699" s="38"/>
      <c r="AT699" s="38">
        <v>1670</v>
      </c>
      <c r="AU699" s="38">
        <v>3600</v>
      </c>
      <c r="AV699" s="38">
        <v>1220</v>
      </c>
      <c r="AW699" s="38">
        <v>3760</v>
      </c>
      <c r="AX699" s="38"/>
      <c r="AY699" s="38"/>
      <c r="AZ699" s="38"/>
      <c r="BA699" s="38"/>
      <c r="BB699" s="38"/>
    </row>
    <row r="700" spans="1:54">
      <c r="A700" s="38" t="s">
        <v>4402</v>
      </c>
      <c r="B700" s="38" t="s">
        <v>3431</v>
      </c>
      <c r="C700" s="38" t="s">
        <v>4403</v>
      </c>
      <c r="D700" s="38" t="s">
        <v>3399</v>
      </c>
      <c r="E700" s="38"/>
      <c r="F700" s="38"/>
      <c r="G700" s="38" t="s">
        <v>3756</v>
      </c>
      <c r="H700" s="38" t="s">
        <v>3400</v>
      </c>
      <c r="I700" s="38" t="s">
        <v>4404</v>
      </c>
      <c r="J700" s="38"/>
      <c r="K700" s="38">
        <v>600</v>
      </c>
      <c r="L700" s="38"/>
      <c r="M700" s="38"/>
      <c r="N700" s="38">
        <v>42.9</v>
      </c>
      <c r="O700" s="38">
        <v>1.1000000000000001</v>
      </c>
      <c r="P700" s="38"/>
      <c r="Q700" s="38"/>
      <c r="R700" s="38">
        <v>10.3</v>
      </c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  <c r="AI700" s="38"/>
      <c r="AJ700" s="38"/>
      <c r="AK700" s="38"/>
      <c r="AL700" s="38">
        <v>329.5</v>
      </c>
      <c r="AM700" s="38"/>
      <c r="AN700" s="38"/>
      <c r="AO700" s="38"/>
      <c r="AP700" s="38"/>
      <c r="AQ700" s="38"/>
      <c r="AR700" s="38"/>
      <c r="AS700" s="38"/>
      <c r="AT700" s="38">
        <v>1520</v>
      </c>
      <c r="AU700" s="38">
        <v>2074</v>
      </c>
      <c r="AV700" s="38">
        <v>647.5</v>
      </c>
      <c r="AW700" s="38">
        <v>15950</v>
      </c>
      <c r="AX700" s="38">
        <v>521.4</v>
      </c>
      <c r="AY700" s="38">
        <v>595.20000000000005</v>
      </c>
      <c r="AZ700" s="38"/>
      <c r="BA700" s="38"/>
      <c r="BB700" s="38"/>
    </row>
    <row r="701" spans="1:54">
      <c r="A701" s="38" t="s">
        <v>4405</v>
      </c>
      <c r="B701" s="38" t="s">
        <v>3409</v>
      </c>
      <c r="C701" s="38"/>
      <c r="D701" s="38" t="s">
        <v>3399</v>
      </c>
      <c r="E701" s="38"/>
      <c r="F701" s="38"/>
      <c r="G701" s="38" t="s">
        <v>3756</v>
      </c>
      <c r="H701" s="38" t="s">
        <v>3400</v>
      </c>
      <c r="I701" s="38" t="s">
        <v>4406</v>
      </c>
      <c r="J701" s="38"/>
      <c r="K701" s="38">
        <v>350</v>
      </c>
      <c r="L701" s="38"/>
      <c r="M701" s="38"/>
      <c r="N701" s="38">
        <v>50.95</v>
      </c>
      <c r="O701" s="38">
        <v>0.3</v>
      </c>
      <c r="P701" s="38">
        <v>5.76</v>
      </c>
      <c r="Q701" s="38">
        <v>43.14</v>
      </c>
      <c r="R701" s="38">
        <v>6.9</v>
      </c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38"/>
      <c r="AI701" s="38"/>
      <c r="AJ701" s="38"/>
      <c r="AK701" s="38"/>
      <c r="AL701" s="38"/>
      <c r="AM701" s="38"/>
      <c r="AN701" s="38"/>
      <c r="AO701" s="38"/>
      <c r="AP701" s="38"/>
      <c r="AQ701" s="38"/>
      <c r="AR701" s="38"/>
      <c r="AS701" s="38"/>
      <c r="AT701" s="38"/>
      <c r="AU701" s="38"/>
      <c r="AV701" s="38"/>
      <c r="AW701" s="38"/>
      <c r="AX701" s="38"/>
      <c r="AY701" s="38"/>
      <c r="AZ701" s="38"/>
      <c r="BA701" s="38"/>
      <c r="BB701" s="38"/>
    </row>
    <row r="702" spans="1:54">
      <c r="A702" s="38" t="s">
        <v>4407</v>
      </c>
      <c r="B702" s="38" t="s">
        <v>3409</v>
      </c>
      <c r="C702" s="38"/>
      <c r="D702" s="38" t="s">
        <v>3399</v>
      </c>
      <c r="E702" s="38"/>
      <c r="F702" s="38"/>
      <c r="G702" s="38" t="s">
        <v>3756</v>
      </c>
      <c r="H702" s="38" t="s">
        <v>3400</v>
      </c>
      <c r="I702" s="38" t="s">
        <v>4406</v>
      </c>
      <c r="J702" s="38"/>
      <c r="K702" s="38">
        <v>360</v>
      </c>
      <c r="L702" s="38"/>
      <c r="M702" s="38"/>
      <c r="N702" s="38">
        <v>51.83</v>
      </c>
      <c r="O702" s="38">
        <v>0.32</v>
      </c>
      <c r="P702" s="38">
        <v>5.91</v>
      </c>
      <c r="Q702" s="38">
        <v>42.09</v>
      </c>
      <c r="R702" s="38">
        <v>7.17</v>
      </c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38"/>
      <c r="AI702" s="38"/>
      <c r="AJ702" s="38"/>
      <c r="AK702" s="38"/>
      <c r="AL702" s="38"/>
      <c r="AM702" s="38"/>
      <c r="AN702" s="38"/>
      <c r="AO702" s="38"/>
      <c r="AP702" s="38"/>
      <c r="AQ702" s="38"/>
      <c r="AR702" s="38"/>
      <c r="AS702" s="38"/>
      <c r="AT702" s="38"/>
      <c r="AU702" s="38"/>
      <c r="AV702" s="38"/>
      <c r="AW702" s="38"/>
      <c r="AX702" s="38"/>
      <c r="AY702" s="38"/>
      <c r="AZ702" s="38"/>
      <c r="BA702" s="38"/>
      <c r="BB702" s="38"/>
    </row>
    <row r="703" spans="1:54">
      <c r="A703" s="38" t="s">
        <v>4408</v>
      </c>
      <c r="B703" s="38" t="s">
        <v>3409</v>
      </c>
      <c r="C703" s="38"/>
      <c r="D703" s="38" t="s">
        <v>3399</v>
      </c>
      <c r="E703" s="38"/>
      <c r="F703" s="38"/>
      <c r="G703" s="38" t="s">
        <v>3756</v>
      </c>
      <c r="H703" s="38" t="s">
        <v>3400</v>
      </c>
      <c r="I703" s="38" t="s">
        <v>4406</v>
      </c>
      <c r="J703" s="38"/>
      <c r="K703" s="38">
        <v>370</v>
      </c>
      <c r="L703" s="38"/>
      <c r="M703" s="38"/>
      <c r="N703" s="38">
        <v>68.16</v>
      </c>
      <c r="O703" s="38">
        <v>0.57999999999999996</v>
      </c>
      <c r="P703" s="38">
        <v>5.05</v>
      </c>
      <c r="Q703" s="38">
        <v>26.46</v>
      </c>
      <c r="R703" s="38">
        <v>8.6300000000000008</v>
      </c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  <c r="AI703" s="38"/>
      <c r="AJ703" s="38"/>
      <c r="AK703" s="38"/>
      <c r="AL703" s="38"/>
      <c r="AM703" s="38"/>
      <c r="AN703" s="38"/>
      <c r="AO703" s="38"/>
      <c r="AP703" s="38"/>
      <c r="AQ703" s="38"/>
      <c r="AR703" s="38"/>
      <c r="AS703" s="38"/>
      <c r="AT703" s="38"/>
      <c r="AU703" s="38"/>
      <c r="AV703" s="38"/>
      <c r="AW703" s="38"/>
      <c r="AX703" s="38"/>
      <c r="AY703" s="38"/>
      <c r="AZ703" s="38"/>
      <c r="BA703" s="38"/>
      <c r="BB703" s="38"/>
    </row>
    <row r="704" spans="1:54">
      <c r="A704" s="38" t="s">
        <v>4409</v>
      </c>
      <c r="B704" s="38" t="s">
        <v>3409</v>
      </c>
      <c r="C704" s="38"/>
      <c r="D704" s="38" t="s">
        <v>3399</v>
      </c>
      <c r="E704" s="38"/>
      <c r="F704" s="38"/>
      <c r="G704" s="38" t="s">
        <v>3756</v>
      </c>
      <c r="H704" s="38" t="s">
        <v>3400</v>
      </c>
      <c r="I704" s="38" t="s">
        <v>4406</v>
      </c>
      <c r="J704" s="38"/>
      <c r="K704" s="38">
        <v>400</v>
      </c>
      <c r="L704" s="38"/>
      <c r="M704" s="38"/>
      <c r="N704" s="38">
        <v>69.84</v>
      </c>
      <c r="O704" s="38">
        <v>0.64</v>
      </c>
      <c r="P704" s="38">
        <v>4.6500000000000004</v>
      </c>
      <c r="Q704" s="38">
        <v>25.11</v>
      </c>
      <c r="R704" s="38">
        <v>8.83</v>
      </c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38"/>
      <c r="AI704" s="38"/>
      <c r="AJ704" s="38"/>
      <c r="AK704" s="38"/>
      <c r="AL704" s="38"/>
      <c r="AM704" s="38"/>
      <c r="AN704" s="38"/>
      <c r="AO704" s="38"/>
      <c r="AP704" s="38"/>
      <c r="AQ704" s="38"/>
      <c r="AR704" s="38"/>
      <c r="AS704" s="38"/>
      <c r="AT704" s="38"/>
      <c r="AU704" s="38"/>
      <c r="AV704" s="38"/>
      <c r="AW704" s="38"/>
      <c r="AX704" s="38"/>
      <c r="AY704" s="38"/>
      <c r="AZ704" s="38"/>
      <c r="BA704" s="38"/>
      <c r="BB704" s="38"/>
    </row>
    <row r="705" spans="1:54">
      <c r="A705" s="38" t="s">
        <v>4410</v>
      </c>
      <c r="B705" s="38" t="s">
        <v>3409</v>
      </c>
      <c r="C705" s="38"/>
      <c r="D705" s="38" t="s">
        <v>3399</v>
      </c>
      <c r="E705" s="38"/>
      <c r="F705" s="38"/>
      <c r="G705" s="38" t="s">
        <v>3756</v>
      </c>
      <c r="H705" s="38" t="s">
        <v>3400</v>
      </c>
      <c r="I705" s="38" t="s">
        <v>4406</v>
      </c>
      <c r="J705" s="38"/>
      <c r="K705" s="38">
        <v>450</v>
      </c>
      <c r="L705" s="38"/>
      <c r="M705" s="38"/>
      <c r="N705" s="38">
        <v>72.61</v>
      </c>
      <c r="O705" s="38">
        <v>0.56000000000000005</v>
      </c>
      <c r="P705" s="38">
        <v>4.21</v>
      </c>
      <c r="Q705" s="38">
        <v>22.91</v>
      </c>
      <c r="R705" s="38">
        <v>9.25</v>
      </c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  <c r="AH705" s="38"/>
      <c r="AI705" s="38"/>
      <c r="AJ705" s="38"/>
      <c r="AK705" s="38"/>
      <c r="AL705" s="38"/>
      <c r="AM705" s="38"/>
      <c r="AN705" s="38"/>
      <c r="AO705" s="38"/>
      <c r="AP705" s="38"/>
      <c r="AQ705" s="38"/>
      <c r="AR705" s="38"/>
      <c r="AS705" s="38"/>
      <c r="AT705" s="38"/>
      <c r="AU705" s="38"/>
      <c r="AV705" s="38"/>
      <c r="AW705" s="38"/>
      <c r="AX705" s="38"/>
      <c r="AY705" s="38"/>
      <c r="AZ705" s="38"/>
      <c r="BA705" s="38"/>
      <c r="BB705" s="38"/>
    </row>
    <row r="706" spans="1:54">
      <c r="A706" s="38" t="s">
        <v>4411</v>
      </c>
      <c r="B706" s="38" t="s">
        <v>1700</v>
      </c>
      <c r="C706" s="38" t="s">
        <v>4412</v>
      </c>
      <c r="D706" s="38" t="s">
        <v>3399</v>
      </c>
      <c r="E706" s="38"/>
      <c r="F706" s="38"/>
      <c r="G706" s="38" t="s">
        <v>3756</v>
      </c>
      <c r="H706" s="38" t="s">
        <v>3400</v>
      </c>
      <c r="I706" s="38" t="s">
        <v>4413</v>
      </c>
      <c r="J706" s="38"/>
      <c r="K706" s="38">
        <v>300</v>
      </c>
      <c r="L706" s="38"/>
      <c r="M706" s="38"/>
      <c r="N706" s="38"/>
      <c r="O706" s="38">
        <v>3.71</v>
      </c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>
        <v>1038</v>
      </c>
      <c r="AD706" s="38"/>
      <c r="AE706" s="38">
        <v>7.5</v>
      </c>
      <c r="AF706" s="38"/>
      <c r="AG706" s="38"/>
      <c r="AH706" s="38"/>
      <c r="AI706" s="38">
        <v>955</v>
      </c>
      <c r="AJ706" s="38"/>
      <c r="AK706" s="38"/>
      <c r="AL706" s="38">
        <v>4700</v>
      </c>
      <c r="AM706" s="38"/>
      <c r="AN706" s="38"/>
      <c r="AO706" s="38"/>
      <c r="AP706" s="38"/>
      <c r="AQ706" s="38"/>
      <c r="AR706" s="38"/>
      <c r="AS706" s="38"/>
      <c r="AT706" s="38">
        <v>19000</v>
      </c>
      <c r="AU706" s="38">
        <v>31700</v>
      </c>
      <c r="AV706" s="38">
        <v>10200</v>
      </c>
      <c r="AW706" s="38">
        <v>58800</v>
      </c>
      <c r="AX706" s="38"/>
      <c r="AY706" s="38">
        <v>2219</v>
      </c>
      <c r="AZ706" s="38"/>
      <c r="BA706" s="38"/>
      <c r="BB706" s="38"/>
    </row>
    <row r="707" spans="1:54">
      <c r="A707" s="38" t="s">
        <v>4414</v>
      </c>
      <c r="B707" s="38" t="s">
        <v>1700</v>
      </c>
      <c r="C707" s="38" t="s">
        <v>4412</v>
      </c>
      <c r="D707" s="38" t="s">
        <v>3399</v>
      </c>
      <c r="E707" s="38"/>
      <c r="F707" s="38"/>
      <c r="G707" s="38" t="s">
        <v>4415</v>
      </c>
      <c r="H707" s="38" t="s">
        <v>3400</v>
      </c>
      <c r="I707" s="38" t="s">
        <v>4416</v>
      </c>
      <c r="J707" s="38"/>
      <c r="K707" s="38">
        <v>350</v>
      </c>
      <c r="L707" s="38"/>
      <c r="M707" s="38"/>
      <c r="N707" s="38">
        <v>32</v>
      </c>
      <c r="O707" s="38">
        <v>2.1</v>
      </c>
      <c r="P707" s="38">
        <v>2.6</v>
      </c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  <c r="AH707" s="38"/>
      <c r="AI707" s="38"/>
      <c r="AJ707" s="38"/>
      <c r="AK707" s="38"/>
      <c r="AL707" s="38"/>
      <c r="AM707" s="38"/>
      <c r="AN707" s="38"/>
      <c r="AO707" s="38"/>
      <c r="AP707" s="38"/>
      <c r="AQ707" s="38"/>
      <c r="AR707" s="38"/>
      <c r="AS707" s="38"/>
      <c r="AT707" s="38"/>
      <c r="AU707" s="38"/>
      <c r="AV707" s="38"/>
      <c r="AW707" s="38"/>
      <c r="AX707" s="38"/>
      <c r="AY707" s="38"/>
      <c r="AZ707" s="38"/>
      <c r="BA707" s="38"/>
      <c r="BB707" s="38"/>
    </row>
    <row r="708" spans="1:54">
      <c r="A708" s="38" t="s">
        <v>4414</v>
      </c>
      <c r="B708" s="38" t="s">
        <v>1700</v>
      </c>
      <c r="C708" s="38" t="s">
        <v>4417</v>
      </c>
      <c r="D708" s="38" t="s">
        <v>3399</v>
      </c>
      <c r="E708" s="38"/>
      <c r="F708" s="38"/>
      <c r="G708" s="38" t="s">
        <v>4418</v>
      </c>
      <c r="H708" s="38" t="s">
        <v>3400</v>
      </c>
      <c r="I708" s="38" t="s">
        <v>4416</v>
      </c>
      <c r="J708" s="38"/>
      <c r="K708" s="38">
        <v>350</v>
      </c>
      <c r="L708" s="38"/>
      <c r="M708" s="38"/>
      <c r="N708" s="38">
        <v>34</v>
      </c>
      <c r="O708" s="38">
        <v>2.4</v>
      </c>
      <c r="P708" s="38">
        <v>2.63</v>
      </c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  <c r="AI708" s="38"/>
      <c r="AJ708" s="38"/>
      <c r="AK708" s="38"/>
      <c r="AL708" s="38"/>
      <c r="AM708" s="38"/>
      <c r="AN708" s="38"/>
      <c r="AO708" s="38"/>
      <c r="AP708" s="38"/>
      <c r="AQ708" s="38"/>
      <c r="AR708" s="38"/>
      <c r="AS708" s="38"/>
      <c r="AT708" s="38"/>
      <c r="AU708" s="38"/>
      <c r="AV708" s="38"/>
      <c r="AW708" s="38"/>
      <c r="AX708" s="38"/>
      <c r="AY708" s="38"/>
      <c r="AZ708" s="38"/>
      <c r="BA708" s="38"/>
      <c r="BB708" s="38"/>
    </row>
    <row r="709" spans="1:54">
      <c r="A709" s="38" t="s">
        <v>4414</v>
      </c>
      <c r="B709" s="38" t="s">
        <v>1700</v>
      </c>
      <c r="C709" s="38" t="s">
        <v>4419</v>
      </c>
      <c r="D709" s="38" t="s">
        <v>3399</v>
      </c>
      <c r="E709" s="38"/>
      <c r="F709" s="38"/>
      <c r="G709" s="38" t="s">
        <v>4420</v>
      </c>
      <c r="H709" s="38" t="s">
        <v>3400</v>
      </c>
      <c r="I709" s="38" t="s">
        <v>4416</v>
      </c>
      <c r="J709" s="38"/>
      <c r="K709" s="38">
        <v>350</v>
      </c>
      <c r="L709" s="38"/>
      <c r="M709" s="38"/>
      <c r="N709" s="38">
        <v>30</v>
      </c>
      <c r="O709" s="38">
        <v>2.1</v>
      </c>
      <c r="P709" s="38">
        <v>2.4</v>
      </c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38"/>
      <c r="AJ709" s="38"/>
      <c r="AK709" s="38"/>
      <c r="AL709" s="38"/>
      <c r="AM709" s="38"/>
      <c r="AN709" s="38"/>
      <c r="AO709" s="38"/>
      <c r="AP709" s="38"/>
      <c r="AQ709" s="38"/>
      <c r="AR709" s="38"/>
      <c r="AS709" s="38"/>
      <c r="AT709" s="38"/>
      <c r="AU709" s="38"/>
      <c r="AV709" s="38"/>
      <c r="AW709" s="38"/>
      <c r="AX709" s="38"/>
      <c r="AY709" s="38"/>
      <c r="AZ709" s="38"/>
      <c r="BA709" s="38"/>
      <c r="BB709" s="38"/>
    </row>
    <row r="710" spans="1:54">
      <c r="A710" s="38" t="s">
        <v>4414</v>
      </c>
      <c r="B710" s="38" t="s">
        <v>1700</v>
      </c>
      <c r="C710" s="38" t="s">
        <v>4419</v>
      </c>
      <c r="D710" s="38" t="s">
        <v>3399</v>
      </c>
      <c r="E710" s="38"/>
      <c r="F710" s="38"/>
      <c r="G710" s="38" t="s">
        <v>4421</v>
      </c>
      <c r="H710" s="38" t="s">
        <v>3400</v>
      </c>
      <c r="I710" s="38" t="s">
        <v>4416</v>
      </c>
      <c r="J710" s="38"/>
      <c r="K710" s="38">
        <v>350</v>
      </c>
      <c r="L710" s="38"/>
      <c r="M710" s="38"/>
      <c r="N710" s="38">
        <v>31</v>
      </c>
      <c r="O710" s="38">
        <v>2.2999999999999998</v>
      </c>
      <c r="P710" s="38">
        <v>1.9</v>
      </c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  <c r="AI710" s="38"/>
      <c r="AJ710" s="38"/>
      <c r="AK710" s="38"/>
      <c r="AL710" s="38"/>
      <c r="AM710" s="38"/>
      <c r="AN710" s="38"/>
      <c r="AO710" s="38"/>
      <c r="AP710" s="38"/>
      <c r="AQ710" s="38"/>
      <c r="AR710" s="38"/>
      <c r="AS710" s="38"/>
      <c r="AT710" s="38"/>
      <c r="AU710" s="38"/>
      <c r="AV710" s="38"/>
      <c r="AW710" s="38"/>
      <c r="AX710" s="38"/>
      <c r="AY710" s="38"/>
      <c r="AZ710" s="38"/>
      <c r="BA710" s="38"/>
      <c r="BB710" s="38"/>
    </row>
    <row r="711" spans="1:54">
      <c r="A711" s="38" t="s">
        <v>4422</v>
      </c>
      <c r="B711" s="38" t="s">
        <v>1700</v>
      </c>
      <c r="C711" s="38" t="s">
        <v>4419</v>
      </c>
      <c r="D711" s="38" t="s">
        <v>3399</v>
      </c>
      <c r="E711" s="38"/>
      <c r="F711" s="38"/>
      <c r="G711" s="38" t="s">
        <v>4423</v>
      </c>
      <c r="H711" s="38" t="s">
        <v>3400</v>
      </c>
      <c r="I711" s="38" t="s">
        <v>4416</v>
      </c>
      <c r="J711" s="38"/>
      <c r="K711" s="38">
        <v>450</v>
      </c>
      <c r="L711" s="38"/>
      <c r="M711" s="38"/>
      <c r="N711" s="38">
        <v>27</v>
      </c>
      <c r="O711" s="38">
        <v>1.62</v>
      </c>
      <c r="P711" s="38">
        <v>1.3</v>
      </c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  <c r="AH711" s="38"/>
      <c r="AI711" s="38"/>
      <c r="AJ711" s="38"/>
      <c r="AK711" s="38"/>
      <c r="AL711" s="38"/>
      <c r="AM711" s="38"/>
      <c r="AN711" s="38"/>
      <c r="AO711" s="38"/>
      <c r="AP711" s="38"/>
      <c r="AQ711" s="38"/>
      <c r="AR711" s="38"/>
      <c r="AS711" s="38"/>
      <c r="AT711" s="38"/>
      <c r="AU711" s="38"/>
      <c r="AV711" s="38"/>
      <c r="AW711" s="38"/>
      <c r="AX711" s="38"/>
      <c r="AY711" s="38"/>
      <c r="AZ711" s="38"/>
      <c r="BA711" s="38"/>
      <c r="BB711" s="38"/>
    </row>
    <row r="712" spans="1:54">
      <c r="A712" s="38" t="s">
        <v>4422</v>
      </c>
      <c r="B712" s="38" t="s">
        <v>1700</v>
      </c>
      <c r="C712" s="38" t="s">
        <v>4419</v>
      </c>
      <c r="D712" s="38" t="s">
        <v>3399</v>
      </c>
      <c r="E712" s="38"/>
      <c r="F712" s="38"/>
      <c r="G712" s="38" t="s">
        <v>4424</v>
      </c>
      <c r="H712" s="38" t="s">
        <v>3400</v>
      </c>
      <c r="I712" s="38" t="s">
        <v>4416</v>
      </c>
      <c r="J712" s="38"/>
      <c r="K712" s="38">
        <v>450</v>
      </c>
      <c r="L712" s="38"/>
      <c r="M712" s="38"/>
      <c r="N712" s="38">
        <v>30</v>
      </c>
      <c r="O712" s="38">
        <v>1.75</v>
      </c>
      <c r="P712" s="38">
        <v>1.4</v>
      </c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38"/>
      <c r="AI712" s="38"/>
      <c r="AJ712" s="38"/>
      <c r="AK712" s="38"/>
      <c r="AL712" s="38"/>
      <c r="AM712" s="38"/>
      <c r="AN712" s="38"/>
      <c r="AO712" s="38"/>
      <c r="AP712" s="38"/>
      <c r="AQ712" s="38"/>
      <c r="AR712" s="38"/>
      <c r="AS712" s="38"/>
      <c r="AT712" s="38"/>
      <c r="AU712" s="38"/>
      <c r="AV712" s="38"/>
      <c r="AW712" s="38"/>
      <c r="AX712" s="38"/>
      <c r="AY712" s="38"/>
      <c r="AZ712" s="38"/>
      <c r="BA712" s="38"/>
      <c r="BB712" s="38"/>
    </row>
    <row r="713" spans="1:54">
      <c r="A713" s="38" t="s">
        <v>4422</v>
      </c>
      <c r="B713" s="38" t="s">
        <v>1700</v>
      </c>
      <c r="C713" s="38" t="s">
        <v>4419</v>
      </c>
      <c r="D713" s="38" t="s">
        <v>3399</v>
      </c>
      <c r="E713" s="38"/>
      <c r="F713" s="38"/>
      <c r="G713" s="38" t="s">
        <v>4425</v>
      </c>
      <c r="H713" s="38" t="s">
        <v>3400</v>
      </c>
      <c r="I713" s="38" t="s">
        <v>4416</v>
      </c>
      <c r="J713" s="38"/>
      <c r="K713" s="38">
        <v>450</v>
      </c>
      <c r="L713" s="38"/>
      <c r="M713" s="38"/>
      <c r="N713" s="38">
        <v>29</v>
      </c>
      <c r="O713" s="38">
        <v>1.88</v>
      </c>
      <c r="P713" s="38">
        <v>1.5</v>
      </c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38"/>
      <c r="AI713" s="38"/>
      <c r="AJ713" s="38"/>
      <c r="AK713" s="38"/>
      <c r="AL713" s="38"/>
      <c r="AM713" s="38"/>
      <c r="AN713" s="38"/>
      <c r="AO713" s="38"/>
      <c r="AP713" s="38"/>
      <c r="AQ713" s="38"/>
      <c r="AR713" s="38"/>
      <c r="AS713" s="38"/>
      <c r="AT713" s="38"/>
      <c r="AU713" s="38"/>
      <c r="AV713" s="38"/>
      <c r="AW713" s="38"/>
      <c r="AX713" s="38"/>
      <c r="AY713" s="38"/>
      <c r="AZ713" s="38"/>
      <c r="BA713" s="38"/>
      <c r="BB713" s="38"/>
    </row>
    <row r="714" spans="1:54">
      <c r="A714" s="38" t="s">
        <v>4422</v>
      </c>
      <c r="B714" s="38" t="s">
        <v>1700</v>
      </c>
      <c r="C714" s="38" t="s">
        <v>4419</v>
      </c>
      <c r="D714" s="38" t="s">
        <v>3399</v>
      </c>
      <c r="E714" s="38"/>
      <c r="F714" s="38"/>
      <c r="G714" s="38" t="s">
        <v>4426</v>
      </c>
      <c r="H714" s="38" t="s">
        <v>3400</v>
      </c>
      <c r="I714" s="38" t="s">
        <v>4416</v>
      </c>
      <c r="J714" s="38"/>
      <c r="K714" s="38">
        <v>450</v>
      </c>
      <c r="L714" s="38"/>
      <c r="M714" s="38"/>
      <c r="N714" s="38">
        <v>24</v>
      </c>
      <c r="O714" s="38">
        <v>1.5</v>
      </c>
      <c r="P714" s="38">
        <v>0.9</v>
      </c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  <c r="AH714" s="38"/>
      <c r="AI714" s="38"/>
      <c r="AJ714" s="38"/>
      <c r="AK714" s="38"/>
      <c r="AL714" s="38"/>
      <c r="AM714" s="38"/>
      <c r="AN714" s="38"/>
      <c r="AO714" s="38"/>
      <c r="AP714" s="38"/>
      <c r="AQ714" s="38"/>
      <c r="AR714" s="38"/>
      <c r="AS714" s="38"/>
      <c r="AT714" s="38"/>
      <c r="AU714" s="38"/>
      <c r="AV714" s="38"/>
      <c r="AW714" s="38"/>
      <c r="AX714" s="38"/>
      <c r="AY714" s="38"/>
      <c r="AZ714" s="38"/>
      <c r="BA714" s="38"/>
      <c r="BB714" s="38"/>
    </row>
    <row r="715" spans="1:54">
      <c r="A715" s="38" t="s">
        <v>4366</v>
      </c>
      <c r="B715" s="38" t="s">
        <v>1700</v>
      </c>
      <c r="C715" s="38" t="s">
        <v>4419</v>
      </c>
      <c r="D715" s="38" t="s">
        <v>3399</v>
      </c>
      <c r="E715" s="38"/>
      <c r="F715" s="38"/>
      <c r="G715" s="38" t="s">
        <v>4415</v>
      </c>
      <c r="H715" s="38" t="s">
        <v>3400</v>
      </c>
      <c r="I715" s="38" t="s">
        <v>4416</v>
      </c>
      <c r="J715" s="38"/>
      <c r="K715" s="38">
        <v>600</v>
      </c>
      <c r="L715" s="38"/>
      <c r="M715" s="38"/>
      <c r="N715" s="38">
        <v>26</v>
      </c>
      <c r="O715" s="38">
        <v>1.2</v>
      </c>
      <c r="P715" s="38">
        <v>0.6</v>
      </c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  <c r="AH715" s="38"/>
      <c r="AI715" s="38"/>
      <c r="AJ715" s="38"/>
      <c r="AK715" s="38"/>
      <c r="AL715" s="38"/>
      <c r="AM715" s="38"/>
      <c r="AN715" s="38"/>
      <c r="AO715" s="38"/>
      <c r="AP715" s="38"/>
      <c r="AQ715" s="38"/>
      <c r="AR715" s="38"/>
      <c r="AS715" s="38"/>
      <c r="AT715" s="38"/>
      <c r="AU715" s="38"/>
      <c r="AV715" s="38"/>
      <c r="AW715" s="38"/>
      <c r="AX715" s="38"/>
      <c r="AY715" s="38"/>
      <c r="AZ715" s="38"/>
      <c r="BA715" s="38"/>
      <c r="BB715" s="38"/>
    </row>
    <row r="716" spans="1:54">
      <c r="A716" s="38" t="s">
        <v>4366</v>
      </c>
      <c r="B716" s="38" t="s">
        <v>1700</v>
      </c>
      <c r="C716" s="38" t="s">
        <v>4419</v>
      </c>
      <c r="D716" s="38" t="s">
        <v>3399</v>
      </c>
      <c r="E716" s="38"/>
      <c r="F716" s="38"/>
      <c r="G716" s="38" t="s">
        <v>4418</v>
      </c>
      <c r="H716" s="38" t="s">
        <v>3400</v>
      </c>
      <c r="I716" s="38" t="s">
        <v>4416</v>
      </c>
      <c r="J716" s="38"/>
      <c r="K716" s="38">
        <v>600</v>
      </c>
      <c r="L716" s="38"/>
      <c r="M716" s="38"/>
      <c r="N716" s="38">
        <v>24</v>
      </c>
      <c r="O716" s="38">
        <v>1.08</v>
      </c>
      <c r="P716" s="38">
        <v>0.5</v>
      </c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38"/>
      <c r="AI716" s="38"/>
      <c r="AJ716" s="38"/>
      <c r="AK716" s="38"/>
      <c r="AL716" s="38"/>
      <c r="AM716" s="38"/>
      <c r="AN716" s="38"/>
      <c r="AO716" s="38"/>
      <c r="AP716" s="38"/>
      <c r="AQ716" s="38"/>
      <c r="AR716" s="38"/>
      <c r="AS716" s="38"/>
      <c r="AT716" s="38"/>
      <c r="AU716" s="38"/>
      <c r="AV716" s="38"/>
      <c r="AW716" s="38"/>
      <c r="AX716" s="38"/>
      <c r="AY716" s="38"/>
      <c r="AZ716" s="38"/>
      <c r="BA716" s="38"/>
      <c r="BB716" s="38"/>
    </row>
    <row r="717" spans="1:54">
      <c r="A717" s="38" t="s">
        <v>4366</v>
      </c>
      <c r="B717" s="38" t="s">
        <v>1700</v>
      </c>
      <c r="C717" s="38" t="s">
        <v>4419</v>
      </c>
      <c r="D717" s="38" t="s">
        <v>3399</v>
      </c>
      <c r="E717" s="38"/>
      <c r="F717" s="38"/>
      <c r="G717" s="38" t="s">
        <v>4427</v>
      </c>
      <c r="H717" s="38" t="s">
        <v>3400</v>
      </c>
      <c r="I717" s="38" t="s">
        <v>4416</v>
      </c>
      <c r="J717" s="38"/>
      <c r="K717" s="38">
        <v>600</v>
      </c>
      <c r="L717" s="38"/>
      <c r="M717" s="38"/>
      <c r="N717" s="38">
        <v>25</v>
      </c>
      <c r="O717" s="38">
        <v>1.24</v>
      </c>
      <c r="P717" s="38">
        <v>0.62</v>
      </c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38"/>
      <c r="AI717" s="38"/>
      <c r="AJ717" s="38"/>
      <c r="AK717" s="38"/>
      <c r="AL717" s="38"/>
      <c r="AM717" s="38"/>
      <c r="AN717" s="38"/>
      <c r="AO717" s="38"/>
      <c r="AP717" s="38"/>
      <c r="AQ717" s="38"/>
      <c r="AR717" s="38"/>
      <c r="AS717" s="38"/>
      <c r="AT717" s="38"/>
      <c r="AU717" s="38"/>
      <c r="AV717" s="38"/>
      <c r="AW717" s="38"/>
      <c r="AX717" s="38"/>
      <c r="AY717" s="38"/>
      <c r="AZ717" s="38"/>
      <c r="BA717" s="38"/>
      <c r="BB717" s="38"/>
    </row>
    <row r="718" spans="1:54">
      <c r="A718" s="38" t="s">
        <v>4366</v>
      </c>
      <c r="B718" s="38" t="s">
        <v>1700</v>
      </c>
      <c r="C718" s="38" t="s">
        <v>4419</v>
      </c>
      <c r="D718" s="38" t="s">
        <v>3399</v>
      </c>
      <c r="E718" s="38"/>
      <c r="F718" s="38"/>
      <c r="G718" s="38" t="s">
        <v>4420</v>
      </c>
      <c r="H718" s="38" t="s">
        <v>3400</v>
      </c>
      <c r="I718" s="38" t="s">
        <v>4416</v>
      </c>
      <c r="J718" s="38"/>
      <c r="K718" s="38">
        <v>600</v>
      </c>
      <c r="L718" s="38"/>
      <c r="M718" s="38"/>
      <c r="N718" s="38">
        <v>24</v>
      </c>
      <c r="O718" s="38">
        <v>1.23</v>
      </c>
      <c r="P718" s="38">
        <v>0.64</v>
      </c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  <c r="AI718" s="38"/>
      <c r="AJ718" s="38"/>
      <c r="AK718" s="38"/>
      <c r="AL718" s="38"/>
      <c r="AM718" s="38"/>
      <c r="AN718" s="38"/>
      <c r="AO718" s="38"/>
      <c r="AP718" s="38"/>
      <c r="AQ718" s="38"/>
      <c r="AR718" s="38"/>
      <c r="AS718" s="38"/>
      <c r="AT718" s="38"/>
      <c r="AU718" s="38"/>
      <c r="AV718" s="38"/>
      <c r="AW718" s="38"/>
      <c r="AX718" s="38"/>
      <c r="AY718" s="38"/>
      <c r="AZ718" s="38"/>
      <c r="BA718" s="38"/>
      <c r="BB718" s="38"/>
    </row>
    <row r="719" spans="1:54">
      <c r="A719" s="38" t="s">
        <v>4428</v>
      </c>
      <c r="B719" s="38" t="s">
        <v>3424</v>
      </c>
      <c r="C719" s="38"/>
      <c r="D719" s="38" t="s">
        <v>3399</v>
      </c>
      <c r="E719" s="38"/>
      <c r="F719" s="38"/>
      <c r="G719" s="38" t="s">
        <v>3756</v>
      </c>
      <c r="H719" s="38" t="s">
        <v>3400</v>
      </c>
      <c r="I719" s="38" t="s">
        <v>4429</v>
      </c>
      <c r="J719" s="38">
        <v>4.4000000000000004</v>
      </c>
      <c r="K719" s="38">
        <v>350</v>
      </c>
      <c r="L719" s="38">
        <v>7.7</v>
      </c>
      <c r="M719" s="38"/>
      <c r="N719" s="38">
        <v>67.3</v>
      </c>
      <c r="O719" s="38">
        <v>1.47</v>
      </c>
      <c r="P719" s="38">
        <v>4.25</v>
      </c>
      <c r="Q719" s="38"/>
      <c r="R719" s="38">
        <v>8.3000000000000007</v>
      </c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  <c r="AH719" s="38"/>
      <c r="AI719" s="38"/>
      <c r="AJ719" s="38"/>
      <c r="AK719" s="38"/>
      <c r="AL719" s="38"/>
      <c r="AM719" s="38"/>
      <c r="AN719" s="38">
        <v>55.2</v>
      </c>
      <c r="AO719" s="38"/>
      <c r="AP719" s="38">
        <v>32.6</v>
      </c>
      <c r="AQ719" s="38"/>
      <c r="AR719" s="38"/>
      <c r="AS719" s="38"/>
      <c r="AT719" s="38"/>
      <c r="AU719" s="38"/>
      <c r="AV719" s="38"/>
      <c r="AW719" s="38"/>
      <c r="AX719" s="38"/>
      <c r="AY719" s="38"/>
      <c r="AZ719" s="38"/>
      <c r="BA719" s="38"/>
      <c r="BB719" s="38"/>
    </row>
    <row r="720" spans="1:54">
      <c r="A720" s="38" t="s">
        <v>4430</v>
      </c>
      <c r="B720" s="38" t="s">
        <v>3424</v>
      </c>
      <c r="C720" s="38"/>
      <c r="D720" s="38" t="s">
        <v>3399</v>
      </c>
      <c r="E720" s="38"/>
      <c r="F720" s="38"/>
      <c r="G720" s="38" t="s">
        <v>3756</v>
      </c>
      <c r="H720" s="38" t="s">
        <v>3400</v>
      </c>
      <c r="I720" s="38" t="s">
        <v>4429</v>
      </c>
      <c r="J720" s="38">
        <v>4.2</v>
      </c>
      <c r="K720" s="38">
        <v>550</v>
      </c>
      <c r="L720" s="38">
        <v>10.9</v>
      </c>
      <c r="M720" s="38"/>
      <c r="N720" s="38">
        <v>72.099999999999994</v>
      </c>
      <c r="O720" s="38">
        <v>1.52</v>
      </c>
      <c r="P720" s="38">
        <v>2.21</v>
      </c>
      <c r="Q720" s="38"/>
      <c r="R720" s="38">
        <v>9.8000000000000007</v>
      </c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  <c r="AH720" s="38"/>
      <c r="AI720" s="38"/>
      <c r="AJ720" s="38"/>
      <c r="AK720" s="38"/>
      <c r="AL720" s="38"/>
      <c r="AM720" s="38"/>
      <c r="AN720" s="38">
        <v>61.9</v>
      </c>
      <c r="AO720" s="38"/>
      <c r="AP720" s="38">
        <v>12.1</v>
      </c>
      <c r="AQ720" s="38"/>
      <c r="AR720" s="38"/>
      <c r="AS720" s="38"/>
      <c r="AT720" s="38"/>
      <c r="AU720" s="38"/>
      <c r="AV720" s="38"/>
      <c r="AW720" s="38"/>
      <c r="AX720" s="38"/>
      <c r="AY720" s="38"/>
      <c r="AZ720" s="38"/>
      <c r="BA720" s="38"/>
      <c r="BB720" s="38"/>
    </row>
    <row r="721" spans="1:54">
      <c r="A721" s="38" t="s">
        <v>4431</v>
      </c>
      <c r="B721" s="38" t="s">
        <v>3463</v>
      </c>
      <c r="C721" s="38" t="s">
        <v>4432</v>
      </c>
      <c r="D721" s="38" t="s">
        <v>3399</v>
      </c>
      <c r="E721" s="38"/>
      <c r="F721" s="38"/>
      <c r="G721" s="38" t="s">
        <v>3756</v>
      </c>
      <c r="H721" s="38" t="s">
        <v>3400</v>
      </c>
      <c r="I721" s="38" t="s">
        <v>4429</v>
      </c>
      <c r="J721" s="38">
        <v>27.8</v>
      </c>
      <c r="K721" s="38">
        <v>480</v>
      </c>
      <c r="L721" s="38">
        <v>8.3000000000000007</v>
      </c>
      <c r="M721" s="38"/>
      <c r="N721" s="38">
        <v>68.099999999999994</v>
      </c>
      <c r="O721" s="38">
        <v>0.4</v>
      </c>
      <c r="P721" s="38">
        <v>1.5</v>
      </c>
      <c r="Q721" s="38"/>
      <c r="R721" s="38">
        <v>8.6</v>
      </c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38"/>
      <c r="AI721" s="38"/>
      <c r="AJ721" s="38"/>
      <c r="AK721" s="38"/>
      <c r="AL721" s="38"/>
      <c r="AM721" s="38"/>
      <c r="AN721" s="38">
        <v>46.3</v>
      </c>
      <c r="AO721" s="38"/>
      <c r="AP721" s="38">
        <v>12</v>
      </c>
      <c r="AQ721" s="38"/>
      <c r="AR721" s="38"/>
      <c r="AS721" s="38"/>
      <c r="AT721" s="38"/>
      <c r="AU721" s="38"/>
      <c r="AV721" s="38"/>
      <c r="AW721" s="38"/>
      <c r="AX721" s="38"/>
      <c r="AY721" s="38"/>
      <c r="AZ721" s="38"/>
      <c r="BA721" s="38"/>
      <c r="BB721" s="38"/>
    </row>
    <row r="722" spans="1:54">
      <c r="A722" s="38" t="s">
        <v>4433</v>
      </c>
      <c r="B722" s="38" t="s">
        <v>3455</v>
      </c>
      <c r="C722" s="38" t="s">
        <v>4434</v>
      </c>
      <c r="D722" s="38" t="s">
        <v>3399</v>
      </c>
      <c r="E722" s="38"/>
      <c r="F722" s="38"/>
      <c r="G722" s="38" t="s">
        <v>3756</v>
      </c>
      <c r="H722" s="38" t="s">
        <v>3400</v>
      </c>
      <c r="I722" s="38" t="s">
        <v>4435</v>
      </c>
      <c r="J722" s="38"/>
      <c r="K722" s="38">
        <v>600</v>
      </c>
      <c r="L722" s="38">
        <v>2.2999999999999998</v>
      </c>
      <c r="M722" s="38"/>
      <c r="N722" s="38">
        <v>90.3</v>
      </c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38"/>
      <c r="AI722" s="38"/>
      <c r="AJ722" s="38"/>
      <c r="AK722" s="38"/>
      <c r="AL722" s="38"/>
      <c r="AM722" s="38"/>
      <c r="AN722" s="38"/>
      <c r="AO722" s="38"/>
      <c r="AP722" s="38"/>
      <c r="AQ722" s="38">
        <v>11.8</v>
      </c>
      <c r="AR722" s="38" t="s">
        <v>3792</v>
      </c>
      <c r="AS722" s="38"/>
      <c r="AT722" s="38">
        <v>200</v>
      </c>
      <c r="AU722" s="38">
        <v>4800</v>
      </c>
      <c r="AV722" s="38">
        <v>800</v>
      </c>
      <c r="AW722" s="38">
        <v>2800</v>
      </c>
      <c r="AX722" s="38"/>
      <c r="AY722" s="38">
        <v>400</v>
      </c>
      <c r="AZ722" s="38"/>
      <c r="BA722" s="38"/>
      <c r="BB722" s="38"/>
    </row>
    <row r="723" spans="1:54">
      <c r="A723" s="38" t="s">
        <v>4436</v>
      </c>
      <c r="B723" s="38" t="s">
        <v>1700</v>
      </c>
      <c r="C723" s="38" t="s">
        <v>4437</v>
      </c>
      <c r="D723" s="38" t="s">
        <v>3399</v>
      </c>
      <c r="E723" s="38"/>
      <c r="F723" s="38"/>
      <c r="G723" s="38" t="s">
        <v>3756</v>
      </c>
      <c r="H723" s="38" t="s">
        <v>3400</v>
      </c>
      <c r="I723" s="38" t="s">
        <v>4438</v>
      </c>
      <c r="J723" s="38"/>
      <c r="K723" s="38">
        <v>350</v>
      </c>
      <c r="L723" s="38"/>
      <c r="M723" s="38"/>
      <c r="N723" s="38">
        <v>42.85</v>
      </c>
      <c r="O723" s="38">
        <v>2.36</v>
      </c>
      <c r="P723" s="38"/>
      <c r="Q723" s="38"/>
      <c r="R723" s="38">
        <v>9.7200000000000006</v>
      </c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>
        <v>40</v>
      </c>
      <c r="AD723" s="38"/>
      <c r="AE723" s="38"/>
      <c r="AF723" s="38"/>
      <c r="AG723" s="38"/>
      <c r="AH723" s="38"/>
      <c r="AI723" s="38">
        <v>150</v>
      </c>
      <c r="AJ723" s="38"/>
      <c r="AK723" s="38"/>
      <c r="AL723" s="38">
        <v>1040</v>
      </c>
      <c r="AM723" s="38"/>
      <c r="AN723" s="38"/>
      <c r="AO723" s="38"/>
      <c r="AP723" s="38"/>
      <c r="AQ723" s="38"/>
      <c r="AR723" s="38"/>
      <c r="AS723" s="38"/>
      <c r="AT723" s="38">
        <v>5730</v>
      </c>
      <c r="AU723" s="38">
        <v>33700</v>
      </c>
      <c r="AV723" s="38">
        <v>6510</v>
      </c>
      <c r="AW723" s="38">
        <v>5030</v>
      </c>
      <c r="AX723" s="38">
        <v>7190</v>
      </c>
      <c r="AY723" s="38">
        <v>8290</v>
      </c>
      <c r="AZ723" s="38"/>
      <c r="BA723" s="38"/>
      <c r="BB723" s="38"/>
    </row>
    <row r="724" spans="1:54">
      <c r="A724" s="38" t="s">
        <v>4063</v>
      </c>
      <c r="B724" s="38" t="s">
        <v>1700</v>
      </c>
      <c r="C724" s="38" t="s">
        <v>4437</v>
      </c>
      <c r="D724" s="38" t="s">
        <v>3399</v>
      </c>
      <c r="E724" s="38"/>
      <c r="F724" s="38"/>
      <c r="G724" s="38" t="s">
        <v>3756</v>
      </c>
      <c r="H724" s="38" t="s">
        <v>3400</v>
      </c>
      <c r="I724" s="38" t="s">
        <v>4438</v>
      </c>
      <c r="J724" s="38"/>
      <c r="K724" s="38">
        <v>500</v>
      </c>
      <c r="L724" s="38"/>
      <c r="M724" s="38"/>
      <c r="N724" s="38">
        <v>44.67</v>
      </c>
      <c r="O724" s="38">
        <v>1.98</v>
      </c>
      <c r="P724" s="38"/>
      <c r="Q724" s="38"/>
      <c r="R724" s="38">
        <v>10.199999999999999</v>
      </c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>
        <v>50</v>
      </c>
      <c r="AD724" s="38"/>
      <c r="AE724" s="38"/>
      <c r="AF724" s="38"/>
      <c r="AG724" s="38"/>
      <c r="AH724" s="38"/>
      <c r="AI724" s="38">
        <v>170</v>
      </c>
      <c r="AJ724" s="38"/>
      <c r="AK724" s="38"/>
      <c r="AL724" s="38">
        <v>1170</v>
      </c>
      <c r="AM724" s="38"/>
      <c r="AN724" s="38"/>
      <c r="AO724" s="38"/>
      <c r="AP724" s="38"/>
      <c r="AQ724" s="38"/>
      <c r="AR724" s="38"/>
      <c r="AS724" s="38"/>
      <c r="AT724" s="38">
        <v>6460</v>
      </c>
      <c r="AU724" s="38">
        <v>38000</v>
      </c>
      <c r="AV724" s="38">
        <v>7340</v>
      </c>
      <c r="AW724" s="38">
        <v>5670</v>
      </c>
      <c r="AX724" s="38">
        <v>8100</v>
      </c>
      <c r="AY724" s="38">
        <v>9340</v>
      </c>
      <c r="AZ724" s="38"/>
      <c r="BA724" s="38"/>
      <c r="BB724" s="38"/>
    </row>
    <row r="725" spans="1:54">
      <c r="A725" s="38" t="s">
        <v>4439</v>
      </c>
      <c r="B725" s="38" t="s">
        <v>3409</v>
      </c>
      <c r="C725" s="38" t="s">
        <v>4440</v>
      </c>
      <c r="D725" s="38" t="s">
        <v>3399</v>
      </c>
      <c r="E725" s="38"/>
      <c r="F725" s="38"/>
      <c r="G725" s="38" t="s">
        <v>3756</v>
      </c>
      <c r="H725" s="38" t="s">
        <v>3400</v>
      </c>
      <c r="I725" s="38" t="s">
        <v>4438</v>
      </c>
      <c r="J725" s="38"/>
      <c r="K725" s="38">
        <v>350</v>
      </c>
      <c r="L725" s="38"/>
      <c r="M725" s="38"/>
      <c r="N725" s="38">
        <v>52.89</v>
      </c>
      <c r="O725" s="38">
        <v>1.07</v>
      </c>
      <c r="P725" s="38"/>
      <c r="Q725" s="38"/>
      <c r="R725" s="38">
        <v>9.5</v>
      </c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  <c r="AH725" s="38"/>
      <c r="AI725" s="38">
        <v>30</v>
      </c>
      <c r="AJ725" s="38"/>
      <c r="AK725" s="38"/>
      <c r="AL725" s="38">
        <v>3820</v>
      </c>
      <c r="AM725" s="38"/>
      <c r="AN725" s="38"/>
      <c r="AO725" s="38"/>
      <c r="AP725" s="38"/>
      <c r="AQ725" s="38"/>
      <c r="AR725" s="38"/>
      <c r="AS725" s="38"/>
      <c r="AT725" s="38">
        <v>1740</v>
      </c>
      <c r="AU725" s="38">
        <v>8330</v>
      </c>
      <c r="AV725" s="38">
        <v>2420</v>
      </c>
      <c r="AW725" s="38">
        <v>21800</v>
      </c>
      <c r="AX725" s="38">
        <v>320</v>
      </c>
      <c r="AY725" s="38">
        <v>960</v>
      </c>
      <c r="AZ725" s="38"/>
      <c r="BA725" s="38"/>
      <c r="BB725" s="38"/>
    </row>
    <row r="726" spans="1:54">
      <c r="A726" s="38" t="s">
        <v>4002</v>
      </c>
      <c r="B726" s="38" t="s">
        <v>3409</v>
      </c>
      <c r="C726" s="38" t="s">
        <v>4440</v>
      </c>
      <c r="D726" s="38" t="s">
        <v>3399</v>
      </c>
      <c r="E726" s="38"/>
      <c r="F726" s="38"/>
      <c r="G726" s="38" t="s">
        <v>3756</v>
      </c>
      <c r="H726" s="38" t="s">
        <v>3400</v>
      </c>
      <c r="I726" s="38" t="s">
        <v>4438</v>
      </c>
      <c r="J726" s="38"/>
      <c r="K726" s="38">
        <v>500</v>
      </c>
      <c r="L726" s="38"/>
      <c r="M726" s="38"/>
      <c r="N726" s="38">
        <v>57.19</v>
      </c>
      <c r="O726" s="38">
        <v>1.57</v>
      </c>
      <c r="P726" s="38"/>
      <c r="Q726" s="38"/>
      <c r="R726" s="38">
        <v>10.5</v>
      </c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>
        <v>10</v>
      </c>
      <c r="AD726" s="38"/>
      <c r="AE726" s="38"/>
      <c r="AF726" s="38"/>
      <c r="AG726" s="38"/>
      <c r="AH726" s="38"/>
      <c r="AI726" s="38">
        <v>50</v>
      </c>
      <c r="AJ726" s="38"/>
      <c r="AK726" s="38"/>
      <c r="AL726" s="38">
        <v>5330</v>
      </c>
      <c r="AM726" s="38"/>
      <c r="AN726" s="38"/>
      <c r="AO726" s="38"/>
      <c r="AP726" s="38"/>
      <c r="AQ726" s="38"/>
      <c r="AR726" s="38"/>
      <c r="AS726" s="38"/>
      <c r="AT726" s="38">
        <v>2420</v>
      </c>
      <c r="AU726" s="38">
        <v>11600</v>
      </c>
      <c r="AV726" s="38">
        <v>3380</v>
      </c>
      <c r="AW726" s="38">
        <v>30500</v>
      </c>
      <c r="AX726" s="38">
        <v>450</v>
      </c>
      <c r="AY726" s="38">
        <v>1350</v>
      </c>
      <c r="AZ726" s="38"/>
      <c r="BA726" s="38"/>
      <c r="BB726" s="38"/>
    </row>
    <row r="727" spans="1:54">
      <c r="A727" s="38" t="s">
        <v>4441</v>
      </c>
      <c r="B727" s="38" t="s">
        <v>3471</v>
      </c>
      <c r="C727" s="38" t="s">
        <v>4442</v>
      </c>
      <c r="D727" s="38" t="s">
        <v>3399</v>
      </c>
      <c r="E727" s="38"/>
      <c r="F727" s="38"/>
      <c r="G727" s="38" t="s">
        <v>3756</v>
      </c>
      <c r="H727" s="38" t="s">
        <v>3400</v>
      </c>
      <c r="I727" s="38" t="s">
        <v>4443</v>
      </c>
      <c r="J727" s="38"/>
      <c r="K727" s="38">
        <v>600</v>
      </c>
      <c r="L727" s="38">
        <v>11.94</v>
      </c>
      <c r="M727" s="38">
        <v>75.81</v>
      </c>
      <c r="N727" s="38"/>
      <c r="O727" s="38">
        <v>0.64</v>
      </c>
      <c r="P727" s="38">
        <v>1.1200000000000001</v>
      </c>
      <c r="Q727" s="38">
        <v>10.49</v>
      </c>
      <c r="R727" s="38">
        <v>10.25</v>
      </c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  <c r="AH727" s="38"/>
      <c r="AI727" s="38"/>
      <c r="AJ727" s="38"/>
      <c r="AK727" s="38"/>
      <c r="AL727" s="38"/>
      <c r="AM727" s="38"/>
      <c r="AN727" s="38"/>
      <c r="AO727" s="38"/>
      <c r="AP727" s="38"/>
      <c r="AQ727" s="38">
        <v>154.6</v>
      </c>
      <c r="AR727" s="38" t="s">
        <v>3792</v>
      </c>
      <c r="AS727" s="38"/>
      <c r="AT727" s="38"/>
      <c r="AU727" s="38"/>
      <c r="AV727" s="38"/>
      <c r="AW727" s="38"/>
      <c r="AX727" s="38"/>
      <c r="AY727" s="38"/>
      <c r="AZ727" s="38"/>
      <c r="BA727" s="38"/>
      <c r="BB727" s="38"/>
    </row>
    <row r="728" spans="1:54">
      <c r="A728" s="38" t="s">
        <v>4444</v>
      </c>
      <c r="B728" s="38" t="s">
        <v>3409</v>
      </c>
      <c r="C728" s="38" t="s">
        <v>4445</v>
      </c>
      <c r="D728" s="38" t="s">
        <v>3399</v>
      </c>
      <c r="E728" s="38"/>
      <c r="F728" s="38"/>
      <c r="G728" s="38" t="s">
        <v>3756</v>
      </c>
      <c r="H728" s="38" t="s">
        <v>3400</v>
      </c>
      <c r="I728" s="38" t="s">
        <v>4443</v>
      </c>
      <c r="J728" s="38"/>
      <c r="K728" s="38">
        <v>600</v>
      </c>
      <c r="L728" s="38">
        <v>14.36</v>
      </c>
      <c r="M728" s="38">
        <v>75.92</v>
      </c>
      <c r="N728" s="38"/>
      <c r="O728" s="38">
        <v>1.1599999999999999</v>
      </c>
      <c r="P728" s="38">
        <v>2.11</v>
      </c>
      <c r="Q728" s="38">
        <v>6.45</v>
      </c>
      <c r="R728" s="38">
        <v>10.220000000000001</v>
      </c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38"/>
      <c r="AI728" s="38"/>
      <c r="AJ728" s="38"/>
      <c r="AK728" s="38"/>
      <c r="AL728" s="38"/>
      <c r="AM728" s="38"/>
      <c r="AN728" s="38"/>
      <c r="AO728" s="38"/>
      <c r="AP728" s="38"/>
      <c r="AQ728" s="38">
        <v>137.69999999999999</v>
      </c>
      <c r="AR728" s="38" t="s">
        <v>3792</v>
      </c>
      <c r="AS728" s="38"/>
      <c r="AT728" s="38"/>
      <c r="AU728" s="38"/>
      <c r="AV728" s="38"/>
      <c r="AW728" s="38"/>
      <c r="AX728" s="38"/>
      <c r="AY728" s="38"/>
      <c r="AZ728" s="38"/>
      <c r="BA728" s="38"/>
      <c r="BB728" s="38"/>
    </row>
    <row r="729" spans="1:54">
      <c r="A729" s="38" t="s">
        <v>4446</v>
      </c>
      <c r="B729" s="38" t="s">
        <v>3471</v>
      </c>
      <c r="C729" s="38" t="s">
        <v>4447</v>
      </c>
      <c r="D729" s="38" t="s">
        <v>3399</v>
      </c>
      <c r="E729" s="38"/>
      <c r="F729" s="38"/>
      <c r="G729" s="38" t="s">
        <v>3756</v>
      </c>
      <c r="H729" s="38" t="s">
        <v>3400</v>
      </c>
      <c r="I729" s="38" t="s">
        <v>4448</v>
      </c>
      <c r="J729" s="38"/>
      <c r="K729" s="38">
        <v>500</v>
      </c>
      <c r="L729" s="38"/>
      <c r="M729" s="38"/>
      <c r="N729" s="38">
        <v>84</v>
      </c>
      <c r="O729" s="38">
        <v>1.2</v>
      </c>
      <c r="P729" s="38"/>
      <c r="Q729" s="38"/>
      <c r="R729" s="38">
        <v>7.2</v>
      </c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  <c r="AH729" s="38"/>
      <c r="AI729" s="38"/>
      <c r="AJ729" s="38"/>
      <c r="AK729" s="38"/>
      <c r="AL729" s="38"/>
      <c r="AM729" s="38"/>
      <c r="AN729" s="38"/>
      <c r="AO729" s="38"/>
      <c r="AP729" s="38"/>
      <c r="AQ729" s="38"/>
      <c r="AR729" s="38"/>
      <c r="AS729" s="38"/>
      <c r="AT729" s="38"/>
      <c r="AU729" s="38"/>
      <c r="AV729" s="38"/>
      <c r="AW729" s="38"/>
      <c r="AX729" s="38"/>
      <c r="AY729" s="38"/>
      <c r="AZ729" s="38"/>
      <c r="BA729" s="38"/>
      <c r="BB729" s="38"/>
    </row>
    <row r="730" spans="1:54">
      <c r="A730" s="38" t="s">
        <v>4449</v>
      </c>
      <c r="B730" s="38" t="s">
        <v>3409</v>
      </c>
      <c r="C730" s="38" t="s">
        <v>4445</v>
      </c>
      <c r="D730" s="38" t="s">
        <v>3351</v>
      </c>
      <c r="E730" s="38"/>
      <c r="F730" s="38"/>
      <c r="G730" s="38" t="s">
        <v>4450</v>
      </c>
      <c r="H730" s="38" t="s">
        <v>3400</v>
      </c>
      <c r="I730" s="38" t="s">
        <v>4451</v>
      </c>
      <c r="J730" s="38"/>
      <c r="K730" s="38">
        <v>750</v>
      </c>
      <c r="L730" s="38">
        <v>11.9</v>
      </c>
      <c r="M730" s="38">
        <v>83.9</v>
      </c>
      <c r="N730" s="38">
        <v>86</v>
      </c>
      <c r="O730" s="38">
        <v>0.45</v>
      </c>
      <c r="P730" s="38">
        <v>1.49</v>
      </c>
      <c r="Q730" s="38"/>
      <c r="R730" s="38">
        <v>9.5</v>
      </c>
      <c r="S730" s="38">
        <v>0.08</v>
      </c>
      <c r="T730" s="38"/>
      <c r="U730" s="38"/>
      <c r="V730" s="38"/>
      <c r="W730" s="38"/>
      <c r="X730" s="38"/>
      <c r="Y730" s="38"/>
      <c r="Z730" s="38"/>
      <c r="AA730" s="38"/>
      <c r="AB730" s="38"/>
      <c r="AC730" s="38">
        <v>19</v>
      </c>
      <c r="AD730" s="38"/>
      <c r="AE730" s="38"/>
      <c r="AF730" s="38"/>
      <c r="AG730" s="38"/>
      <c r="AH730" s="38"/>
      <c r="AI730" s="38">
        <v>33</v>
      </c>
      <c r="AJ730" s="38"/>
      <c r="AK730" s="38"/>
      <c r="AL730" s="38"/>
      <c r="AM730" s="38"/>
      <c r="AN730" s="38">
        <v>15</v>
      </c>
      <c r="AO730" s="38"/>
      <c r="AP730" s="38"/>
      <c r="AQ730" s="38">
        <v>907.4</v>
      </c>
      <c r="AR730" s="38" t="s">
        <v>3792</v>
      </c>
      <c r="AS730" s="38"/>
      <c r="AT730" s="38"/>
      <c r="AU730" s="38"/>
      <c r="AV730" s="38"/>
      <c r="AW730" s="38"/>
      <c r="AX730" s="38"/>
      <c r="AY730" s="38"/>
      <c r="AZ730" s="38"/>
      <c r="BA730" s="38"/>
      <c r="BB730" s="38"/>
    </row>
    <row r="731" spans="1:54">
      <c r="A731" s="38" t="s">
        <v>4002</v>
      </c>
      <c r="B731" s="38" t="s">
        <v>3409</v>
      </c>
      <c r="C731" s="38" t="s">
        <v>4440</v>
      </c>
      <c r="D731" s="38" t="s">
        <v>3399</v>
      </c>
      <c r="E731" s="38"/>
      <c r="F731" s="38"/>
      <c r="G731" s="38" t="s">
        <v>3756</v>
      </c>
      <c r="H731" s="38" t="s">
        <v>3400</v>
      </c>
      <c r="I731" s="38" t="s">
        <v>4451</v>
      </c>
      <c r="J731" s="38"/>
      <c r="K731" s="38">
        <v>500</v>
      </c>
      <c r="L731" s="38">
        <v>42.7</v>
      </c>
      <c r="M731" s="38">
        <v>47</v>
      </c>
      <c r="N731" s="38">
        <v>50.8</v>
      </c>
      <c r="O731" s="38">
        <v>1.66</v>
      </c>
      <c r="P731" s="38">
        <v>1.72</v>
      </c>
      <c r="Q731" s="38"/>
      <c r="R731" s="38">
        <v>10</v>
      </c>
      <c r="S731" s="38">
        <v>0.18</v>
      </c>
      <c r="T731" s="38"/>
      <c r="U731" s="38"/>
      <c r="V731" s="38"/>
      <c r="W731" s="38"/>
      <c r="X731" s="38"/>
      <c r="Y731" s="38"/>
      <c r="Z731" s="38"/>
      <c r="AA731" s="38"/>
      <c r="AB731" s="38"/>
      <c r="AC731" s="38">
        <v>47</v>
      </c>
      <c r="AD731" s="38">
        <v>4.8</v>
      </c>
      <c r="AE731" s="38"/>
      <c r="AF731" s="38"/>
      <c r="AG731" s="38"/>
      <c r="AH731" s="38"/>
      <c r="AI731" s="38">
        <v>197</v>
      </c>
      <c r="AJ731" s="38"/>
      <c r="AK731" s="38"/>
      <c r="AL731" s="38"/>
      <c r="AM731" s="38"/>
      <c r="AN731" s="38">
        <v>45</v>
      </c>
      <c r="AO731" s="38"/>
      <c r="AP731" s="38"/>
      <c r="AQ731" s="38">
        <v>36.700000000000003</v>
      </c>
      <c r="AR731" s="38" t="s">
        <v>3792</v>
      </c>
      <c r="AS731" s="38"/>
      <c r="AT731" s="38"/>
      <c r="AU731" s="38"/>
      <c r="AV731" s="38"/>
      <c r="AW731" s="38"/>
      <c r="AX731" s="38"/>
      <c r="AY731" s="38"/>
      <c r="AZ731" s="38"/>
      <c r="BA731" s="38"/>
      <c r="BB731" s="38"/>
    </row>
    <row r="732" spans="1:54">
      <c r="A732" s="38" t="s">
        <v>4110</v>
      </c>
      <c r="B732" s="38" t="s">
        <v>3409</v>
      </c>
      <c r="C732" s="38" t="s">
        <v>4452</v>
      </c>
      <c r="D732" s="38" t="s">
        <v>3399</v>
      </c>
      <c r="E732" s="38"/>
      <c r="F732" s="38"/>
      <c r="G732" s="38" t="s">
        <v>3756</v>
      </c>
      <c r="H732" s="38" t="s">
        <v>3400</v>
      </c>
      <c r="I732" s="38" t="s">
        <v>4453</v>
      </c>
      <c r="J732" s="38"/>
      <c r="K732" s="38">
        <v>500</v>
      </c>
      <c r="L732" s="38"/>
      <c r="M732" s="38">
        <v>40.652999999999999</v>
      </c>
      <c r="N732" s="38"/>
      <c r="O732" s="38"/>
      <c r="P732" s="38"/>
      <c r="Q732" s="38"/>
      <c r="R732" s="38">
        <v>9.39</v>
      </c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  <c r="AI732" s="38"/>
      <c r="AJ732" s="38"/>
      <c r="AK732" s="38"/>
      <c r="AL732" s="38"/>
      <c r="AM732" s="38"/>
      <c r="AN732" s="38"/>
      <c r="AO732" s="38"/>
      <c r="AP732" s="38"/>
      <c r="AQ732" s="38"/>
      <c r="AR732" s="38"/>
      <c r="AS732" s="38"/>
      <c r="AT732" s="38"/>
      <c r="AU732" s="38">
        <v>6784.33</v>
      </c>
      <c r="AV732" s="38">
        <v>2085.08</v>
      </c>
      <c r="AW732" s="38"/>
      <c r="AX732" s="38">
        <v>16826.98</v>
      </c>
      <c r="AY732" s="38">
        <v>1052.76</v>
      </c>
      <c r="AZ732" s="38"/>
      <c r="BA732" s="38"/>
      <c r="BB732" s="38"/>
    </row>
    <row r="733" spans="1:54">
      <c r="A733" s="38" t="s">
        <v>4454</v>
      </c>
      <c r="B733" s="38" t="s">
        <v>3463</v>
      </c>
      <c r="C733" s="38"/>
      <c r="D733" s="38" t="s">
        <v>3399</v>
      </c>
      <c r="E733" s="38"/>
      <c r="F733" s="38"/>
      <c r="G733" s="38" t="s">
        <v>3756</v>
      </c>
      <c r="H733" s="38" t="s">
        <v>3400</v>
      </c>
      <c r="I733" s="38" t="s">
        <v>4455</v>
      </c>
      <c r="J733" s="38"/>
      <c r="K733" s="38">
        <v>500</v>
      </c>
      <c r="L733" s="38"/>
      <c r="M733" s="38"/>
      <c r="N733" s="38">
        <v>75.8</v>
      </c>
      <c r="O733" s="38">
        <v>0.29599999999999999</v>
      </c>
      <c r="P733" s="38">
        <v>8.0299999999999994</v>
      </c>
      <c r="Q733" s="38">
        <v>8.42</v>
      </c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38"/>
      <c r="AJ733" s="38"/>
      <c r="AK733" s="38"/>
      <c r="AL733" s="38"/>
      <c r="AM733" s="38"/>
      <c r="AN733" s="38"/>
      <c r="AO733" s="38"/>
      <c r="AP733" s="38"/>
      <c r="AQ733" s="38">
        <v>203</v>
      </c>
      <c r="AR733" s="38"/>
      <c r="AS733" s="38"/>
      <c r="AT733" s="38"/>
      <c r="AU733" s="38"/>
      <c r="AV733" s="38"/>
      <c r="AW733" s="38"/>
      <c r="AX733" s="38"/>
      <c r="AY733" s="38"/>
      <c r="AZ733" s="38"/>
      <c r="BA733" s="38"/>
      <c r="BB733" s="38"/>
    </row>
    <row r="734" spans="1:54">
      <c r="A734" s="38" t="s">
        <v>4029</v>
      </c>
      <c r="B734" s="38" t="s">
        <v>3409</v>
      </c>
      <c r="C734" s="38"/>
      <c r="D734" s="38" t="s">
        <v>3399</v>
      </c>
      <c r="E734" s="38"/>
      <c r="F734" s="38"/>
      <c r="G734" s="38" t="s">
        <v>3756</v>
      </c>
      <c r="H734" s="38" t="s">
        <v>3400</v>
      </c>
      <c r="I734" s="38" t="s">
        <v>4455</v>
      </c>
      <c r="J734" s="38"/>
      <c r="K734" s="38">
        <v>500</v>
      </c>
      <c r="L734" s="38"/>
      <c r="M734" s="38"/>
      <c r="N734" s="38">
        <v>62.1</v>
      </c>
      <c r="O734" s="38">
        <v>2.83</v>
      </c>
      <c r="P734" s="38">
        <v>1.65</v>
      </c>
      <c r="Q734" s="38">
        <v>17.8</v>
      </c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  <c r="AI734" s="38"/>
      <c r="AJ734" s="38"/>
      <c r="AK734" s="38"/>
      <c r="AL734" s="38"/>
      <c r="AM734" s="38"/>
      <c r="AN734" s="38"/>
      <c r="AO734" s="38"/>
      <c r="AP734" s="38"/>
      <c r="AQ734" s="38">
        <v>3.33</v>
      </c>
      <c r="AR734" s="38"/>
      <c r="AS734" s="38"/>
      <c r="AT734" s="38"/>
      <c r="AU734" s="38"/>
      <c r="AV734" s="38"/>
      <c r="AW734" s="38"/>
      <c r="AX734" s="38"/>
      <c r="AY734" s="38"/>
      <c r="AZ734" s="38"/>
      <c r="BA734" s="38"/>
      <c r="BB734" s="38"/>
    </row>
    <row r="735" spans="1:54">
      <c r="A735" s="38" t="s">
        <v>4033</v>
      </c>
      <c r="B735" s="38" t="s">
        <v>3409</v>
      </c>
      <c r="C735" s="38" t="s">
        <v>4381</v>
      </c>
      <c r="D735" s="38" t="s">
        <v>3399</v>
      </c>
      <c r="E735" s="38"/>
      <c r="F735" s="38"/>
      <c r="G735" s="38" t="s">
        <v>3756</v>
      </c>
      <c r="H735" s="38" t="s">
        <v>3400</v>
      </c>
      <c r="I735" s="38" t="s">
        <v>4455</v>
      </c>
      <c r="J735" s="38"/>
      <c r="K735" s="38">
        <v>200</v>
      </c>
      <c r="L735" s="38"/>
      <c r="M735" s="38"/>
      <c r="N735" s="38">
        <v>38.700000000000003</v>
      </c>
      <c r="O735" s="38">
        <v>0.26</v>
      </c>
      <c r="P735" s="38">
        <v>7.37</v>
      </c>
      <c r="Q735" s="38">
        <v>48.3</v>
      </c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  <c r="AH735" s="38"/>
      <c r="AI735" s="38"/>
      <c r="AJ735" s="38"/>
      <c r="AK735" s="38"/>
      <c r="AL735" s="38"/>
      <c r="AM735" s="38"/>
      <c r="AN735" s="38"/>
      <c r="AO735" s="38"/>
      <c r="AP735" s="38"/>
      <c r="AQ735" s="38"/>
      <c r="AR735" s="38"/>
      <c r="AS735" s="38"/>
      <c r="AT735" s="38"/>
      <c r="AU735" s="38"/>
      <c r="AV735" s="38"/>
      <c r="AW735" s="38"/>
      <c r="AX735" s="38"/>
      <c r="AY735" s="38"/>
      <c r="AZ735" s="38"/>
      <c r="BA735" s="38"/>
      <c r="BB735" s="38"/>
    </row>
    <row r="736" spans="1:54">
      <c r="A736" s="38" t="s">
        <v>4034</v>
      </c>
      <c r="B736" s="38" t="s">
        <v>3409</v>
      </c>
      <c r="C736" s="38" t="s">
        <v>4381</v>
      </c>
      <c r="D736" s="38" t="s">
        <v>3399</v>
      </c>
      <c r="E736" s="38"/>
      <c r="F736" s="38"/>
      <c r="G736" s="38" t="s">
        <v>3997</v>
      </c>
      <c r="H736" s="38" t="s">
        <v>3400</v>
      </c>
      <c r="I736" s="38" t="s">
        <v>4455</v>
      </c>
      <c r="J736" s="38"/>
      <c r="K736" s="38">
        <v>350</v>
      </c>
      <c r="L736" s="38"/>
      <c r="M736" s="38"/>
      <c r="N736" s="38">
        <v>59.8</v>
      </c>
      <c r="O736" s="38">
        <v>0.59</v>
      </c>
      <c r="P736" s="38">
        <v>6.48</v>
      </c>
      <c r="Q736" s="38">
        <v>22.1</v>
      </c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38"/>
      <c r="AI736" s="38"/>
      <c r="AJ736" s="38"/>
      <c r="AK736" s="38"/>
      <c r="AL736" s="38"/>
      <c r="AM736" s="38"/>
      <c r="AN736" s="38"/>
      <c r="AO736" s="38"/>
      <c r="AP736" s="38"/>
      <c r="AQ736" s="38">
        <v>3.48</v>
      </c>
      <c r="AR736" s="38"/>
      <c r="AS736" s="38"/>
      <c r="AT736" s="38"/>
      <c r="AU736" s="38"/>
      <c r="AV736" s="38"/>
      <c r="AW736" s="38"/>
      <c r="AX736" s="38"/>
      <c r="AY736" s="38"/>
      <c r="AZ736" s="38"/>
      <c r="BA736" s="38"/>
      <c r="BB736" s="38"/>
    </row>
    <row r="737" spans="1:54">
      <c r="A737" s="38" t="s">
        <v>4035</v>
      </c>
      <c r="B737" s="38" t="s">
        <v>3409</v>
      </c>
      <c r="C737" s="38" t="s">
        <v>4381</v>
      </c>
      <c r="D737" s="38" t="s">
        <v>3399</v>
      </c>
      <c r="E737" s="38"/>
      <c r="F737" s="38"/>
      <c r="G737" s="38" t="s">
        <v>3997</v>
      </c>
      <c r="H737" s="38" t="s">
        <v>3400</v>
      </c>
      <c r="I737" s="38" t="s">
        <v>4455</v>
      </c>
      <c r="J737" s="38"/>
      <c r="K737" s="38">
        <v>500</v>
      </c>
      <c r="L737" s="38"/>
      <c r="M737" s="38"/>
      <c r="N737" s="38">
        <v>62.9</v>
      </c>
      <c r="O737" s="38">
        <v>0.68</v>
      </c>
      <c r="P737" s="38">
        <v>4.1900000000000004</v>
      </c>
      <c r="Q737" s="38">
        <v>18.8</v>
      </c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  <c r="AH737" s="38"/>
      <c r="AI737" s="38"/>
      <c r="AJ737" s="38"/>
      <c r="AK737" s="38"/>
      <c r="AL737" s="38"/>
      <c r="AM737" s="38"/>
      <c r="AN737" s="38"/>
      <c r="AO737" s="38"/>
      <c r="AP737" s="38"/>
      <c r="AQ737" s="38">
        <v>33.200000000000003</v>
      </c>
      <c r="AR737" s="38"/>
      <c r="AS737" s="38"/>
      <c r="AT737" s="38"/>
      <c r="AU737" s="38"/>
      <c r="AV737" s="38"/>
      <c r="AW737" s="38"/>
      <c r="AX737" s="38"/>
      <c r="AY737" s="38"/>
      <c r="AZ737" s="38"/>
      <c r="BA737" s="38"/>
      <c r="BB737" s="38"/>
    </row>
    <row r="738" spans="1:54">
      <c r="A738" s="38" t="s">
        <v>4036</v>
      </c>
      <c r="B738" s="38" t="s">
        <v>3409</v>
      </c>
      <c r="C738" s="38" t="s">
        <v>4381</v>
      </c>
      <c r="D738" s="38" t="s">
        <v>3399</v>
      </c>
      <c r="E738" s="38"/>
      <c r="F738" s="38"/>
      <c r="G738" s="38" t="s">
        <v>3997</v>
      </c>
      <c r="H738" s="38" t="s">
        <v>3400</v>
      </c>
      <c r="I738" s="38" t="s">
        <v>4455</v>
      </c>
      <c r="J738" s="38"/>
      <c r="K738" s="38">
        <v>650</v>
      </c>
      <c r="L738" s="38"/>
      <c r="M738" s="38"/>
      <c r="N738" s="38">
        <v>68.900000000000006</v>
      </c>
      <c r="O738" s="38">
        <v>0.53</v>
      </c>
      <c r="P738" s="38">
        <v>1.34</v>
      </c>
      <c r="Q738" s="38">
        <v>17.100000000000001</v>
      </c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38"/>
      <c r="AI738" s="38"/>
      <c r="AJ738" s="38"/>
      <c r="AK738" s="38"/>
      <c r="AL738" s="38"/>
      <c r="AM738" s="38"/>
      <c r="AN738" s="38"/>
      <c r="AO738" s="38"/>
      <c r="AP738" s="38"/>
      <c r="AQ738" s="38">
        <v>182</v>
      </c>
      <c r="AR738" s="38"/>
      <c r="AS738" s="38"/>
      <c r="AT738" s="38"/>
      <c r="AU738" s="38"/>
      <c r="AV738" s="38"/>
      <c r="AW738" s="38"/>
      <c r="AX738" s="38"/>
      <c r="AY738" s="38"/>
      <c r="AZ738" s="38"/>
      <c r="BA738" s="38"/>
      <c r="BB738" s="38"/>
    </row>
    <row r="739" spans="1:54">
      <c r="A739" s="38" t="s">
        <v>4030</v>
      </c>
      <c r="B739" s="38" t="s">
        <v>3449</v>
      </c>
      <c r="C739" s="38" t="s">
        <v>4456</v>
      </c>
      <c r="D739" s="38" t="s">
        <v>3399</v>
      </c>
      <c r="E739" s="38"/>
      <c r="F739" s="38"/>
      <c r="G739" s="38" t="s">
        <v>3997</v>
      </c>
      <c r="H739" s="38" t="s">
        <v>3400</v>
      </c>
      <c r="I739" s="38" t="s">
        <v>4455</v>
      </c>
      <c r="J739" s="38"/>
      <c r="K739" s="38">
        <v>500</v>
      </c>
      <c r="L739" s="38"/>
      <c r="M739" s="38"/>
      <c r="N739" s="38">
        <v>73.7</v>
      </c>
      <c r="O739" s="38">
        <v>7.76</v>
      </c>
      <c r="P739" s="38">
        <v>0.95</v>
      </c>
      <c r="Q739" s="38">
        <v>9.64</v>
      </c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38"/>
      <c r="AI739" s="38"/>
      <c r="AJ739" s="38"/>
      <c r="AK739" s="38"/>
      <c r="AL739" s="38"/>
      <c r="AM739" s="38"/>
      <c r="AN739" s="38"/>
      <c r="AO739" s="38"/>
      <c r="AP739" s="38"/>
      <c r="AQ739" s="38">
        <v>43.5</v>
      </c>
      <c r="AR739" s="38"/>
      <c r="AS739" s="38"/>
      <c r="AT739" s="38"/>
      <c r="AU739" s="38"/>
      <c r="AV739" s="38"/>
      <c r="AW739" s="38"/>
      <c r="AX739" s="38"/>
      <c r="AY739" s="38"/>
      <c r="AZ739" s="38"/>
      <c r="BA739" s="38"/>
      <c r="BB739" s="38"/>
    </row>
    <row r="740" spans="1:54">
      <c r="A740" s="38" t="s">
        <v>4457</v>
      </c>
      <c r="B740" s="38" t="s">
        <v>2339</v>
      </c>
      <c r="C740" s="38"/>
      <c r="D740" s="38" t="s">
        <v>3399</v>
      </c>
      <c r="E740" s="38"/>
      <c r="F740" s="38"/>
      <c r="G740" s="38" t="s">
        <v>3997</v>
      </c>
      <c r="H740" s="38" t="s">
        <v>3400</v>
      </c>
      <c r="I740" s="38" t="s">
        <v>4455</v>
      </c>
      <c r="J740" s="38"/>
      <c r="K740" s="38">
        <v>500</v>
      </c>
      <c r="L740" s="38"/>
      <c r="M740" s="38"/>
      <c r="N740" s="38">
        <v>39.299999999999997</v>
      </c>
      <c r="O740" s="38">
        <v>3.37</v>
      </c>
      <c r="P740" s="38">
        <v>5.35</v>
      </c>
      <c r="Q740" s="38">
        <v>12.6</v>
      </c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38"/>
      <c r="AI740" s="38"/>
      <c r="AJ740" s="38"/>
      <c r="AK740" s="38"/>
      <c r="AL740" s="38"/>
      <c r="AM740" s="38"/>
      <c r="AN740" s="38"/>
      <c r="AO740" s="38"/>
      <c r="AP740" s="38"/>
      <c r="AQ740" s="38">
        <v>2.78</v>
      </c>
      <c r="AR740" s="38"/>
      <c r="AS740" s="38"/>
      <c r="AT740" s="38"/>
      <c r="AU740" s="38"/>
      <c r="AV740" s="38"/>
      <c r="AW740" s="38"/>
      <c r="AX740" s="38"/>
      <c r="AY740" s="38"/>
      <c r="AZ740" s="38"/>
      <c r="BA740" s="38"/>
      <c r="BB740" s="38"/>
    </row>
    <row r="741" spans="1:54">
      <c r="A741" s="38" t="s">
        <v>4458</v>
      </c>
      <c r="B741" s="38" t="s">
        <v>3652</v>
      </c>
      <c r="C741" s="38"/>
      <c r="D741" s="38" t="s">
        <v>3399</v>
      </c>
      <c r="E741" s="38"/>
      <c r="F741" s="38"/>
      <c r="G741" s="38" t="s">
        <v>3997</v>
      </c>
      <c r="H741" s="38" t="s">
        <v>3400</v>
      </c>
      <c r="I741" s="38" t="s">
        <v>4455</v>
      </c>
      <c r="J741" s="38"/>
      <c r="K741" s="38">
        <v>500</v>
      </c>
      <c r="L741" s="38"/>
      <c r="M741" s="38"/>
      <c r="N741" s="38">
        <v>25.6</v>
      </c>
      <c r="O741" s="38">
        <v>1.56</v>
      </c>
      <c r="P741" s="38">
        <v>6.01</v>
      </c>
      <c r="Q741" s="38">
        <v>19.2</v>
      </c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  <c r="AH741" s="38"/>
      <c r="AI741" s="38"/>
      <c r="AJ741" s="38"/>
      <c r="AK741" s="38"/>
      <c r="AL741" s="38"/>
      <c r="AM741" s="38"/>
      <c r="AN741" s="38"/>
      <c r="AO741" s="38"/>
      <c r="AP741" s="38"/>
      <c r="AQ741" s="38">
        <v>3.78</v>
      </c>
      <c r="AR741" s="38"/>
      <c r="AS741" s="38"/>
      <c r="AT741" s="38"/>
      <c r="AU741" s="38"/>
      <c r="AV741" s="38"/>
      <c r="AW741" s="38"/>
      <c r="AX741" s="38"/>
      <c r="AY741" s="38"/>
      <c r="AZ741" s="38"/>
      <c r="BA741" s="38"/>
      <c r="BB741" s="38"/>
    </row>
    <row r="742" spans="1:54">
      <c r="A742" s="38" t="s">
        <v>4459</v>
      </c>
      <c r="B742" s="38" t="s">
        <v>1700</v>
      </c>
      <c r="C742" s="38" t="s">
        <v>1757</v>
      </c>
      <c r="D742" s="38" t="s">
        <v>3399</v>
      </c>
      <c r="E742" s="38"/>
      <c r="F742" s="38"/>
      <c r="G742" s="38" t="s">
        <v>3997</v>
      </c>
      <c r="H742" s="38" t="s">
        <v>3400</v>
      </c>
      <c r="I742" s="38" t="s">
        <v>4455</v>
      </c>
      <c r="J742" s="38"/>
      <c r="K742" s="38">
        <v>500</v>
      </c>
      <c r="L742" s="38"/>
      <c r="M742" s="38"/>
      <c r="N742" s="38">
        <v>43.7</v>
      </c>
      <c r="O742" s="38">
        <v>1.99</v>
      </c>
      <c r="P742" s="38">
        <v>3.2</v>
      </c>
      <c r="Q742" s="38">
        <v>0.51800000000000002</v>
      </c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  <c r="AI742" s="38"/>
      <c r="AJ742" s="38"/>
      <c r="AK742" s="38"/>
      <c r="AL742" s="38"/>
      <c r="AM742" s="38"/>
      <c r="AN742" s="38"/>
      <c r="AO742" s="38"/>
      <c r="AP742" s="38"/>
      <c r="AQ742" s="38">
        <v>21.9</v>
      </c>
      <c r="AR742" s="38"/>
      <c r="AS742" s="38"/>
      <c r="AT742" s="38"/>
      <c r="AU742" s="38"/>
      <c r="AV742" s="38"/>
      <c r="AW742" s="38"/>
      <c r="AX742" s="38"/>
      <c r="AY742" s="38"/>
      <c r="AZ742" s="38"/>
      <c r="BA742" s="38"/>
      <c r="BB742" s="38"/>
    </row>
    <row r="743" spans="1:54">
      <c r="A743" s="38" t="s">
        <v>4460</v>
      </c>
      <c r="B743" s="38" t="s">
        <v>1700</v>
      </c>
      <c r="C743" s="38" t="s">
        <v>4461</v>
      </c>
      <c r="D743" s="38" t="s">
        <v>3399</v>
      </c>
      <c r="E743" s="38"/>
      <c r="F743" s="38"/>
      <c r="G743" s="38" t="s">
        <v>3997</v>
      </c>
      <c r="H743" s="38" t="s">
        <v>3400</v>
      </c>
      <c r="I743" s="38" t="s">
        <v>4455</v>
      </c>
      <c r="J743" s="38"/>
      <c r="K743" s="38">
        <v>200</v>
      </c>
      <c r="L743" s="38"/>
      <c r="M743" s="38"/>
      <c r="N743" s="38">
        <v>37</v>
      </c>
      <c r="O743" s="38">
        <v>1.25</v>
      </c>
      <c r="P743" s="38">
        <v>7.8</v>
      </c>
      <c r="Q743" s="38">
        <v>27.2</v>
      </c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38"/>
      <c r="AI743" s="38"/>
      <c r="AJ743" s="38"/>
      <c r="AK743" s="38"/>
      <c r="AL743" s="38"/>
      <c r="AM743" s="38"/>
      <c r="AN743" s="38"/>
      <c r="AO743" s="38"/>
      <c r="AP743" s="38"/>
      <c r="AQ743" s="38"/>
      <c r="AR743" s="38"/>
      <c r="AS743" s="38"/>
      <c r="AT743" s="38"/>
      <c r="AU743" s="38"/>
      <c r="AV743" s="38"/>
      <c r="AW743" s="38"/>
      <c r="AX743" s="38"/>
      <c r="AY743" s="38"/>
      <c r="AZ743" s="38"/>
      <c r="BA743" s="38"/>
      <c r="BB743" s="38"/>
    </row>
    <row r="744" spans="1:54">
      <c r="A744" s="38" t="s">
        <v>4414</v>
      </c>
      <c r="B744" s="38" t="s">
        <v>1700</v>
      </c>
      <c r="C744" s="38" t="s">
        <v>4461</v>
      </c>
      <c r="D744" s="38" t="s">
        <v>3399</v>
      </c>
      <c r="E744" s="38"/>
      <c r="F744" s="38"/>
      <c r="G744" s="38" t="s">
        <v>3997</v>
      </c>
      <c r="H744" s="38" t="s">
        <v>3400</v>
      </c>
      <c r="I744" s="38" t="s">
        <v>4455</v>
      </c>
      <c r="J744" s="38"/>
      <c r="K744" s="38">
        <v>350</v>
      </c>
      <c r="L744" s="38"/>
      <c r="M744" s="38"/>
      <c r="N744" s="38">
        <v>39.1</v>
      </c>
      <c r="O744" s="38">
        <v>1.96</v>
      </c>
      <c r="P744" s="38">
        <v>6.22</v>
      </c>
      <c r="Q744" s="38">
        <v>24.8</v>
      </c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  <c r="AI744" s="38"/>
      <c r="AJ744" s="38"/>
      <c r="AK744" s="38"/>
      <c r="AL744" s="38"/>
      <c r="AM744" s="38"/>
      <c r="AN744" s="38"/>
      <c r="AO744" s="38"/>
      <c r="AP744" s="38"/>
      <c r="AQ744" s="38"/>
      <c r="AR744" s="38"/>
      <c r="AS744" s="38"/>
      <c r="AT744" s="38"/>
      <c r="AU744" s="38"/>
      <c r="AV744" s="38"/>
      <c r="AW744" s="38"/>
      <c r="AX744" s="38"/>
      <c r="AY744" s="38"/>
      <c r="AZ744" s="38"/>
      <c r="BA744" s="38"/>
      <c r="BB744" s="38"/>
    </row>
    <row r="745" spans="1:54">
      <c r="A745" s="38" t="s">
        <v>4462</v>
      </c>
      <c r="B745" s="38" t="s">
        <v>1700</v>
      </c>
      <c r="C745" s="38" t="s">
        <v>4463</v>
      </c>
      <c r="D745" s="38" t="s">
        <v>3399</v>
      </c>
      <c r="E745" s="38"/>
      <c r="F745" s="38"/>
      <c r="G745" s="38" t="s">
        <v>3997</v>
      </c>
      <c r="H745" s="38" t="s">
        <v>3400</v>
      </c>
      <c r="I745" s="38" t="s">
        <v>4455</v>
      </c>
      <c r="J745" s="38"/>
      <c r="K745" s="38">
        <v>500</v>
      </c>
      <c r="L745" s="38"/>
      <c r="M745" s="38"/>
      <c r="N745" s="38">
        <v>48.7</v>
      </c>
      <c r="O745" s="38">
        <v>2.3199999999999998</v>
      </c>
      <c r="P745" s="38">
        <v>3.44</v>
      </c>
      <c r="Q745" s="38">
        <v>15.3</v>
      </c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  <c r="AI745" s="38"/>
      <c r="AJ745" s="38"/>
      <c r="AK745" s="38"/>
      <c r="AL745" s="38"/>
      <c r="AM745" s="38"/>
      <c r="AN745" s="38"/>
      <c r="AO745" s="38"/>
      <c r="AP745" s="38"/>
      <c r="AQ745" s="38">
        <v>47.4</v>
      </c>
      <c r="AR745" s="38"/>
      <c r="AS745" s="38"/>
      <c r="AT745" s="38"/>
      <c r="AU745" s="38"/>
      <c r="AV745" s="38"/>
      <c r="AW745" s="38"/>
      <c r="AX745" s="38"/>
      <c r="AY745" s="38"/>
      <c r="AZ745" s="38"/>
      <c r="BA745" s="38"/>
      <c r="BB745" s="38"/>
    </row>
    <row r="746" spans="1:54">
      <c r="A746" s="38" t="s">
        <v>4464</v>
      </c>
      <c r="B746" s="38" t="s">
        <v>1700</v>
      </c>
      <c r="C746" s="38" t="s">
        <v>4461</v>
      </c>
      <c r="D746" s="38" t="s">
        <v>3399</v>
      </c>
      <c r="E746" s="38"/>
      <c r="F746" s="38"/>
      <c r="G746" s="38" t="s">
        <v>3997</v>
      </c>
      <c r="H746" s="38" t="s">
        <v>3400</v>
      </c>
      <c r="I746" s="38" t="s">
        <v>4455</v>
      </c>
      <c r="J746" s="38"/>
      <c r="K746" s="38">
        <v>650</v>
      </c>
      <c r="L746" s="38"/>
      <c r="M746" s="38"/>
      <c r="N746" s="38">
        <v>50.3</v>
      </c>
      <c r="O746" s="38">
        <v>2.56</v>
      </c>
      <c r="P746" s="38">
        <v>0.13</v>
      </c>
      <c r="Q746" s="38">
        <v>0.80700000000000005</v>
      </c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38"/>
      <c r="AI746" s="38"/>
      <c r="AJ746" s="38"/>
      <c r="AK746" s="38"/>
      <c r="AL746" s="38"/>
      <c r="AM746" s="38"/>
      <c r="AN746" s="38"/>
      <c r="AO746" s="38"/>
      <c r="AP746" s="38"/>
      <c r="AQ746" s="38">
        <v>42.4</v>
      </c>
      <c r="AR746" s="38"/>
      <c r="AS746" s="38"/>
      <c r="AT746" s="38"/>
      <c r="AU746" s="38"/>
      <c r="AV746" s="38"/>
      <c r="AW746" s="38"/>
      <c r="AX746" s="38"/>
      <c r="AY746" s="38"/>
      <c r="AZ746" s="38"/>
      <c r="BA746" s="38"/>
      <c r="BB746" s="38"/>
    </row>
    <row r="747" spans="1:54">
      <c r="A747" s="38" t="s">
        <v>4465</v>
      </c>
      <c r="B747" s="38" t="s">
        <v>3652</v>
      </c>
      <c r="C747" s="38" t="s">
        <v>4466</v>
      </c>
      <c r="D747" s="38" t="s">
        <v>3399</v>
      </c>
      <c r="E747" s="38"/>
      <c r="F747" s="38"/>
      <c r="G747" s="38" t="s">
        <v>3997</v>
      </c>
      <c r="H747" s="38" t="s">
        <v>3400</v>
      </c>
      <c r="I747" s="38" t="s">
        <v>4455</v>
      </c>
      <c r="J747" s="38"/>
      <c r="K747" s="38">
        <v>500</v>
      </c>
      <c r="L747" s="38"/>
      <c r="M747" s="38"/>
      <c r="N747" s="38">
        <v>52.1</v>
      </c>
      <c r="O747" s="38">
        <v>5.63</v>
      </c>
      <c r="P747" s="38">
        <v>1.22</v>
      </c>
      <c r="Q747" s="38">
        <v>0.68500000000000005</v>
      </c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38"/>
      <c r="AI747" s="38"/>
      <c r="AJ747" s="38"/>
      <c r="AK747" s="38"/>
      <c r="AL747" s="38"/>
      <c r="AM747" s="38"/>
      <c r="AN747" s="38"/>
      <c r="AO747" s="38"/>
      <c r="AP747" s="38"/>
      <c r="AQ747" s="38">
        <v>13.3</v>
      </c>
      <c r="AR747" s="38"/>
      <c r="AS747" s="38"/>
      <c r="AT747" s="38"/>
      <c r="AU747" s="38"/>
      <c r="AV747" s="38"/>
      <c r="AW747" s="38"/>
      <c r="AX747" s="38"/>
      <c r="AY747" s="38"/>
      <c r="AZ747" s="38"/>
      <c r="BA747" s="38"/>
      <c r="BB747" s="38"/>
    </row>
    <row r="748" spans="1:54">
      <c r="A748" s="38" t="s">
        <v>4467</v>
      </c>
      <c r="B748" s="38" t="s">
        <v>3652</v>
      </c>
      <c r="C748" s="38" t="s">
        <v>4468</v>
      </c>
      <c r="D748" s="38" t="s">
        <v>3399</v>
      </c>
      <c r="E748" s="38"/>
      <c r="F748" s="38"/>
      <c r="G748" s="38" t="s">
        <v>3997</v>
      </c>
      <c r="H748" s="38" t="s">
        <v>3400</v>
      </c>
      <c r="I748" s="38" t="s">
        <v>4455</v>
      </c>
      <c r="J748" s="38"/>
      <c r="K748" s="38">
        <v>500</v>
      </c>
      <c r="L748" s="38"/>
      <c r="M748" s="38"/>
      <c r="N748" s="38">
        <v>40.200000000000003</v>
      </c>
      <c r="O748" s="38">
        <v>3.06</v>
      </c>
      <c r="P748" s="38">
        <v>4.93</v>
      </c>
      <c r="Q748" s="38">
        <v>9.59</v>
      </c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  <c r="AI748" s="38"/>
      <c r="AJ748" s="38"/>
      <c r="AK748" s="38"/>
      <c r="AL748" s="38"/>
      <c r="AM748" s="38"/>
      <c r="AN748" s="38"/>
      <c r="AO748" s="38"/>
      <c r="AP748" s="38"/>
      <c r="AQ748" s="38">
        <v>113</v>
      </c>
      <c r="AR748" s="38"/>
      <c r="AS748" s="38"/>
      <c r="AT748" s="38"/>
      <c r="AU748" s="38"/>
      <c r="AV748" s="38"/>
      <c r="AW748" s="38"/>
      <c r="AX748" s="38"/>
      <c r="AY748" s="38"/>
      <c r="AZ748" s="38"/>
      <c r="BA748" s="38"/>
      <c r="BB748" s="38"/>
    </row>
    <row r="749" spans="1:54">
      <c r="A749" s="38" t="s">
        <v>4035</v>
      </c>
      <c r="B749" s="38" t="s">
        <v>1948</v>
      </c>
      <c r="C749" s="38" t="s">
        <v>4469</v>
      </c>
      <c r="D749" s="38" t="s">
        <v>3399</v>
      </c>
      <c r="E749" s="38"/>
      <c r="F749" s="38"/>
      <c r="G749" s="38" t="s">
        <v>3997</v>
      </c>
      <c r="H749" s="38" t="s">
        <v>3400</v>
      </c>
      <c r="I749" s="38" t="s">
        <v>4455</v>
      </c>
      <c r="J749" s="38"/>
      <c r="K749" s="38">
        <v>500</v>
      </c>
      <c r="L749" s="38"/>
      <c r="M749" s="38"/>
      <c r="N749" s="38">
        <v>30.6</v>
      </c>
      <c r="O749" s="38">
        <v>2.86</v>
      </c>
      <c r="P749" s="38">
        <v>3.3</v>
      </c>
      <c r="Q749" s="38">
        <v>20.8</v>
      </c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  <c r="AI749" s="38"/>
      <c r="AJ749" s="38"/>
      <c r="AK749" s="38"/>
      <c r="AL749" s="38"/>
      <c r="AM749" s="38"/>
      <c r="AN749" s="38"/>
      <c r="AO749" s="38"/>
      <c r="AP749" s="38"/>
      <c r="AQ749" s="38">
        <v>71.599999999999994</v>
      </c>
      <c r="AR749" s="38"/>
      <c r="AS749" s="38"/>
      <c r="AT749" s="38"/>
      <c r="AU749" s="38"/>
      <c r="AV749" s="38"/>
      <c r="AW749" s="38"/>
      <c r="AX749" s="38"/>
      <c r="AY749" s="38"/>
      <c r="AZ749" s="38"/>
      <c r="BA749" s="38"/>
      <c r="BB749" s="38"/>
    </row>
    <row r="750" spans="1:54">
      <c r="A750" s="38" t="s">
        <v>4025</v>
      </c>
      <c r="B750" s="38" t="s">
        <v>3652</v>
      </c>
      <c r="C750" s="38" t="s">
        <v>4470</v>
      </c>
      <c r="D750" s="38" t="s">
        <v>3399</v>
      </c>
      <c r="E750" s="38"/>
      <c r="F750" s="38"/>
      <c r="G750" s="38" t="s">
        <v>3997</v>
      </c>
      <c r="H750" s="38" t="s">
        <v>3400</v>
      </c>
      <c r="I750" s="38" t="s">
        <v>4455</v>
      </c>
      <c r="J750" s="38"/>
      <c r="K750" s="38">
        <v>500</v>
      </c>
      <c r="L750" s="38"/>
      <c r="M750" s="38"/>
      <c r="N750" s="38">
        <v>58.8</v>
      </c>
      <c r="O750" s="38">
        <v>1.62</v>
      </c>
      <c r="P750" s="38">
        <v>0.21</v>
      </c>
      <c r="Q750" s="38">
        <v>2.06</v>
      </c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  <c r="AH750" s="38"/>
      <c r="AI750" s="38"/>
      <c r="AJ750" s="38"/>
      <c r="AK750" s="38"/>
      <c r="AL750" s="38"/>
      <c r="AM750" s="38"/>
      <c r="AN750" s="38"/>
      <c r="AO750" s="38"/>
      <c r="AP750" s="38"/>
      <c r="AQ750" s="38">
        <v>133</v>
      </c>
      <c r="AR750" s="38"/>
      <c r="AS750" s="38"/>
      <c r="AT750" s="38"/>
      <c r="AU750" s="38"/>
      <c r="AV750" s="38"/>
      <c r="AW750" s="38"/>
      <c r="AX750" s="38"/>
      <c r="AY750" s="38"/>
      <c r="AZ750" s="38"/>
      <c r="BA750" s="38"/>
      <c r="BB750" s="38"/>
    </row>
    <row r="751" spans="1:54">
      <c r="A751" s="38" t="s">
        <v>3996</v>
      </c>
      <c r="B751" s="38" t="s">
        <v>1700</v>
      </c>
      <c r="C751" s="38" t="s">
        <v>3995</v>
      </c>
      <c r="D751" s="38" t="s">
        <v>3399</v>
      </c>
      <c r="E751" s="38"/>
      <c r="F751" s="38"/>
      <c r="G751" s="38" t="s">
        <v>3997</v>
      </c>
      <c r="H751" s="38" t="s">
        <v>3400</v>
      </c>
      <c r="I751" s="38" t="s">
        <v>4471</v>
      </c>
      <c r="J751" s="38"/>
      <c r="K751" s="38">
        <v>600</v>
      </c>
      <c r="L751" s="38"/>
      <c r="M751" s="38"/>
      <c r="N751" s="38">
        <v>83.56</v>
      </c>
      <c r="O751" s="38">
        <v>2.15</v>
      </c>
      <c r="P751" s="38">
        <v>2.36</v>
      </c>
      <c r="Q751" s="38">
        <v>9.35</v>
      </c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38"/>
      <c r="AI751" s="38"/>
      <c r="AJ751" s="38"/>
      <c r="AK751" s="38"/>
      <c r="AL751" s="38"/>
      <c r="AM751" s="38"/>
      <c r="AN751" s="38"/>
      <c r="AO751" s="38"/>
      <c r="AP751" s="38"/>
      <c r="AQ751" s="38">
        <v>18.8</v>
      </c>
      <c r="AR751" s="38" t="s">
        <v>3792</v>
      </c>
      <c r="AS751" s="38"/>
      <c r="AT751" s="38"/>
      <c r="AU751" s="38"/>
      <c r="AV751" s="38"/>
      <c r="AW751" s="38"/>
      <c r="AX751" s="38"/>
      <c r="AY751" s="38"/>
      <c r="AZ751" s="38"/>
      <c r="BA751" s="38"/>
      <c r="BB751" s="38"/>
    </row>
    <row r="752" spans="1:54">
      <c r="A752" s="38" t="s">
        <v>4472</v>
      </c>
      <c r="B752" s="38" t="s">
        <v>3652</v>
      </c>
      <c r="C752" s="38" t="s">
        <v>4473</v>
      </c>
      <c r="D752" s="38" t="s">
        <v>3399</v>
      </c>
      <c r="E752" s="38"/>
      <c r="F752" s="38"/>
      <c r="G752" s="38" t="s">
        <v>3756</v>
      </c>
      <c r="H752" s="38" t="s">
        <v>3400</v>
      </c>
      <c r="I752" s="38" t="s">
        <v>4474</v>
      </c>
      <c r="J752" s="38"/>
      <c r="K752" s="38">
        <v>400</v>
      </c>
      <c r="L752" s="38">
        <v>12.6</v>
      </c>
      <c r="M752" s="38">
        <v>62.3</v>
      </c>
      <c r="N752" s="38"/>
      <c r="O752" s="38">
        <v>1.05</v>
      </c>
      <c r="P752" s="38">
        <v>4.3</v>
      </c>
      <c r="Q752" s="38"/>
      <c r="R752" s="38">
        <v>10.64</v>
      </c>
      <c r="S752" s="38">
        <v>1.02</v>
      </c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38"/>
      <c r="AI752" s="38"/>
      <c r="AJ752" s="38"/>
      <c r="AK752" s="38"/>
      <c r="AL752" s="38"/>
      <c r="AM752" s="38"/>
      <c r="AN752" s="38">
        <v>12.5</v>
      </c>
      <c r="AO752" s="38"/>
      <c r="AP752" s="38"/>
      <c r="AQ752" s="38"/>
      <c r="AR752" s="38"/>
      <c r="AS752" s="38"/>
      <c r="AT752" s="38">
        <v>469</v>
      </c>
      <c r="AU752" s="38"/>
      <c r="AV752" s="38"/>
      <c r="AW752" s="38">
        <v>6542</v>
      </c>
      <c r="AX752" s="38"/>
      <c r="AY752" s="38"/>
      <c r="AZ752" s="38"/>
      <c r="BA752" s="38"/>
      <c r="BB752" s="38"/>
    </row>
    <row r="753" spans="1:54">
      <c r="A753" s="38" t="s">
        <v>3849</v>
      </c>
      <c r="B753" s="38" t="s">
        <v>3471</v>
      </c>
      <c r="C753" s="38"/>
      <c r="D753" s="38" t="s">
        <v>3351</v>
      </c>
      <c r="E753" s="38"/>
      <c r="F753" s="38" t="s">
        <v>4475</v>
      </c>
      <c r="G753" s="38" t="s">
        <v>3844</v>
      </c>
      <c r="H753" s="38" t="s">
        <v>3400</v>
      </c>
      <c r="I753" s="38" t="s">
        <v>4476</v>
      </c>
      <c r="J753" s="38"/>
      <c r="K753" s="38">
        <v>500</v>
      </c>
      <c r="L753" s="38"/>
      <c r="M753" s="38"/>
      <c r="N753" s="38">
        <v>63.8</v>
      </c>
      <c r="O753" s="38">
        <v>0.2</v>
      </c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38"/>
      <c r="AI753" s="38"/>
      <c r="AJ753" s="38"/>
      <c r="AK753" s="38"/>
      <c r="AL753" s="38"/>
      <c r="AM753" s="38"/>
      <c r="AN753" s="38"/>
      <c r="AO753" s="38"/>
      <c r="AP753" s="38">
        <v>26.1</v>
      </c>
      <c r="AQ753" s="38"/>
      <c r="AR753" s="38"/>
      <c r="AS753" s="38"/>
      <c r="AT753" s="38"/>
      <c r="AU753" s="38"/>
      <c r="AV753" s="38"/>
      <c r="AW753" s="38"/>
      <c r="AX753" s="38"/>
      <c r="AY753" s="38"/>
      <c r="AZ753" s="38"/>
      <c r="BA753" s="38"/>
      <c r="BB753" s="38"/>
    </row>
    <row r="754" spans="1:54">
      <c r="A754" s="38" t="s">
        <v>4477</v>
      </c>
      <c r="B754" s="38" t="s">
        <v>3652</v>
      </c>
      <c r="C754" s="38" t="s">
        <v>4478</v>
      </c>
      <c r="D754" s="38" t="s">
        <v>3351</v>
      </c>
      <c r="E754" s="38"/>
      <c r="F754" s="38" t="s">
        <v>4479</v>
      </c>
      <c r="G754" s="38" t="s">
        <v>3756</v>
      </c>
      <c r="H754" s="38" t="s">
        <v>3400</v>
      </c>
      <c r="I754" s="38" t="s">
        <v>4476</v>
      </c>
      <c r="J754" s="38"/>
      <c r="K754" s="38">
        <v>550</v>
      </c>
      <c r="L754" s="38"/>
      <c r="M754" s="38"/>
      <c r="N754" s="38">
        <v>71.099999999999994</v>
      </c>
      <c r="O754" s="38">
        <v>0.1</v>
      </c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38"/>
      <c r="AI754" s="38"/>
      <c r="AJ754" s="38"/>
      <c r="AK754" s="38"/>
      <c r="AL754" s="38"/>
      <c r="AM754" s="38"/>
      <c r="AN754" s="38"/>
      <c r="AO754" s="38"/>
      <c r="AP754" s="38">
        <v>34.799999999999997</v>
      </c>
      <c r="AQ754" s="38"/>
      <c r="AR754" s="38"/>
      <c r="AS754" s="38"/>
      <c r="AT754" s="38"/>
      <c r="AU754" s="38"/>
      <c r="AV754" s="38"/>
      <c r="AW754" s="38"/>
      <c r="AX754" s="38"/>
      <c r="AY754" s="38"/>
      <c r="AZ754" s="38"/>
      <c r="BA754" s="38"/>
      <c r="BB754" s="38"/>
    </row>
    <row r="755" spans="1:54">
      <c r="A755" s="38" t="s">
        <v>4480</v>
      </c>
      <c r="B755" s="38" t="s">
        <v>3471</v>
      </c>
      <c r="C755" s="38"/>
      <c r="D755" s="38" t="s">
        <v>3351</v>
      </c>
      <c r="E755" s="38"/>
      <c r="F755" s="38" t="s">
        <v>4481</v>
      </c>
      <c r="G755" s="38" t="s">
        <v>3756</v>
      </c>
      <c r="H755" s="38" t="s">
        <v>3400</v>
      </c>
      <c r="I755" s="38" t="s">
        <v>4476</v>
      </c>
      <c r="J755" s="38"/>
      <c r="K755" s="38">
        <v>538</v>
      </c>
      <c r="L755" s="38"/>
      <c r="M755" s="38"/>
      <c r="N755" s="38">
        <v>88.3</v>
      </c>
      <c r="O755" s="38">
        <v>0.3</v>
      </c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  <c r="AI755" s="38"/>
      <c r="AJ755" s="38"/>
      <c r="AK755" s="38"/>
      <c r="AL755" s="38"/>
      <c r="AM755" s="38"/>
      <c r="AN755" s="38"/>
      <c r="AO755" s="38"/>
      <c r="AP755" s="38">
        <v>32.5</v>
      </c>
      <c r="AQ755" s="38"/>
      <c r="AR755" s="38"/>
      <c r="AS755" s="38"/>
      <c r="AT755" s="38"/>
      <c r="AU755" s="38"/>
      <c r="AV755" s="38"/>
      <c r="AW755" s="38"/>
      <c r="AX755" s="38"/>
      <c r="AY755" s="38"/>
      <c r="AZ755" s="38"/>
      <c r="BA755" s="38"/>
      <c r="BB755" s="38"/>
    </row>
    <row r="756" spans="1:54">
      <c r="A756" s="38" t="s">
        <v>4482</v>
      </c>
      <c r="B756" s="38" t="s">
        <v>3652</v>
      </c>
      <c r="C756" s="38" t="s">
        <v>4483</v>
      </c>
      <c r="D756" s="38" t="s">
        <v>3351</v>
      </c>
      <c r="E756" s="38"/>
      <c r="F756" s="38" t="s">
        <v>4484</v>
      </c>
      <c r="G756" s="38" t="s">
        <v>3756</v>
      </c>
      <c r="H756" s="38" t="s">
        <v>3400</v>
      </c>
      <c r="I756" s="38" t="s">
        <v>4476</v>
      </c>
      <c r="J756" s="38"/>
      <c r="K756" s="38">
        <v>600</v>
      </c>
      <c r="L756" s="38"/>
      <c r="M756" s="38"/>
      <c r="N756" s="38">
        <v>81.8</v>
      </c>
      <c r="O756" s="38">
        <v>0.5</v>
      </c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  <c r="AI756" s="38"/>
      <c r="AJ756" s="38"/>
      <c r="AK756" s="38"/>
      <c r="AL756" s="38"/>
      <c r="AM756" s="38"/>
      <c r="AN756" s="38"/>
      <c r="AO756" s="38"/>
      <c r="AP756" s="38">
        <v>22.4</v>
      </c>
      <c r="AQ756" s="38"/>
      <c r="AR756" s="38"/>
      <c r="AS756" s="38"/>
      <c r="AT756" s="38"/>
      <c r="AU756" s="38"/>
      <c r="AV756" s="38"/>
      <c r="AW756" s="38"/>
      <c r="AX756" s="38"/>
      <c r="AY756" s="38"/>
      <c r="AZ756" s="38"/>
      <c r="BA756" s="38"/>
      <c r="BB756" s="38"/>
    </row>
    <row r="757" spans="1:54">
      <c r="A757" s="38" t="s">
        <v>4312</v>
      </c>
      <c r="B757" s="38" t="s">
        <v>3455</v>
      </c>
      <c r="C757" s="38" t="s">
        <v>4485</v>
      </c>
      <c r="D757" s="38" t="s">
        <v>3351</v>
      </c>
      <c r="E757" s="38"/>
      <c r="F757" s="38" t="s">
        <v>4484</v>
      </c>
      <c r="G757" s="38" t="s">
        <v>3756</v>
      </c>
      <c r="H757" s="38" t="s">
        <v>3400</v>
      </c>
      <c r="I757" s="38" t="s">
        <v>4476</v>
      </c>
      <c r="J757" s="38"/>
      <c r="K757" s="38">
        <v>700</v>
      </c>
      <c r="L757" s="38"/>
      <c r="M757" s="38"/>
      <c r="N757" s="38">
        <v>64.3</v>
      </c>
      <c r="O757" s="38">
        <v>3.1</v>
      </c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  <c r="AI757" s="38"/>
      <c r="AJ757" s="38"/>
      <c r="AK757" s="38"/>
      <c r="AL757" s="38"/>
      <c r="AM757" s="38"/>
      <c r="AN757" s="38"/>
      <c r="AO757" s="38"/>
      <c r="AP757" s="38">
        <v>45.8</v>
      </c>
      <c r="AQ757" s="38"/>
      <c r="AR757" s="38"/>
      <c r="AS757" s="38"/>
      <c r="AT757" s="38"/>
      <c r="AU757" s="38"/>
      <c r="AV757" s="38"/>
      <c r="AW757" s="38"/>
      <c r="AX757" s="38"/>
      <c r="AY757" s="38"/>
      <c r="AZ757" s="38"/>
      <c r="BA757" s="38"/>
      <c r="BB757" s="38"/>
    </row>
    <row r="758" spans="1:54">
      <c r="A758" s="38" t="s">
        <v>4486</v>
      </c>
      <c r="B758" s="38" t="s">
        <v>3449</v>
      </c>
      <c r="C758" s="38" t="s">
        <v>4487</v>
      </c>
      <c r="D758" s="38" t="s">
        <v>3351</v>
      </c>
      <c r="E758" s="38"/>
      <c r="F758" s="38" t="s">
        <v>4488</v>
      </c>
      <c r="G758" s="38" t="s">
        <v>3844</v>
      </c>
      <c r="H758" s="38" t="s">
        <v>3400</v>
      </c>
      <c r="I758" s="38" t="s">
        <v>4476</v>
      </c>
      <c r="J758" s="38"/>
      <c r="K758" s="38">
        <v>650</v>
      </c>
      <c r="L758" s="38"/>
      <c r="M758" s="38"/>
      <c r="N758" s="38">
        <v>71</v>
      </c>
      <c r="O758" s="38">
        <v>0.9</v>
      </c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38"/>
      <c r="AJ758" s="38"/>
      <c r="AK758" s="38"/>
      <c r="AL758" s="38"/>
      <c r="AM758" s="38"/>
      <c r="AN758" s="38"/>
      <c r="AO758" s="38"/>
      <c r="AP758" s="38">
        <v>19.5</v>
      </c>
      <c r="AQ758" s="38"/>
      <c r="AR758" s="38"/>
      <c r="AS758" s="38"/>
      <c r="AT758" s="38"/>
      <c r="AU758" s="38"/>
      <c r="AV758" s="38"/>
      <c r="AW758" s="38"/>
      <c r="AX758" s="38"/>
      <c r="AY758" s="38"/>
      <c r="AZ758" s="38"/>
      <c r="BA758" s="38"/>
      <c r="BB758" s="38"/>
    </row>
    <row r="759" spans="1:54">
      <c r="A759" s="38" t="s">
        <v>4462</v>
      </c>
      <c r="B759" s="38" t="s">
        <v>1700</v>
      </c>
      <c r="C759" s="38" t="s">
        <v>4461</v>
      </c>
      <c r="D759" s="38" t="s">
        <v>3399</v>
      </c>
      <c r="E759" s="38"/>
      <c r="F759" s="38"/>
      <c r="G759" s="38" t="s">
        <v>3756</v>
      </c>
      <c r="H759" s="38" t="s">
        <v>3400</v>
      </c>
      <c r="I759" s="38" t="s">
        <v>4489</v>
      </c>
      <c r="J759" s="38"/>
      <c r="K759" s="38">
        <v>500</v>
      </c>
      <c r="L759" s="38">
        <v>51.7</v>
      </c>
      <c r="M759" s="38"/>
      <c r="N759" s="38">
        <v>33.799999999999997</v>
      </c>
      <c r="O759" s="38"/>
      <c r="P759" s="38"/>
      <c r="Q759" s="38"/>
      <c r="R759" s="38">
        <v>10.5</v>
      </c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>
        <v>780</v>
      </c>
      <c r="AD759" s="38"/>
      <c r="AE759" s="38"/>
      <c r="AF759" s="38"/>
      <c r="AG759" s="38"/>
      <c r="AH759" s="38"/>
      <c r="AI759" s="38">
        <v>1010</v>
      </c>
      <c r="AJ759" s="38"/>
      <c r="AK759" s="38"/>
      <c r="AL759" s="38"/>
      <c r="AM759" s="38"/>
      <c r="AN759" s="38"/>
      <c r="AO759" s="38"/>
      <c r="AP759" s="38"/>
      <c r="AQ759" s="38">
        <v>47.8</v>
      </c>
      <c r="AR759" s="38"/>
      <c r="AS759" s="38"/>
      <c r="AT759" s="38"/>
      <c r="AU759" s="38">
        <v>34700</v>
      </c>
      <c r="AV759" s="38">
        <v>28000</v>
      </c>
      <c r="AW759" s="38">
        <v>35600</v>
      </c>
      <c r="AX759" s="38">
        <v>4550</v>
      </c>
      <c r="AY759" s="38">
        <v>6960</v>
      </c>
      <c r="AZ759" s="38"/>
      <c r="BA759" s="38"/>
      <c r="BB759" s="38"/>
    </row>
    <row r="760" spans="1:54">
      <c r="A760" s="38" t="s">
        <v>4162</v>
      </c>
      <c r="B760" s="38" t="s">
        <v>1948</v>
      </c>
      <c r="C760" s="38" t="s">
        <v>2026</v>
      </c>
      <c r="D760" s="38" t="s">
        <v>3399</v>
      </c>
      <c r="E760" s="38"/>
      <c r="F760" s="38"/>
      <c r="G760" s="38" t="s">
        <v>3756</v>
      </c>
      <c r="H760" s="38" t="s">
        <v>3400</v>
      </c>
      <c r="I760" s="38" t="s">
        <v>4489</v>
      </c>
      <c r="J760" s="38"/>
      <c r="K760" s="38">
        <v>500</v>
      </c>
      <c r="L760" s="38">
        <v>61.4</v>
      </c>
      <c r="M760" s="38"/>
      <c r="N760" s="38">
        <v>27.7</v>
      </c>
      <c r="O760" s="38"/>
      <c r="P760" s="38"/>
      <c r="Q760" s="38"/>
      <c r="R760" s="38">
        <v>8.9</v>
      </c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>
        <v>380</v>
      </c>
      <c r="AD760" s="38"/>
      <c r="AE760" s="38"/>
      <c r="AF760" s="38"/>
      <c r="AG760" s="38"/>
      <c r="AH760" s="38"/>
      <c r="AI760" s="38">
        <v>1520</v>
      </c>
      <c r="AJ760" s="38"/>
      <c r="AK760" s="38"/>
      <c r="AL760" s="38"/>
      <c r="AM760" s="38"/>
      <c r="AN760" s="38"/>
      <c r="AO760" s="38"/>
      <c r="AP760" s="38"/>
      <c r="AQ760" s="38">
        <v>71.599999999999994</v>
      </c>
      <c r="AR760" s="38"/>
      <c r="AS760" s="38"/>
      <c r="AT760" s="38"/>
      <c r="AU760" s="38">
        <v>65700</v>
      </c>
      <c r="AV760" s="38">
        <v>6450</v>
      </c>
      <c r="AW760" s="38">
        <v>5250</v>
      </c>
      <c r="AX760" s="38">
        <v>19300</v>
      </c>
      <c r="AY760" s="38">
        <v>22100</v>
      </c>
      <c r="AZ760" s="38"/>
      <c r="BA760" s="38"/>
      <c r="BB760" s="38"/>
    </row>
    <row r="761" spans="1:54">
      <c r="A761" s="38" t="s">
        <v>4490</v>
      </c>
      <c r="B761" s="38" t="s">
        <v>4491</v>
      </c>
      <c r="C761" s="38" t="s">
        <v>3409</v>
      </c>
      <c r="D761" s="38" t="s">
        <v>4492</v>
      </c>
      <c r="E761" s="38" t="s">
        <v>3399</v>
      </c>
      <c r="F761" s="38"/>
      <c r="G761" s="38"/>
      <c r="H761" s="38" t="s">
        <v>4493</v>
      </c>
      <c r="I761" s="38" t="s">
        <v>3571</v>
      </c>
      <c r="J761" s="38" t="s">
        <v>4494</v>
      </c>
      <c r="K761" s="38"/>
      <c r="L761" s="38">
        <v>300</v>
      </c>
      <c r="M761" s="38"/>
      <c r="N761" s="38"/>
      <c r="O761" s="38">
        <v>48.3</v>
      </c>
      <c r="P761" s="38">
        <v>0.63</v>
      </c>
      <c r="Q761" s="38">
        <v>5.6</v>
      </c>
      <c r="R761" s="38">
        <v>42</v>
      </c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  <c r="AI761" s="38"/>
      <c r="AJ761" s="38"/>
      <c r="AK761" s="38"/>
      <c r="AL761" s="38"/>
      <c r="AM761" s="38"/>
      <c r="AN761" s="38"/>
      <c r="AO761" s="38"/>
      <c r="AP761" s="38"/>
      <c r="AQ761" s="38"/>
      <c r="AR761" s="38"/>
      <c r="AS761" s="38"/>
      <c r="AT761" s="38"/>
      <c r="AU761" s="38"/>
      <c r="AV761" s="38"/>
      <c r="AW761" s="38"/>
      <c r="AX761" s="38"/>
      <c r="AY761" s="38"/>
      <c r="AZ761" s="38"/>
      <c r="BA761" s="38"/>
      <c r="BB761" s="38"/>
    </row>
    <row r="762" spans="1:54">
      <c r="A762" s="38" t="s">
        <v>4490</v>
      </c>
      <c r="B762" s="38" t="s">
        <v>4495</v>
      </c>
      <c r="C762" s="38" t="s">
        <v>3409</v>
      </c>
      <c r="D762" s="38" t="s">
        <v>4492</v>
      </c>
      <c r="E762" s="38" t="s">
        <v>3399</v>
      </c>
      <c r="F762" s="38"/>
      <c r="G762" s="38"/>
      <c r="H762" s="38" t="s">
        <v>4496</v>
      </c>
      <c r="I762" s="38" t="s">
        <v>3400</v>
      </c>
      <c r="J762" s="38" t="s">
        <v>4494</v>
      </c>
      <c r="K762" s="38"/>
      <c r="L762" s="38">
        <v>300</v>
      </c>
      <c r="M762" s="38"/>
      <c r="N762" s="38"/>
      <c r="O762" s="38">
        <v>48.5</v>
      </c>
      <c r="P762" s="38">
        <v>0.6</v>
      </c>
      <c r="Q762" s="38">
        <v>5.6</v>
      </c>
      <c r="R762" s="38">
        <v>42.3</v>
      </c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  <c r="AI762" s="38"/>
      <c r="AJ762" s="38"/>
      <c r="AK762" s="38"/>
      <c r="AL762" s="38"/>
      <c r="AM762" s="38"/>
      <c r="AN762" s="38"/>
      <c r="AO762" s="38"/>
      <c r="AP762" s="38"/>
      <c r="AQ762" s="38"/>
      <c r="AR762" s="38"/>
      <c r="AS762" s="38"/>
      <c r="AT762" s="38"/>
      <c r="AU762" s="38"/>
      <c r="AV762" s="38"/>
      <c r="AW762" s="38"/>
      <c r="AX762" s="38"/>
      <c r="AY762" s="38"/>
      <c r="AZ762" s="38"/>
      <c r="BA762" s="38"/>
      <c r="BB762" s="38"/>
    </row>
    <row r="763" spans="1:54">
      <c r="A763" s="38" t="s">
        <v>4490</v>
      </c>
      <c r="B763" s="38" t="s">
        <v>4497</v>
      </c>
      <c r="C763" s="38" t="s">
        <v>3409</v>
      </c>
      <c r="D763" s="38" t="s">
        <v>4492</v>
      </c>
      <c r="E763" s="38" t="s">
        <v>3399</v>
      </c>
      <c r="F763" s="38"/>
      <c r="G763" s="38"/>
      <c r="H763" s="38" t="s">
        <v>4498</v>
      </c>
      <c r="I763" s="38" t="s">
        <v>3400</v>
      </c>
      <c r="J763" s="38" t="s">
        <v>4494</v>
      </c>
      <c r="K763" s="38"/>
      <c r="L763" s="38">
        <v>300</v>
      </c>
      <c r="M763" s="38"/>
      <c r="N763" s="38"/>
      <c r="O763" s="38">
        <v>48.8</v>
      </c>
      <c r="P763" s="38">
        <v>0.63</v>
      </c>
      <c r="Q763" s="38">
        <v>5.9</v>
      </c>
      <c r="R763" s="38">
        <v>41.6</v>
      </c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  <c r="AI763" s="38"/>
      <c r="AJ763" s="38"/>
      <c r="AK763" s="38"/>
      <c r="AL763" s="38"/>
      <c r="AM763" s="38"/>
      <c r="AN763" s="38"/>
      <c r="AO763" s="38"/>
      <c r="AP763" s="38"/>
      <c r="AQ763" s="38"/>
      <c r="AR763" s="38"/>
      <c r="AS763" s="38"/>
      <c r="AT763" s="38"/>
      <c r="AU763" s="38"/>
      <c r="AV763" s="38"/>
      <c r="AW763" s="38"/>
      <c r="AX763" s="38"/>
      <c r="AY763" s="38"/>
      <c r="AZ763" s="38"/>
      <c r="BA763" s="38"/>
      <c r="BB763" s="38"/>
    </row>
    <row r="764" spans="1:54">
      <c r="A764" s="38" t="s">
        <v>4499</v>
      </c>
      <c r="B764" s="38" t="s">
        <v>4491</v>
      </c>
      <c r="C764" s="38" t="s">
        <v>3409</v>
      </c>
      <c r="D764" s="38" t="s">
        <v>4492</v>
      </c>
      <c r="E764" s="38" t="s">
        <v>3399</v>
      </c>
      <c r="F764" s="38"/>
      <c r="G764" s="38"/>
      <c r="H764" s="38" t="s">
        <v>4493</v>
      </c>
      <c r="I764" s="38" t="s">
        <v>3400</v>
      </c>
      <c r="J764" s="38" t="s">
        <v>4494</v>
      </c>
      <c r="K764" s="38"/>
      <c r="L764" s="38">
        <v>350</v>
      </c>
      <c r="M764" s="38"/>
      <c r="N764" s="38"/>
      <c r="O764" s="38">
        <v>48.4</v>
      </c>
      <c r="P764" s="38">
        <v>0.72</v>
      </c>
      <c r="Q764" s="38">
        <v>5.7</v>
      </c>
      <c r="R764" s="38">
        <v>42.4</v>
      </c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38"/>
      <c r="AI764" s="38"/>
      <c r="AJ764" s="38"/>
      <c r="AK764" s="38"/>
      <c r="AL764" s="38"/>
      <c r="AM764" s="38"/>
      <c r="AN764" s="38"/>
      <c r="AO764" s="38"/>
      <c r="AP764" s="38"/>
      <c r="AQ764" s="38"/>
      <c r="AR764" s="38"/>
      <c r="AS764" s="38"/>
      <c r="AT764" s="38"/>
      <c r="AU764" s="38"/>
      <c r="AV764" s="38"/>
      <c r="AW764" s="38"/>
      <c r="AX764" s="38"/>
      <c r="AY764" s="38"/>
      <c r="AZ764" s="38"/>
      <c r="BA764" s="38"/>
      <c r="BB764" s="38"/>
    </row>
    <row r="765" spans="1:54">
      <c r="A765" s="38" t="s">
        <v>4499</v>
      </c>
      <c r="B765" s="38" t="s">
        <v>4495</v>
      </c>
      <c r="C765" s="38" t="s">
        <v>3409</v>
      </c>
      <c r="D765" s="38" t="s">
        <v>4492</v>
      </c>
      <c r="E765" s="38" t="s">
        <v>3399</v>
      </c>
      <c r="F765" s="38"/>
      <c r="G765" s="38"/>
      <c r="H765" s="38" t="s">
        <v>4500</v>
      </c>
      <c r="I765" s="38" t="s">
        <v>3400</v>
      </c>
      <c r="J765" s="38" t="s">
        <v>4494</v>
      </c>
      <c r="K765" s="38"/>
      <c r="L765" s="38">
        <v>350</v>
      </c>
      <c r="M765" s="38"/>
      <c r="N765" s="38"/>
      <c r="O765" s="38">
        <v>53.2</v>
      </c>
      <c r="P765" s="38">
        <v>0.84</v>
      </c>
      <c r="Q765" s="38">
        <v>5.4</v>
      </c>
      <c r="R765" s="38">
        <v>37.9</v>
      </c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  <c r="AI765" s="38"/>
      <c r="AJ765" s="38"/>
      <c r="AK765" s="38"/>
      <c r="AL765" s="38"/>
      <c r="AM765" s="38"/>
      <c r="AN765" s="38"/>
      <c r="AO765" s="38"/>
      <c r="AP765" s="38"/>
      <c r="AQ765" s="38"/>
      <c r="AR765" s="38"/>
      <c r="AS765" s="38"/>
      <c r="AT765" s="38"/>
      <c r="AU765" s="38"/>
      <c r="AV765" s="38"/>
      <c r="AW765" s="38"/>
      <c r="AX765" s="38"/>
      <c r="AY765" s="38"/>
      <c r="AZ765" s="38"/>
      <c r="BA765" s="38"/>
      <c r="BB765" s="38"/>
    </row>
    <row r="766" spans="1:54">
      <c r="A766" s="38" t="s">
        <v>4499</v>
      </c>
      <c r="B766" s="38" t="s">
        <v>4497</v>
      </c>
      <c r="C766" s="38" t="s">
        <v>3409</v>
      </c>
      <c r="D766" s="38" t="s">
        <v>4492</v>
      </c>
      <c r="E766" s="38" t="s">
        <v>3399</v>
      </c>
      <c r="F766" s="38"/>
      <c r="G766" s="38"/>
      <c r="H766" s="38" t="s">
        <v>4498</v>
      </c>
      <c r="I766" s="38" t="s">
        <v>3400</v>
      </c>
      <c r="J766" s="38" t="s">
        <v>4494</v>
      </c>
      <c r="K766" s="38"/>
      <c r="L766" s="38">
        <v>350</v>
      </c>
      <c r="M766" s="38"/>
      <c r="N766" s="38"/>
      <c r="O766" s="38">
        <v>52.7</v>
      </c>
      <c r="P766" s="38">
        <v>0.84</v>
      </c>
      <c r="Q766" s="38">
        <v>5.4</v>
      </c>
      <c r="R766" s="38">
        <v>37.9</v>
      </c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  <c r="AI766" s="38"/>
      <c r="AJ766" s="38"/>
      <c r="AK766" s="38"/>
      <c r="AL766" s="38"/>
      <c r="AM766" s="38"/>
      <c r="AN766" s="38"/>
      <c r="AO766" s="38"/>
      <c r="AP766" s="38"/>
      <c r="AQ766" s="38"/>
      <c r="AR766" s="38"/>
      <c r="AS766" s="38"/>
      <c r="AT766" s="38"/>
      <c r="AU766" s="38"/>
      <c r="AV766" s="38"/>
      <c r="AW766" s="38"/>
      <c r="AX766" s="38"/>
      <c r="AY766" s="38"/>
      <c r="AZ766" s="38"/>
      <c r="BA766" s="38"/>
      <c r="BB766" s="38"/>
    </row>
    <row r="767" spans="1:54">
      <c r="A767" s="38" t="s">
        <v>4501</v>
      </c>
      <c r="B767" s="38" t="s">
        <v>4491</v>
      </c>
      <c r="C767" s="38" t="s">
        <v>3409</v>
      </c>
      <c r="D767" s="38" t="s">
        <v>4492</v>
      </c>
      <c r="E767" s="38" t="s">
        <v>3399</v>
      </c>
      <c r="F767" s="38"/>
      <c r="G767" s="38"/>
      <c r="H767" s="38" t="s">
        <v>4493</v>
      </c>
      <c r="I767" s="38" t="s">
        <v>3400</v>
      </c>
      <c r="J767" s="38" t="s">
        <v>4494</v>
      </c>
      <c r="K767" s="38"/>
      <c r="L767" s="38">
        <v>400</v>
      </c>
      <c r="M767" s="38"/>
      <c r="N767" s="38"/>
      <c r="O767" s="38">
        <v>54.9</v>
      </c>
      <c r="P767" s="38">
        <v>0.94</v>
      </c>
      <c r="Q767" s="38">
        <v>5</v>
      </c>
      <c r="R767" s="38">
        <v>36.1</v>
      </c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  <c r="AI767" s="38"/>
      <c r="AJ767" s="38"/>
      <c r="AK767" s="38"/>
      <c r="AL767" s="38"/>
      <c r="AM767" s="38"/>
      <c r="AN767" s="38"/>
      <c r="AO767" s="38"/>
      <c r="AP767" s="38"/>
      <c r="AQ767" s="38"/>
      <c r="AR767" s="38"/>
      <c r="AS767" s="38"/>
      <c r="AT767" s="38"/>
      <c r="AU767" s="38"/>
      <c r="AV767" s="38"/>
      <c r="AW767" s="38"/>
      <c r="AX767" s="38"/>
      <c r="AY767" s="38"/>
      <c r="AZ767" s="38"/>
      <c r="BA767" s="38"/>
      <c r="BB767" s="38"/>
    </row>
    <row r="768" spans="1:54">
      <c r="A768" s="38" t="s">
        <v>4501</v>
      </c>
      <c r="B768" s="38" t="s">
        <v>4495</v>
      </c>
      <c r="C768" s="38" t="s">
        <v>3409</v>
      </c>
      <c r="D768" s="38" t="s">
        <v>4492</v>
      </c>
      <c r="E768" s="38" t="s">
        <v>3399</v>
      </c>
      <c r="F768" s="38"/>
      <c r="G768" s="38"/>
      <c r="H768" s="38" t="s">
        <v>4496</v>
      </c>
      <c r="I768" s="38" t="s">
        <v>3400</v>
      </c>
      <c r="J768" s="38" t="s">
        <v>4494</v>
      </c>
      <c r="K768" s="38"/>
      <c r="L768" s="38">
        <v>400</v>
      </c>
      <c r="M768" s="38"/>
      <c r="N768" s="38"/>
      <c r="O768" s="38">
        <v>56</v>
      </c>
      <c r="P768" s="38">
        <v>0.76</v>
      </c>
      <c r="Q768" s="38">
        <v>5.3</v>
      </c>
      <c r="R768" s="38">
        <v>35.1</v>
      </c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38"/>
      <c r="AI768" s="38"/>
      <c r="AJ768" s="38"/>
      <c r="AK768" s="38"/>
      <c r="AL768" s="38"/>
      <c r="AM768" s="38"/>
      <c r="AN768" s="38"/>
      <c r="AO768" s="38"/>
      <c r="AP768" s="38"/>
      <c r="AQ768" s="38"/>
      <c r="AR768" s="38"/>
      <c r="AS768" s="38"/>
      <c r="AT768" s="38"/>
      <c r="AU768" s="38"/>
      <c r="AV768" s="38"/>
      <c r="AW768" s="38"/>
      <c r="AX768" s="38"/>
      <c r="AY768" s="38"/>
      <c r="AZ768" s="38"/>
      <c r="BA768" s="38"/>
      <c r="BB768" s="38"/>
    </row>
    <row r="769" spans="1:54">
      <c r="A769" s="38" t="s">
        <v>4501</v>
      </c>
      <c r="B769" s="38" t="s">
        <v>4497</v>
      </c>
      <c r="C769" s="38" t="s">
        <v>3409</v>
      </c>
      <c r="D769" s="38" t="s">
        <v>4492</v>
      </c>
      <c r="E769" s="38" t="s">
        <v>3399</v>
      </c>
      <c r="F769" s="38"/>
      <c r="G769" s="38"/>
      <c r="H769" s="38" t="s">
        <v>4502</v>
      </c>
      <c r="I769" s="38" t="s">
        <v>3400</v>
      </c>
      <c r="J769" s="38" t="s">
        <v>4494</v>
      </c>
      <c r="K769" s="38"/>
      <c r="L769" s="38">
        <v>400</v>
      </c>
      <c r="M769" s="38"/>
      <c r="N769" s="38"/>
      <c r="O769" s="38">
        <v>59.6</v>
      </c>
      <c r="P769" s="38">
        <v>1</v>
      </c>
      <c r="Q769" s="38">
        <v>4.7</v>
      </c>
      <c r="R769" s="38">
        <v>31.3</v>
      </c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38"/>
      <c r="AJ769" s="38"/>
      <c r="AK769" s="38"/>
      <c r="AL769" s="38"/>
      <c r="AM769" s="38"/>
      <c r="AN769" s="38"/>
      <c r="AO769" s="38"/>
      <c r="AP769" s="38"/>
      <c r="AQ769" s="38"/>
      <c r="AR769" s="38"/>
      <c r="AS769" s="38"/>
      <c r="AT769" s="38"/>
      <c r="AU769" s="38"/>
      <c r="AV769" s="38"/>
      <c r="AW769" s="38"/>
      <c r="AX769" s="38"/>
      <c r="AY769" s="38"/>
      <c r="AZ769" s="38"/>
      <c r="BA769" s="38"/>
      <c r="BB769" s="38"/>
    </row>
    <row r="770" spans="1:54">
      <c r="A770" s="38" t="s">
        <v>4503</v>
      </c>
      <c r="B770" s="38" t="s">
        <v>3471</v>
      </c>
      <c r="C770" s="38" t="s">
        <v>4504</v>
      </c>
      <c r="D770" s="38" t="s">
        <v>3351</v>
      </c>
      <c r="E770" s="38"/>
      <c r="F770" s="38" t="s">
        <v>4505</v>
      </c>
      <c r="G770" s="38" t="s">
        <v>4506</v>
      </c>
      <c r="H770" s="38" t="s">
        <v>3400</v>
      </c>
      <c r="I770" s="38" t="s">
        <v>4507</v>
      </c>
      <c r="J770" s="38"/>
      <c r="K770" s="38">
        <v>380</v>
      </c>
      <c r="L770" s="38">
        <v>4.5</v>
      </c>
      <c r="M770" s="38"/>
      <c r="N770" s="38">
        <v>75</v>
      </c>
      <c r="O770" s="38">
        <v>0.7</v>
      </c>
      <c r="P770" s="38">
        <v>3.6</v>
      </c>
      <c r="Q770" s="38">
        <v>20.7</v>
      </c>
      <c r="R770" s="38">
        <v>8.81</v>
      </c>
      <c r="S770" s="38">
        <v>1.05</v>
      </c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  <c r="AI770" s="38"/>
      <c r="AJ770" s="38"/>
      <c r="AK770" s="38"/>
      <c r="AL770" s="38"/>
      <c r="AM770" s="38"/>
      <c r="AN770" s="38">
        <v>7.67</v>
      </c>
      <c r="AO770" s="38"/>
      <c r="AP770" s="38">
        <v>30.7</v>
      </c>
      <c r="AQ770" s="38"/>
      <c r="AR770" s="38"/>
      <c r="AS770" s="38"/>
      <c r="AT770" s="38">
        <v>519</v>
      </c>
      <c r="AU770" s="38"/>
      <c r="AV770" s="38"/>
      <c r="AW770" s="38"/>
      <c r="AX770" s="38"/>
      <c r="AY770" s="38"/>
      <c r="AZ770" s="38"/>
      <c r="BA770" s="38"/>
      <c r="BB770" s="38"/>
    </row>
    <row r="771" spans="1:54">
      <c r="A771" s="38" t="s">
        <v>4508</v>
      </c>
      <c r="B771" s="38" t="s">
        <v>3471</v>
      </c>
      <c r="C771" s="38" t="s">
        <v>4509</v>
      </c>
      <c r="D771" s="38" t="s">
        <v>3399</v>
      </c>
      <c r="E771" s="38"/>
      <c r="F771" s="38"/>
      <c r="G771" s="38" t="s">
        <v>3756</v>
      </c>
      <c r="H771" s="38" t="s">
        <v>3400</v>
      </c>
      <c r="I771" s="38" t="s">
        <v>4510</v>
      </c>
      <c r="J771" s="38"/>
      <c r="K771" s="38">
        <v>600</v>
      </c>
      <c r="L771" s="38"/>
      <c r="M771" s="38">
        <v>1.47</v>
      </c>
      <c r="N771" s="38">
        <v>59.7</v>
      </c>
      <c r="O771" s="38">
        <v>0.41</v>
      </c>
      <c r="P771" s="38"/>
      <c r="Q771" s="38"/>
      <c r="R771" s="38">
        <v>10.6</v>
      </c>
      <c r="S771" s="38">
        <v>2.4</v>
      </c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38"/>
      <c r="AI771" s="38"/>
      <c r="AJ771" s="38"/>
      <c r="AK771" s="38"/>
      <c r="AL771" s="38">
        <v>30</v>
      </c>
      <c r="AM771" s="38"/>
      <c r="AN771" s="38"/>
      <c r="AO771" s="38"/>
      <c r="AP771" s="38"/>
      <c r="AQ771" s="38"/>
      <c r="AR771" s="38"/>
      <c r="AS771" s="38"/>
      <c r="AT771" s="38">
        <v>200</v>
      </c>
      <c r="AU771" s="38">
        <v>5240</v>
      </c>
      <c r="AV771" s="38">
        <v>350</v>
      </c>
      <c r="AW771" s="38">
        <v>910</v>
      </c>
      <c r="AX771" s="38"/>
      <c r="AY771" s="38"/>
      <c r="AZ771" s="38"/>
      <c r="BA771" s="38"/>
      <c r="BB771" s="38"/>
    </row>
    <row r="772" spans="1:54">
      <c r="A772" s="38" t="s">
        <v>4176</v>
      </c>
      <c r="B772" s="38" t="s">
        <v>3652</v>
      </c>
      <c r="C772" s="38" t="s">
        <v>4511</v>
      </c>
      <c r="D772" s="38" t="s">
        <v>3399</v>
      </c>
      <c r="E772" s="38"/>
      <c r="F772" s="38"/>
      <c r="G772" s="38" t="s">
        <v>3756</v>
      </c>
      <c r="H772" s="38" t="s">
        <v>3400</v>
      </c>
      <c r="I772" s="38" t="s">
        <v>4512</v>
      </c>
      <c r="J772" s="38"/>
      <c r="K772" s="38">
        <v>400</v>
      </c>
      <c r="L772" s="38">
        <v>74.95</v>
      </c>
      <c r="M772" s="38"/>
      <c r="N772" s="38">
        <v>16.77</v>
      </c>
      <c r="O772" s="38">
        <v>1.37</v>
      </c>
      <c r="P772" s="38"/>
      <c r="Q772" s="38"/>
      <c r="R772" s="38">
        <v>10.02</v>
      </c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  <c r="AI772" s="38"/>
      <c r="AJ772" s="38"/>
      <c r="AK772" s="38"/>
      <c r="AL772" s="38"/>
      <c r="AM772" s="38"/>
      <c r="AN772" s="38"/>
      <c r="AO772" s="38"/>
      <c r="AP772" s="38">
        <v>7.66</v>
      </c>
      <c r="AQ772" s="38">
        <v>7.4180000000000001</v>
      </c>
      <c r="AR772" s="38"/>
      <c r="AS772" s="38"/>
      <c r="AT772" s="38"/>
      <c r="AU772" s="38"/>
      <c r="AV772" s="38"/>
      <c r="AW772" s="38"/>
      <c r="AX772" s="38"/>
      <c r="AY772" s="38"/>
      <c r="AZ772" s="38"/>
      <c r="BA772" s="38"/>
      <c r="BB772" s="38"/>
    </row>
    <row r="773" spans="1:54">
      <c r="A773" s="38" t="s">
        <v>4513</v>
      </c>
      <c r="B773" s="38" t="s">
        <v>3471</v>
      </c>
      <c r="C773" s="38"/>
      <c r="D773" s="38" t="s">
        <v>3399</v>
      </c>
      <c r="E773" s="38"/>
      <c r="F773" s="38"/>
      <c r="G773" s="38" t="s">
        <v>3997</v>
      </c>
      <c r="H773" s="38" t="s">
        <v>3400</v>
      </c>
      <c r="I773" s="38" t="s">
        <v>4512</v>
      </c>
      <c r="J773" s="38"/>
      <c r="K773" s="38">
        <v>600</v>
      </c>
      <c r="L773" s="38">
        <v>1.74</v>
      </c>
      <c r="M773" s="38"/>
      <c r="N773" s="38">
        <v>81.03</v>
      </c>
      <c r="O773" s="38">
        <v>1.07</v>
      </c>
      <c r="P773" s="38"/>
      <c r="Q773" s="38"/>
      <c r="R773" s="38">
        <v>10.4</v>
      </c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38"/>
      <c r="AJ773" s="38"/>
      <c r="AK773" s="38"/>
      <c r="AL773" s="38"/>
      <c r="AM773" s="38"/>
      <c r="AN773" s="38"/>
      <c r="AO773" s="38"/>
      <c r="AP773" s="38">
        <v>2.19</v>
      </c>
      <c r="AQ773" s="38">
        <v>334.56</v>
      </c>
      <c r="AR773" s="38"/>
      <c r="AS773" s="38"/>
      <c r="AT773" s="38"/>
      <c r="AU773" s="38"/>
      <c r="AV773" s="38"/>
      <c r="AW773" s="38"/>
      <c r="AX773" s="38"/>
      <c r="AY773" s="38"/>
      <c r="AZ773" s="38"/>
      <c r="BA773" s="38"/>
      <c r="BB773" s="38"/>
    </row>
    <row r="774" spans="1:54">
      <c r="A774" s="38" t="s">
        <v>4514</v>
      </c>
      <c r="B774" s="38" t="s">
        <v>3409</v>
      </c>
      <c r="C774" s="38" t="s">
        <v>4381</v>
      </c>
      <c r="D774" s="38" t="s">
        <v>3399</v>
      </c>
      <c r="E774" s="38"/>
      <c r="F774" s="38"/>
      <c r="G774" s="38" t="s">
        <v>3997</v>
      </c>
      <c r="H774" s="38" t="s">
        <v>3400</v>
      </c>
      <c r="I774" s="38" t="s">
        <v>4515</v>
      </c>
      <c r="J774" s="38"/>
      <c r="K774" s="38">
        <v>300</v>
      </c>
      <c r="L774" s="38">
        <v>7.8</v>
      </c>
      <c r="M774" s="38"/>
      <c r="N774" s="38">
        <v>63.29</v>
      </c>
      <c r="O774" s="38">
        <v>0.52</v>
      </c>
      <c r="P774" s="38">
        <v>4.4000000000000004</v>
      </c>
      <c r="Q774" s="38">
        <v>24.01</v>
      </c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38"/>
      <c r="AI774" s="38"/>
      <c r="AJ774" s="38"/>
      <c r="AK774" s="38"/>
      <c r="AL774" s="38"/>
      <c r="AM774" s="38"/>
      <c r="AN774" s="38"/>
      <c r="AO774" s="38"/>
      <c r="AP774" s="38"/>
      <c r="AQ774" s="38">
        <v>171.1</v>
      </c>
      <c r="AR774" s="38" t="s">
        <v>4516</v>
      </c>
      <c r="AS774" s="38"/>
      <c r="AT774" s="38"/>
      <c r="AU774" s="38"/>
      <c r="AV774" s="38"/>
      <c r="AW774" s="38"/>
      <c r="AX774" s="38"/>
      <c r="AY774" s="38"/>
      <c r="AZ774" s="38"/>
      <c r="BA774" s="38"/>
      <c r="BB774" s="38"/>
    </row>
    <row r="775" spans="1:54">
      <c r="A775" s="38" t="s">
        <v>4517</v>
      </c>
      <c r="B775" s="38" t="s">
        <v>3409</v>
      </c>
      <c r="C775" s="38" t="s">
        <v>4518</v>
      </c>
      <c r="D775" s="38" t="s">
        <v>3399</v>
      </c>
      <c r="E775" s="38"/>
      <c r="F775" s="38"/>
      <c r="G775" s="38" t="s">
        <v>3756</v>
      </c>
      <c r="H775" s="38" t="s">
        <v>3400</v>
      </c>
      <c r="I775" s="38" t="s">
        <v>4515</v>
      </c>
      <c r="J775" s="38"/>
      <c r="K775" s="38">
        <v>450</v>
      </c>
      <c r="L775" s="38">
        <v>12.2</v>
      </c>
      <c r="M775" s="38"/>
      <c r="N775" s="38">
        <v>70.2</v>
      </c>
      <c r="O775" s="38">
        <v>0.47</v>
      </c>
      <c r="P775" s="38">
        <v>4.28</v>
      </c>
      <c r="Q775" s="38">
        <v>12.85</v>
      </c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38"/>
      <c r="AI775" s="38"/>
      <c r="AJ775" s="38"/>
      <c r="AK775" s="38"/>
      <c r="AL775" s="38"/>
      <c r="AM775" s="38"/>
      <c r="AN775" s="38"/>
      <c r="AO775" s="38"/>
      <c r="AP775" s="38"/>
      <c r="AQ775" s="38">
        <v>206.4</v>
      </c>
      <c r="AR775" s="38" t="s">
        <v>4516</v>
      </c>
      <c r="AS775" s="38"/>
      <c r="AT775" s="38"/>
      <c r="AU775" s="38"/>
      <c r="AV775" s="38"/>
      <c r="AW775" s="38"/>
      <c r="AX775" s="38"/>
      <c r="AY775" s="38"/>
      <c r="AZ775" s="38"/>
      <c r="BA775" s="38"/>
      <c r="BB775" s="38"/>
    </row>
    <row r="776" spans="1:54">
      <c r="A776" s="38" t="s">
        <v>4363</v>
      </c>
      <c r="B776" s="38" t="s">
        <v>3409</v>
      </c>
      <c r="C776" s="38" t="s">
        <v>4519</v>
      </c>
      <c r="D776" s="38" t="s">
        <v>3399</v>
      </c>
      <c r="E776" s="38"/>
      <c r="F776" s="38"/>
      <c r="G776" s="38" t="s">
        <v>3997</v>
      </c>
      <c r="H776" s="38" t="s">
        <v>3400</v>
      </c>
      <c r="I776" s="38" t="s">
        <v>4515</v>
      </c>
      <c r="J776" s="38"/>
      <c r="K776" s="38">
        <v>600</v>
      </c>
      <c r="L776" s="38">
        <v>13.4</v>
      </c>
      <c r="M776" s="38"/>
      <c r="N776" s="38">
        <v>77.790000000000006</v>
      </c>
      <c r="O776" s="38">
        <v>0.42</v>
      </c>
      <c r="P776" s="38">
        <v>3.08</v>
      </c>
      <c r="Q776" s="38">
        <v>5.31</v>
      </c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38"/>
      <c r="AI776" s="38"/>
      <c r="AJ776" s="38"/>
      <c r="AK776" s="38"/>
      <c r="AL776" s="38"/>
      <c r="AM776" s="38"/>
      <c r="AN776" s="38"/>
      <c r="AO776" s="38"/>
      <c r="AP776" s="38"/>
      <c r="AQ776" s="38">
        <v>526.1</v>
      </c>
      <c r="AR776" s="38" t="s">
        <v>4516</v>
      </c>
      <c r="AS776" s="38"/>
      <c r="AT776" s="38"/>
      <c r="AU776" s="38"/>
      <c r="AV776" s="38"/>
      <c r="AW776" s="38"/>
      <c r="AX776" s="38"/>
      <c r="AY776" s="38"/>
      <c r="AZ776" s="38"/>
      <c r="BA776" s="38"/>
      <c r="BB776" s="38"/>
    </row>
    <row r="777" spans="1:54">
      <c r="A777" s="38" t="s">
        <v>4520</v>
      </c>
      <c r="B777" s="38" t="s">
        <v>1700</v>
      </c>
      <c r="C777" s="38" t="s">
        <v>4521</v>
      </c>
      <c r="D777" s="38" t="s">
        <v>3399</v>
      </c>
      <c r="E777" s="38"/>
      <c r="F777" s="38"/>
      <c r="G777" s="38" t="s">
        <v>3997</v>
      </c>
      <c r="H777" s="38" t="s">
        <v>3400</v>
      </c>
      <c r="I777" s="38" t="s">
        <v>4515</v>
      </c>
      <c r="J777" s="38"/>
      <c r="K777" s="38">
        <v>300</v>
      </c>
      <c r="L777" s="38">
        <v>41.8</v>
      </c>
      <c r="M777" s="38"/>
      <c r="N777" s="38">
        <v>36.479999999999997</v>
      </c>
      <c r="O777" s="38">
        <v>3.2</v>
      </c>
      <c r="P777" s="38">
        <v>3.59</v>
      </c>
      <c r="Q777" s="38">
        <v>14.9</v>
      </c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  <c r="AH777" s="38"/>
      <c r="AI777" s="38"/>
      <c r="AJ777" s="38"/>
      <c r="AK777" s="38"/>
      <c r="AL777" s="38"/>
      <c r="AM777" s="38"/>
      <c r="AN777" s="38"/>
      <c r="AO777" s="38"/>
      <c r="AP777" s="38"/>
      <c r="AQ777" s="38">
        <v>92.6</v>
      </c>
      <c r="AR777" s="38" t="s">
        <v>4516</v>
      </c>
      <c r="AS777" s="38"/>
      <c r="AT777" s="38"/>
      <c r="AU777" s="38"/>
      <c r="AV777" s="38"/>
      <c r="AW777" s="38"/>
      <c r="AX777" s="38"/>
      <c r="AY777" s="38"/>
      <c r="AZ777" s="38"/>
      <c r="BA777" s="38"/>
      <c r="BB777" s="38"/>
    </row>
    <row r="778" spans="1:54">
      <c r="A778" s="38" t="s">
        <v>3998</v>
      </c>
      <c r="B778" s="38" t="s">
        <v>1700</v>
      </c>
      <c r="C778" s="38" t="s">
        <v>4521</v>
      </c>
      <c r="D778" s="38" t="s">
        <v>3399</v>
      </c>
      <c r="E778" s="38"/>
      <c r="F778" s="38"/>
      <c r="G778" s="38" t="s">
        <v>3997</v>
      </c>
      <c r="H778" s="38" t="s">
        <v>3400</v>
      </c>
      <c r="I778" s="38" t="s">
        <v>4515</v>
      </c>
      <c r="J778" s="38"/>
      <c r="K778" s="38">
        <v>450</v>
      </c>
      <c r="L778" s="38">
        <v>50.9</v>
      </c>
      <c r="M778" s="38"/>
      <c r="N778" s="38">
        <v>33.71</v>
      </c>
      <c r="O778" s="38">
        <v>2.57</v>
      </c>
      <c r="P778" s="38">
        <v>2.5499999999999998</v>
      </c>
      <c r="Q778" s="38">
        <v>10.23</v>
      </c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38"/>
      <c r="AI778" s="38"/>
      <c r="AJ778" s="38"/>
      <c r="AK778" s="38"/>
      <c r="AL778" s="38"/>
      <c r="AM778" s="38"/>
      <c r="AN778" s="38"/>
      <c r="AO778" s="38"/>
      <c r="AP778" s="38"/>
      <c r="AQ778" s="38">
        <v>159.30000000000001</v>
      </c>
      <c r="AR778" s="38" t="s">
        <v>4516</v>
      </c>
      <c r="AS778" s="38"/>
      <c r="AT778" s="38"/>
      <c r="AU778" s="38"/>
      <c r="AV778" s="38"/>
      <c r="AW778" s="38"/>
      <c r="AX778" s="38"/>
      <c r="AY778" s="38"/>
      <c r="AZ778" s="38"/>
      <c r="BA778" s="38"/>
      <c r="BB778" s="38"/>
    </row>
    <row r="779" spans="1:54">
      <c r="A779" s="38" t="s">
        <v>3795</v>
      </c>
      <c r="B779" s="38" t="s">
        <v>1700</v>
      </c>
      <c r="C779" s="38" t="s">
        <v>4521</v>
      </c>
      <c r="D779" s="38" t="s">
        <v>3399</v>
      </c>
      <c r="E779" s="38"/>
      <c r="F779" s="38"/>
      <c r="G779" s="38" t="s">
        <v>3756</v>
      </c>
      <c r="H779" s="38" t="s">
        <v>3400</v>
      </c>
      <c r="I779" s="38" t="s">
        <v>4515</v>
      </c>
      <c r="J779" s="38"/>
      <c r="K779" s="38">
        <v>600</v>
      </c>
      <c r="L779" s="38">
        <v>52.3</v>
      </c>
      <c r="M779" s="38"/>
      <c r="N779" s="38">
        <v>35.549999999999997</v>
      </c>
      <c r="O779" s="38">
        <v>2.46</v>
      </c>
      <c r="P779" s="38">
        <v>1.79</v>
      </c>
      <c r="Q779" s="38">
        <v>7.92</v>
      </c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  <c r="AH779" s="38"/>
      <c r="AI779" s="38"/>
      <c r="AJ779" s="38"/>
      <c r="AK779" s="38"/>
      <c r="AL779" s="38"/>
      <c r="AM779" s="38"/>
      <c r="AN779" s="38"/>
      <c r="AO779" s="38"/>
      <c r="AP779" s="38"/>
      <c r="AQ779" s="38">
        <v>200.8</v>
      </c>
      <c r="AR779" s="38" t="s">
        <v>4516</v>
      </c>
      <c r="AS779" s="38"/>
      <c r="AT779" s="38"/>
      <c r="AU779" s="38"/>
      <c r="AV779" s="38"/>
      <c r="AW779" s="38"/>
      <c r="AX779" s="38"/>
      <c r="AY779" s="38"/>
      <c r="AZ779" s="38"/>
      <c r="BA779" s="38"/>
      <c r="BB779" s="38"/>
    </row>
    <row r="780" spans="1:54">
      <c r="A780" s="38" t="s">
        <v>4522</v>
      </c>
      <c r="B780" s="38" t="s">
        <v>3652</v>
      </c>
      <c r="C780" s="38" t="s">
        <v>4523</v>
      </c>
      <c r="D780" s="38" t="s">
        <v>3399</v>
      </c>
      <c r="E780" s="38"/>
      <c r="F780" s="38"/>
      <c r="G780" s="38" t="s">
        <v>3756</v>
      </c>
      <c r="H780" s="38" t="s">
        <v>3400</v>
      </c>
      <c r="I780" s="38" t="s">
        <v>4524</v>
      </c>
      <c r="J780" s="38"/>
      <c r="K780" s="38">
        <v>400</v>
      </c>
      <c r="L780" s="38"/>
      <c r="M780" s="38"/>
      <c r="N780" s="38">
        <v>31.8</v>
      </c>
      <c r="O780" s="38">
        <v>4.4000000000000004</v>
      </c>
      <c r="P780" s="38">
        <v>3.4</v>
      </c>
      <c r="Q780" s="38">
        <v>19.399999999999999</v>
      </c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38"/>
      <c r="AI780" s="38"/>
      <c r="AJ780" s="38"/>
      <c r="AK780" s="38"/>
      <c r="AL780" s="38"/>
      <c r="AM780" s="38"/>
      <c r="AN780" s="38"/>
      <c r="AO780" s="38"/>
      <c r="AP780" s="38"/>
      <c r="AQ780" s="38">
        <v>19.5</v>
      </c>
      <c r="AR780" s="38" t="s">
        <v>3792</v>
      </c>
      <c r="AS780" s="38"/>
      <c r="AT780" s="38"/>
      <c r="AU780" s="38"/>
      <c r="AV780" s="38"/>
      <c r="AW780" s="38"/>
      <c r="AX780" s="38"/>
      <c r="AY780" s="38"/>
      <c r="AZ780" s="38"/>
      <c r="BA780" s="38"/>
      <c r="BB780" s="38"/>
    </row>
    <row r="781" spans="1:54">
      <c r="A781" s="38" t="s">
        <v>4330</v>
      </c>
      <c r="B781" s="38" t="s">
        <v>3409</v>
      </c>
      <c r="C781" s="38" t="s">
        <v>4525</v>
      </c>
      <c r="D781" s="38" t="s">
        <v>3399</v>
      </c>
      <c r="E781" s="38"/>
      <c r="F781" s="38" t="s">
        <v>4526</v>
      </c>
      <c r="G781" s="38" t="s">
        <v>3997</v>
      </c>
      <c r="H781" s="38" t="s">
        <v>3400</v>
      </c>
      <c r="I781" s="38" t="s">
        <v>4527</v>
      </c>
      <c r="J781" s="38"/>
      <c r="K781" s="38">
        <v>600</v>
      </c>
      <c r="L781" s="38">
        <v>34.93</v>
      </c>
      <c r="M781" s="38"/>
      <c r="N781" s="38">
        <v>60.8</v>
      </c>
      <c r="O781" s="38">
        <v>0.4</v>
      </c>
      <c r="P781" s="38"/>
      <c r="Q781" s="38"/>
      <c r="R781" s="38">
        <v>10.1</v>
      </c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  <c r="AI781" s="38"/>
      <c r="AJ781" s="38"/>
      <c r="AK781" s="38"/>
      <c r="AL781" s="38"/>
      <c r="AM781" s="38"/>
      <c r="AN781" s="38"/>
      <c r="AO781" s="38"/>
      <c r="AP781" s="38"/>
      <c r="AQ781" s="38">
        <v>864.2</v>
      </c>
      <c r="AR781" s="38" t="s">
        <v>3792</v>
      </c>
      <c r="AS781" s="38"/>
      <c r="AT781" s="38">
        <v>2.98</v>
      </c>
      <c r="AU781" s="38"/>
      <c r="AV781" s="38"/>
      <c r="AW781" s="38"/>
      <c r="AX781" s="38"/>
      <c r="AY781" s="38"/>
      <c r="AZ781" s="38"/>
      <c r="BA781" s="38"/>
      <c r="BB781" s="38"/>
    </row>
    <row r="782" spans="1:54">
      <c r="A782" s="38" t="s">
        <v>4528</v>
      </c>
      <c r="B782" s="38" t="s">
        <v>3455</v>
      </c>
      <c r="C782" s="38" t="s">
        <v>4485</v>
      </c>
      <c r="D782" s="38" t="s">
        <v>3399</v>
      </c>
      <c r="E782" s="38"/>
      <c r="F782" s="38"/>
      <c r="G782" s="38" t="s">
        <v>4529</v>
      </c>
      <c r="H782" s="38" t="s">
        <v>3400</v>
      </c>
      <c r="I782" s="38" t="s">
        <v>4252</v>
      </c>
      <c r="J782" s="38"/>
      <c r="K782" s="38">
        <v>350</v>
      </c>
      <c r="L782" s="38">
        <v>1.4</v>
      </c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  <c r="AH782" s="38"/>
      <c r="AI782" s="38"/>
      <c r="AJ782" s="38"/>
      <c r="AK782" s="38"/>
      <c r="AL782" s="38">
        <v>34100</v>
      </c>
      <c r="AM782" s="38"/>
      <c r="AN782" s="38">
        <v>35.700000000000003</v>
      </c>
      <c r="AO782" s="38"/>
      <c r="AP782" s="38"/>
      <c r="AQ782" s="38"/>
      <c r="AR782" s="38"/>
      <c r="AS782" s="38"/>
      <c r="AT782" s="38">
        <v>12800</v>
      </c>
      <c r="AU782" s="38">
        <v>53000</v>
      </c>
      <c r="AV782" s="38">
        <v>77000</v>
      </c>
      <c r="AW782" s="38">
        <v>43000</v>
      </c>
      <c r="AX782" s="38"/>
      <c r="AY782" s="38"/>
      <c r="AZ782" s="38"/>
      <c r="BA782" s="38"/>
      <c r="BB782" s="38"/>
    </row>
    <row r="783" spans="1:54">
      <c r="A783" s="38" t="s">
        <v>4530</v>
      </c>
      <c r="B783" s="38" t="s">
        <v>3455</v>
      </c>
      <c r="C783" s="38" t="s">
        <v>4485</v>
      </c>
      <c r="D783" s="38" t="s">
        <v>3399</v>
      </c>
      <c r="E783" s="38"/>
      <c r="F783" s="38"/>
      <c r="G783" s="38" t="s">
        <v>4529</v>
      </c>
      <c r="H783" s="38" t="s">
        <v>3400</v>
      </c>
      <c r="I783" s="38" t="s">
        <v>4252</v>
      </c>
      <c r="J783" s="38"/>
      <c r="K783" s="38">
        <v>450</v>
      </c>
      <c r="L783" s="38">
        <v>2.9</v>
      </c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  <c r="AH783" s="38"/>
      <c r="AI783" s="38"/>
      <c r="AJ783" s="38"/>
      <c r="AK783" s="38"/>
      <c r="AL783" s="38">
        <v>34500</v>
      </c>
      <c r="AM783" s="38"/>
      <c r="AN783" s="38">
        <v>60.6</v>
      </c>
      <c r="AO783" s="38"/>
      <c r="AP783" s="38"/>
      <c r="AQ783" s="38"/>
      <c r="AR783" s="38"/>
      <c r="AS783" s="38"/>
      <c r="AT783" s="38">
        <v>98000</v>
      </c>
      <c r="AU783" s="38">
        <v>103000</v>
      </c>
      <c r="AV783" s="38">
        <v>95000</v>
      </c>
      <c r="AW783" s="38">
        <v>138000</v>
      </c>
      <c r="AX783" s="38"/>
      <c r="AY783" s="38"/>
      <c r="AZ783" s="38"/>
      <c r="BA783" s="38"/>
      <c r="BB783" s="38"/>
    </row>
    <row r="784" spans="1:54">
      <c r="A784" s="38" t="s">
        <v>4531</v>
      </c>
      <c r="B784" s="38" t="s">
        <v>3455</v>
      </c>
      <c r="C784" s="38" t="s">
        <v>4485</v>
      </c>
      <c r="D784" s="38" t="s">
        <v>3399</v>
      </c>
      <c r="E784" s="38"/>
      <c r="F784" s="38"/>
      <c r="G784" s="38" t="s">
        <v>4529</v>
      </c>
      <c r="H784" s="38" t="s">
        <v>3400</v>
      </c>
      <c r="I784" s="38" t="s">
        <v>4252</v>
      </c>
      <c r="J784" s="38"/>
      <c r="K784" s="38">
        <v>550</v>
      </c>
      <c r="L784" s="38">
        <v>4.2</v>
      </c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  <c r="AH784" s="38"/>
      <c r="AI784" s="38"/>
      <c r="AJ784" s="38"/>
      <c r="AK784" s="38"/>
      <c r="AL784" s="38">
        <v>220000</v>
      </c>
      <c r="AM784" s="38"/>
      <c r="AN784" s="38">
        <v>65.900000000000006</v>
      </c>
      <c r="AO784" s="38"/>
      <c r="AP784" s="38"/>
      <c r="AQ784" s="38"/>
      <c r="AR784" s="38"/>
      <c r="AS784" s="38"/>
      <c r="AT784" s="38">
        <v>92000</v>
      </c>
      <c r="AU784" s="38">
        <v>45000</v>
      </c>
      <c r="AV784" s="38">
        <v>49000</v>
      </c>
      <c r="AW784" s="38">
        <v>41000</v>
      </c>
      <c r="AX784" s="38"/>
      <c r="AY784" s="38"/>
      <c r="AZ784" s="38"/>
      <c r="BA784" s="38"/>
      <c r="BB784" s="38"/>
    </row>
    <row r="785" spans="1:54">
      <c r="A785" s="38" t="s">
        <v>4532</v>
      </c>
      <c r="B785" s="38" t="s">
        <v>3455</v>
      </c>
      <c r="C785" s="38" t="s">
        <v>4485</v>
      </c>
      <c r="D785" s="38" t="s">
        <v>3399</v>
      </c>
      <c r="E785" s="38"/>
      <c r="F785" s="38"/>
      <c r="G785" s="38" t="s">
        <v>4529</v>
      </c>
      <c r="H785" s="38" t="s">
        <v>3400</v>
      </c>
      <c r="I785" s="38" t="s">
        <v>4252</v>
      </c>
      <c r="J785" s="38"/>
      <c r="K785" s="38">
        <v>650</v>
      </c>
      <c r="L785" s="38">
        <v>5.9</v>
      </c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  <c r="AH785" s="38"/>
      <c r="AI785" s="38"/>
      <c r="AJ785" s="38"/>
      <c r="AK785" s="38"/>
      <c r="AL785" s="38">
        <v>215000</v>
      </c>
      <c r="AM785" s="38"/>
      <c r="AN785" s="38">
        <v>41.4</v>
      </c>
      <c r="AO785" s="38"/>
      <c r="AP785" s="38"/>
      <c r="AQ785" s="38"/>
      <c r="AR785" s="38"/>
      <c r="AS785" s="38"/>
      <c r="AT785" s="38">
        <v>72000</v>
      </c>
      <c r="AU785" s="38">
        <v>66000</v>
      </c>
      <c r="AV785" s="38">
        <v>55000</v>
      </c>
      <c r="AW785" s="38">
        <v>136000</v>
      </c>
      <c r="AX785" s="38"/>
      <c r="AY785" s="38"/>
      <c r="AZ785" s="38"/>
      <c r="BA785" s="38"/>
      <c r="BB785" s="38"/>
    </row>
    <row r="786" spans="1:54">
      <c r="A786" s="38" t="s">
        <v>4528</v>
      </c>
      <c r="B786" s="38">
        <v>100</v>
      </c>
      <c r="C786" s="38" t="s">
        <v>3455</v>
      </c>
      <c r="D786" s="38" t="s">
        <v>4485</v>
      </c>
      <c r="E786" s="38" t="s">
        <v>3399</v>
      </c>
      <c r="F786" s="38"/>
      <c r="G786" s="38"/>
      <c r="H786" s="38" t="s">
        <v>4533</v>
      </c>
      <c r="I786" s="38" t="s">
        <v>3400</v>
      </c>
      <c r="J786" s="38" t="s">
        <v>4252</v>
      </c>
      <c r="K786" s="38"/>
      <c r="L786" s="38">
        <v>350</v>
      </c>
      <c r="M786" s="38">
        <v>3.4</v>
      </c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  <c r="AH786" s="38"/>
      <c r="AI786" s="38"/>
      <c r="AJ786" s="38"/>
      <c r="AK786" s="38"/>
      <c r="AL786" s="38"/>
      <c r="AM786" s="38">
        <v>287000</v>
      </c>
      <c r="AN786" s="38"/>
      <c r="AO786" s="38">
        <v>38.4</v>
      </c>
      <c r="AP786" s="38"/>
      <c r="AQ786" s="38"/>
      <c r="AR786" s="38"/>
      <c r="AS786" s="38"/>
      <c r="AT786" s="38"/>
      <c r="AU786" s="38">
        <v>170000</v>
      </c>
      <c r="AV786" s="38">
        <v>56000</v>
      </c>
      <c r="AW786" s="38">
        <v>67000</v>
      </c>
      <c r="AX786" s="38">
        <v>88000</v>
      </c>
      <c r="AY786" s="38"/>
      <c r="AZ786" s="38"/>
      <c r="BA786" s="38"/>
      <c r="BB786" s="38"/>
    </row>
    <row r="787" spans="1:54">
      <c r="A787" s="38" t="s">
        <v>4530</v>
      </c>
      <c r="B787" s="38">
        <v>100</v>
      </c>
      <c r="C787" s="38" t="s">
        <v>3455</v>
      </c>
      <c r="D787" s="38" t="s">
        <v>4485</v>
      </c>
      <c r="E787" s="38" t="s">
        <v>3399</v>
      </c>
      <c r="F787" s="38"/>
      <c r="G787" s="38"/>
      <c r="H787" s="38" t="s">
        <v>4533</v>
      </c>
      <c r="I787" s="38" t="s">
        <v>3400</v>
      </c>
      <c r="J787" s="38" t="s">
        <v>4252</v>
      </c>
      <c r="K787" s="38"/>
      <c r="L787" s="38">
        <v>450</v>
      </c>
      <c r="M787" s="38">
        <v>3.4</v>
      </c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38"/>
      <c r="AI787" s="38"/>
      <c r="AJ787" s="38"/>
      <c r="AK787" s="38"/>
      <c r="AL787" s="38"/>
      <c r="AM787" s="38">
        <v>191000</v>
      </c>
      <c r="AN787" s="38"/>
      <c r="AO787" s="38">
        <v>48</v>
      </c>
      <c r="AP787" s="38"/>
      <c r="AQ787" s="38"/>
      <c r="AR787" s="38"/>
      <c r="AS787" s="38"/>
      <c r="AT787" s="38">
        <v>80000</v>
      </c>
      <c r="AU787" s="38"/>
      <c r="AV787" s="38">
        <v>101000</v>
      </c>
      <c r="AW787" s="38">
        <v>53000</v>
      </c>
      <c r="AX787" s="38">
        <v>126000</v>
      </c>
      <c r="AY787" s="38"/>
      <c r="AZ787" s="38"/>
      <c r="BA787" s="38"/>
      <c r="BB787" s="38"/>
    </row>
    <row r="788" spans="1:54">
      <c r="A788" s="38" t="s">
        <v>4531</v>
      </c>
      <c r="B788" s="38">
        <v>100</v>
      </c>
      <c r="C788" s="38" t="s">
        <v>3455</v>
      </c>
      <c r="D788" s="38" t="s">
        <v>4485</v>
      </c>
      <c r="E788" s="38" t="s">
        <v>3399</v>
      </c>
      <c r="F788" s="38"/>
      <c r="G788" s="38"/>
      <c r="H788" s="38" t="s">
        <v>4533</v>
      </c>
      <c r="I788" s="38" t="s">
        <v>3400</v>
      </c>
      <c r="J788" s="38" t="s">
        <v>4252</v>
      </c>
      <c r="K788" s="38"/>
      <c r="L788" s="38">
        <v>550</v>
      </c>
      <c r="M788" s="38">
        <v>0.7</v>
      </c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  <c r="AI788" s="38"/>
      <c r="AJ788" s="38"/>
      <c r="AK788" s="38"/>
      <c r="AL788" s="38"/>
      <c r="AM788" s="38">
        <v>189000</v>
      </c>
      <c r="AN788" s="38"/>
      <c r="AO788" s="38">
        <v>32.9</v>
      </c>
      <c r="AP788" s="38"/>
      <c r="AQ788" s="38"/>
      <c r="AR788" s="38"/>
      <c r="AS788" s="38"/>
      <c r="AT788" s="38"/>
      <c r="AU788" s="38">
        <v>45000</v>
      </c>
      <c r="AV788" s="38">
        <v>112000</v>
      </c>
      <c r="AW788" s="38">
        <v>55000</v>
      </c>
      <c r="AX788" s="38">
        <v>189000</v>
      </c>
      <c r="AY788" s="38"/>
      <c r="AZ788" s="38"/>
      <c r="BA788" s="38"/>
      <c r="BB788" s="38"/>
    </row>
    <row r="789" spans="1:54">
      <c r="A789" s="38" t="s">
        <v>4532</v>
      </c>
      <c r="B789" s="38">
        <v>100</v>
      </c>
      <c r="C789" s="38" t="s">
        <v>3455</v>
      </c>
      <c r="D789" s="38" t="s">
        <v>4485</v>
      </c>
      <c r="E789" s="38" t="s">
        <v>3399</v>
      </c>
      <c r="F789" s="38"/>
      <c r="G789" s="38"/>
      <c r="H789" s="38" t="s">
        <v>4533</v>
      </c>
      <c r="I789" s="38" t="s">
        <v>3400</v>
      </c>
      <c r="J789" s="38" t="s">
        <v>4252</v>
      </c>
      <c r="K789" s="38"/>
      <c r="L789" s="38">
        <v>650</v>
      </c>
      <c r="M789" s="38">
        <v>5</v>
      </c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  <c r="AH789" s="38"/>
      <c r="AI789" s="38"/>
      <c r="AJ789" s="38"/>
      <c r="AK789" s="38"/>
      <c r="AL789" s="38"/>
      <c r="AM789" s="38">
        <v>201000</v>
      </c>
      <c r="AN789" s="38"/>
      <c r="AO789" s="38">
        <v>27.5</v>
      </c>
      <c r="AP789" s="38"/>
      <c r="AQ789" s="38"/>
      <c r="AR789" s="38"/>
      <c r="AS789" s="38"/>
      <c r="AT789" s="38"/>
      <c r="AU789" s="38">
        <v>94000</v>
      </c>
      <c r="AV789" s="38">
        <v>138000</v>
      </c>
      <c r="AW789" s="38">
        <v>59000</v>
      </c>
      <c r="AX789" s="38">
        <v>368000</v>
      </c>
      <c r="AY789" s="38"/>
      <c r="AZ789" s="38"/>
      <c r="BA789" s="38"/>
      <c r="BB789" s="38"/>
    </row>
    <row r="790" spans="1:54">
      <c r="A790" s="38" t="s">
        <v>4534</v>
      </c>
      <c r="B790" s="38" t="s">
        <v>3409</v>
      </c>
      <c r="C790" s="38" t="s">
        <v>4535</v>
      </c>
      <c r="D790" s="38" t="s">
        <v>3399</v>
      </c>
      <c r="E790" s="38"/>
      <c r="F790" s="38"/>
      <c r="G790" s="38" t="s">
        <v>4536</v>
      </c>
      <c r="H790" s="38" t="s">
        <v>3400</v>
      </c>
      <c r="I790" s="38" t="s">
        <v>4252</v>
      </c>
      <c r="J790" s="38"/>
      <c r="K790" s="38">
        <v>350</v>
      </c>
      <c r="L790" s="38">
        <v>14.4</v>
      </c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  <c r="AI790" s="38"/>
      <c r="AJ790" s="38"/>
      <c r="AK790" s="38"/>
      <c r="AL790" s="38">
        <v>407000</v>
      </c>
      <c r="AM790" s="38"/>
      <c r="AN790" s="38">
        <v>30.7</v>
      </c>
      <c r="AO790" s="38"/>
      <c r="AP790" s="38"/>
      <c r="AQ790" s="38"/>
      <c r="AR790" s="38"/>
      <c r="AS790" s="38"/>
      <c r="AT790" s="38">
        <v>870000</v>
      </c>
      <c r="AU790" s="38">
        <v>228000</v>
      </c>
      <c r="AV790" s="38">
        <v>165000</v>
      </c>
      <c r="AW790" s="38">
        <v>172000</v>
      </c>
      <c r="AX790" s="38"/>
      <c r="AY790" s="38"/>
      <c r="AZ790" s="38"/>
      <c r="BA790" s="38"/>
      <c r="BB790" s="38"/>
    </row>
    <row r="791" spans="1:54">
      <c r="A791" s="38" t="s">
        <v>4537</v>
      </c>
      <c r="B791" s="38" t="s">
        <v>3455</v>
      </c>
      <c r="C791" s="38" t="s">
        <v>4538</v>
      </c>
      <c r="D791" s="38" t="s">
        <v>3399</v>
      </c>
      <c r="E791" s="38"/>
      <c r="F791" s="38"/>
      <c r="G791" s="38" t="s">
        <v>4529</v>
      </c>
      <c r="H791" s="38" t="s">
        <v>3400</v>
      </c>
      <c r="I791" s="38" t="s">
        <v>4252</v>
      </c>
      <c r="J791" s="38"/>
      <c r="K791" s="38">
        <v>450</v>
      </c>
      <c r="L791" s="38">
        <v>17.600000000000001</v>
      </c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38"/>
      <c r="AI791" s="38"/>
      <c r="AJ791" s="38"/>
      <c r="AK791" s="38"/>
      <c r="AL791" s="38">
        <v>802000</v>
      </c>
      <c r="AM791" s="38"/>
      <c r="AN791" s="38">
        <v>72.5</v>
      </c>
      <c r="AO791" s="38"/>
      <c r="AP791" s="38"/>
      <c r="AQ791" s="38"/>
      <c r="AR791" s="38"/>
      <c r="AS791" s="38"/>
      <c r="AT791" s="38">
        <v>1000000</v>
      </c>
      <c r="AU791" s="38">
        <v>1000000</v>
      </c>
      <c r="AV791" s="38">
        <v>699000</v>
      </c>
      <c r="AW791" s="38">
        <v>1000000</v>
      </c>
      <c r="AX791" s="38"/>
      <c r="AY791" s="38"/>
      <c r="AZ791" s="38"/>
      <c r="BA791" s="38"/>
      <c r="BB791" s="38"/>
    </row>
    <row r="792" spans="1:54">
      <c r="A792" s="38" t="s">
        <v>4539</v>
      </c>
      <c r="B792" s="38" t="s">
        <v>3409</v>
      </c>
      <c r="C792" s="38" t="s">
        <v>4538</v>
      </c>
      <c r="D792" s="38" t="s">
        <v>3399</v>
      </c>
      <c r="E792" s="38"/>
      <c r="F792" s="38"/>
      <c r="G792" s="38" t="s">
        <v>4529</v>
      </c>
      <c r="H792" s="38" t="s">
        <v>3400</v>
      </c>
      <c r="I792" s="38" t="s">
        <v>4252</v>
      </c>
      <c r="J792" s="38"/>
      <c r="K792" s="38">
        <v>550</v>
      </c>
      <c r="L792" s="38">
        <v>20.100000000000001</v>
      </c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38"/>
      <c r="AI792" s="38"/>
      <c r="AJ792" s="38"/>
      <c r="AK792" s="38"/>
      <c r="AL792" s="38">
        <v>533000</v>
      </c>
      <c r="AM792" s="38"/>
      <c r="AN792" s="38">
        <v>27.4</v>
      </c>
      <c r="AO792" s="38"/>
      <c r="AP792" s="38"/>
      <c r="AQ792" s="38"/>
      <c r="AR792" s="38"/>
      <c r="AS792" s="38"/>
      <c r="AT792" s="38">
        <v>895000</v>
      </c>
      <c r="AU792" s="38">
        <v>241000</v>
      </c>
      <c r="AV792" s="38">
        <v>128000</v>
      </c>
      <c r="AW792" s="38">
        <v>843000</v>
      </c>
      <c r="AX792" s="38"/>
      <c r="AY792" s="38"/>
      <c r="AZ792" s="38"/>
      <c r="BA792" s="38"/>
      <c r="BB792" s="38"/>
    </row>
    <row r="793" spans="1:54">
      <c r="A793" s="38" t="s">
        <v>4540</v>
      </c>
      <c r="B793" s="38" t="s">
        <v>3409</v>
      </c>
      <c r="C793" s="38" t="s">
        <v>4538</v>
      </c>
      <c r="D793" s="38" t="s">
        <v>3399</v>
      </c>
      <c r="E793" s="38"/>
      <c r="F793" s="38"/>
      <c r="G793" s="38" t="s">
        <v>4529</v>
      </c>
      <c r="H793" s="38" t="s">
        <v>3400</v>
      </c>
      <c r="I793" s="38" t="s">
        <v>4252</v>
      </c>
      <c r="J793" s="38"/>
      <c r="K793" s="38">
        <v>650</v>
      </c>
      <c r="L793" s="38">
        <v>21.9</v>
      </c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  <c r="AI793" s="38"/>
      <c r="AJ793" s="38"/>
      <c r="AK793" s="38"/>
      <c r="AL793" s="38">
        <v>684000</v>
      </c>
      <c r="AM793" s="38"/>
      <c r="AN793" s="38">
        <v>79.599999999999994</v>
      </c>
      <c r="AO793" s="38"/>
      <c r="AP793" s="38"/>
      <c r="AQ793" s="38"/>
      <c r="AR793" s="38"/>
      <c r="AS793" s="38"/>
      <c r="AT793" s="38">
        <v>445000</v>
      </c>
      <c r="AU793" s="38">
        <v>517000</v>
      </c>
      <c r="AV793" s="38">
        <v>211000</v>
      </c>
      <c r="AW793" s="38">
        <v>1000000</v>
      </c>
      <c r="AX793" s="38"/>
      <c r="AY793" s="38"/>
      <c r="AZ793" s="38"/>
      <c r="BA793" s="38"/>
      <c r="BB793" s="38"/>
    </row>
    <row r="794" spans="1:54">
      <c r="A794" s="38" t="s">
        <v>4537</v>
      </c>
      <c r="B794" s="38">
        <v>100</v>
      </c>
      <c r="C794" s="38" t="s">
        <v>3409</v>
      </c>
      <c r="D794" s="38" t="s">
        <v>4535</v>
      </c>
      <c r="E794" s="38" t="s">
        <v>3399</v>
      </c>
      <c r="F794" s="38"/>
      <c r="G794" s="38"/>
      <c r="H794" s="38" t="s">
        <v>4541</v>
      </c>
      <c r="I794" s="38" t="s">
        <v>3400</v>
      </c>
      <c r="J794" s="38" t="s">
        <v>4252</v>
      </c>
      <c r="K794" s="38"/>
      <c r="L794" s="38">
        <v>450</v>
      </c>
      <c r="M794" s="38">
        <v>20.9</v>
      </c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38"/>
      <c r="AI794" s="38"/>
      <c r="AJ794" s="38"/>
      <c r="AK794" s="38"/>
      <c r="AL794" s="38"/>
      <c r="AM794" s="38">
        <v>261000</v>
      </c>
      <c r="AN794" s="38"/>
      <c r="AO794" s="38">
        <v>36.799999999999997</v>
      </c>
      <c r="AP794" s="38"/>
      <c r="AQ794" s="38"/>
      <c r="AR794" s="38"/>
      <c r="AS794" s="38"/>
      <c r="AT794" s="38"/>
      <c r="AU794" s="38">
        <v>822000</v>
      </c>
      <c r="AV794" s="38">
        <v>127000</v>
      </c>
      <c r="AW794" s="38">
        <v>90000</v>
      </c>
      <c r="AX794" s="38">
        <v>241000</v>
      </c>
      <c r="AY794" s="38"/>
      <c r="AZ794" s="38"/>
      <c r="BA794" s="38"/>
      <c r="BB794" s="38"/>
    </row>
    <row r="795" spans="1:54">
      <c r="A795" s="38" t="s">
        <v>4539</v>
      </c>
      <c r="B795" s="38">
        <v>100</v>
      </c>
      <c r="C795" s="38" t="s">
        <v>3409</v>
      </c>
      <c r="D795" s="38" t="s">
        <v>4535</v>
      </c>
      <c r="E795" s="38" t="s">
        <v>3399</v>
      </c>
      <c r="F795" s="38"/>
      <c r="G795" s="38"/>
      <c r="H795" s="38" t="s">
        <v>4533</v>
      </c>
      <c r="I795" s="38" t="s">
        <v>3400</v>
      </c>
      <c r="J795" s="38" t="s">
        <v>4252</v>
      </c>
      <c r="K795" s="38"/>
      <c r="L795" s="38">
        <v>550</v>
      </c>
      <c r="M795" s="38">
        <v>21.9</v>
      </c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  <c r="AH795" s="38"/>
      <c r="AI795" s="38"/>
      <c r="AJ795" s="38"/>
      <c r="AK795" s="38"/>
      <c r="AL795" s="38"/>
      <c r="AM795" s="38">
        <v>247000</v>
      </c>
      <c r="AN795" s="38"/>
      <c r="AO795" s="38">
        <v>60.6</v>
      </c>
      <c r="AP795" s="38"/>
      <c r="AQ795" s="38"/>
      <c r="AR795" s="38"/>
      <c r="AS795" s="38"/>
      <c r="AT795" s="38"/>
      <c r="AU795" s="38">
        <v>650000</v>
      </c>
      <c r="AV795" s="38">
        <v>82000</v>
      </c>
      <c r="AW795" s="38">
        <v>56000</v>
      </c>
      <c r="AX795" s="38">
        <v>221000</v>
      </c>
      <c r="AY795" s="38"/>
      <c r="AZ795" s="38"/>
      <c r="BA795" s="38"/>
      <c r="BB795" s="38"/>
    </row>
    <row r="796" spans="1:54">
      <c r="A796" s="38" t="s">
        <v>4540</v>
      </c>
      <c r="B796" s="38">
        <v>100</v>
      </c>
      <c r="C796" s="38" t="s">
        <v>3409</v>
      </c>
      <c r="D796" s="38" t="s">
        <v>4542</v>
      </c>
      <c r="E796" s="38" t="s">
        <v>3399</v>
      </c>
      <c r="F796" s="38"/>
      <c r="G796" s="38"/>
      <c r="H796" s="38" t="s">
        <v>4533</v>
      </c>
      <c r="I796" s="38" t="s">
        <v>3400</v>
      </c>
      <c r="J796" s="38" t="s">
        <v>4252</v>
      </c>
      <c r="K796" s="38"/>
      <c r="L796" s="38">
        <v>650</v>
      </c>
      <c r="M796" s="38">
        <v>23.7</v>
      </c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  <c r="AI796" s="38"/>
      <c r="AJ796" s="38"/>
      <c r="AK796" s="38"/>
      <c r="AL796" s="38"/>
      <c r="AM796" s="38">
        <v>253000</v>
      </c>
      <c r="AN796" s="38"/>
      <c r="AO796" s="38">
        <v>46.7</v>
      </c>
      <c r="AP796" s="38"/>
      <c r="AQ796" s="38"/>
      <c r="AR796" s="38"/>
      <c r="AS796" s="38"/>
      <c r="AT796" s="38"/>
      <c r="AU796" s="38">
        <v>245000</v>
      </c>
      <c r="AV796" s="38">
        <v>47000</v>
      </c>
      <c r="AW796" s="38">
        <v>44000</v>
      </c>
      <c r="AX796" s="38">
        <v>157000</v>
      </c>
      <c r="AY796" s="38"/>
      <c r="AZ796" s="38"/>
      <c r="BA796" s="38"/>
      <c r="BB796" s="38"/>
    </row>
    <row r="797" spans="1:54">
      <c r="A797" s="38" t="s">
        <v>4114</v>
      </c>
      <c r="B797" s="38" t="s">
        <v>3409</v>
      </c>
      <c r="C797" s="38" t="s">
        <v>4543</v>
      </c>
      <c r="D797" s="38" t="s">
        <v>3399</v>
      </c>
      <c r="E797" s="38"/>
      <c r="F797" s="38"/>
      <c r="G797" s="38" t="s">
        <v>3997</v>
      </c>
      <c r="H797" s="38" t="s">
        <v>3400</v>
      </c>
      <c r="I797" s="38" t="s">
        <v>4544</v>
      </c>
      <c r="J797" s="38"/>
      <c r="K797" s="38">
        <v>500</v>
      </c>
      <c r="L797" s="38"/>
      <c r="M797" s="38">
        <v>63.9</v>
      </c>
      <c r="N797" s="38">
        <v>64.25</v>
      </c>
      <c r="O797" s="38">
        <v>0.88700000000000001</v>
      </c>
      <c r="P797" s="38"/>
      <c r="Q797" s="38"/>
      <c r="R797" s="38">
        <v>10.1</v>
      </c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38"/>
      <c r="AI797" s="38"/>
      <c r="AJ797" s="38"/>
      <c r="AK797" s="38"/>
      <c r="AL797" s="38"/>
      <c r="AM797" s="38"/>
      <c r="AN797" s="38"/>
      <c r="AO797" s="38"/>
      <c r="AP797" s="38"/>
      <c r="AQ797" s="38"/>
      <c r="AR797" s="38"/>
      <c r="AS797" s="38"/>
      <c r="AT797" s="38"/>
      <c r="AU797" s="38"/>
      <c r="AV797" s="38"/>
      <c r="AW797" s="38"/>
      <c r="AX797" s="38"/>
      <c r="AY797" s="38"/>
      <c r="AZ797" s="38"/>
      <c r="BA797" s="38"/>
      <c r="BB797" s="38"/>
    </row>
    <row r="798" spans="1:54">
      <c r="A798" s="38" t="s">
        <v>4545</v>
      </c>
      <c r="B798" s="38" t="s">
        <v>3471</v>
      </c>
      <c r="C798" s="38" t="s">
        <v>4546</v>
      </c>
      <c r="D798" s="38" t="s">
        <v>3399</v>
      </c>
      <c r="E798" s="38"/>
      <c r="F798" s="38"/>
      <c r="G798" s="38" t="s">
        <v>3997</v>
      </c>
      <c r="H798" s="38" t="s">
        <v>3400</v>
      </c>
      <c r="I798" s="38" t="s">
        <v>4547</v>
      </c>
      <c r="J798" s="38">
        <v>0.74</v>
      </c>
      <c r="K798" s="38">
        <v>575</v>
      </c>
      <c r="L798" s="38">
        <v>7.66</v>
      </c>
      <c r="M798" s="38"/>
      <c r="N798" s="38">
        <v>78.14</v>
      </c>
      <c r="O798" s="38">
        <v>0.64</v>
      </c>
      <c r="P798" s="38">
        <v>1.76</v>
      </c>
      <c r="Q798" s="38">
        <v>5.1100000000000003</v>
      </c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  <c r="AI798" s="38"/>
      <c r="AJ798" s="38"/>
      <c r="AK798" s="38"/>
      <c r="AL798" s="38"/>
      <c r="AM798" s="38"/>
      <c r="AN798" s="38"/>
      <c r="AO798" s="38"/>
      <c r="AP798" s="38">
        <v>13.46</v>
      </c>
      <c r="AQ798" s="38"/>
      <c r="AR798" s="38"/>
      <c r="AS798" s="38"/>
      <c r="AT798" s="38"/>
      <c r="AU798" s="38"/>
      <c r="AV798" s="38"/>
      <c r="AW798" s="38"/>
      <c r="AX798" s="38"/>
      <c r="AY798" s="38"/>
      <c r="AZ798" s="38"/>
      <c r="BA798" s="38"/>
      <c r="BB798" s="38"/>
    </row>
    <row r="799" spans="1:54">
      <c r="A799" s="38" t="s">
        <v>4548</v>
      </c>
      <c r="B799" s="38" t="s">
        <v>3409</v>
      </c>
      <c r="C799" s="38" t="s">
        <v>4381</v>
      </c>
      <c r="D799" s="38" t="s">
        <v>3399</v>
      </c>
      <c r="E799" s="38"/>
      <c r="F799" s="38"/>
      <c r="G799" s="38" t="s">
        <v>3997</v>
      </c>
      <c r="H799" s="38" t="s">
        <v>3400</v>
      </c>
      <c r="I799" s="38" t="s">
        <v>4549</v>
      </c>
      <c r="J799" s="38"/>
      <c r="K799" s="38">
        <v>550</v>
      </c>
      <c r="L799" s="38"/>
      <c r="M799" s="38">
        <v>46.7</v>
      </c>
      <c r="N799" s="38"/>
      <c r="O799" s="38"/>
      <c r="P799" s="38"/>
      <c r="Q799" s="38"/>
      <c r="R799" s="38">
        <v>10.4</v>
      </c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38"/>
      <c r="AI799" s="38"/>
      <c r="AJ799" s="38"/>
      <c r="AK799" s="38"/>
      <c r="AL799" s="38"/>
      <c r="AM799" s="38"/>
      <c r="AN799" s="38"/>
      <c r="AO799" s="38"/>
      <c r="AP799" s="38"/>
      <c r="AQ799" s="38"/>
      <c r="AR799" s="38"/>
      <c r="AS799" s="38">
        <v>2773</v>
      </c>
      <c r="AT799" s="38"/>
      <c r="AU799" s="38"/>
      <c r="AV799" s="38"/>
      <c r="AW799" s="38"/>
      <c r="AX799" s="38"/>
      <c r="AY799" s="38"/>
      <c r="AZ799" s="38"/>
      <c r="BA799" s="38"/>
      <c r="BB799" s="38"/>
    </row>
    <row r="800" spans="1:54">
      <c r="A800" s="38" t="s">
        <v>3867</v>
      </c>
      <c r="B800" s="38" t="s">
        <v>1948</v>
      </c>
      <c r="C800" s="38" t="s">
        <v>4550</v>
      </c>
      <c r="D800" s="38" t="s">
        <v>3399</v>
      </c>
      <c r="E800" s="38"/>
      <c r="F800" s="38"/>
      <c r="G800" s="38" t="s">
        <v>3997</v>
      </c>
      <c r="H800" s="38" t="s">
        <v>3400</v>
      </c>
      <c r="I800" s="38" t="s">
        <v>4551</v>
      </c>
      <c r="J800" s="38"/>
      <c r="K800" s="38">
        <v>300</v>
      </c>
      <c r="L800" s="38"/>
      <c r="M800" s="38"/>
      <c r="N800" s="38"/>
      <c r="O800" s="38"/>
      <c r="P800" s="38"/>
      <c r="Q800" s="38"/>
      <c r="R800" s="38">
        <v>7.59</v>
      </c>
      <c r="S800" s="38">
        <v>0.76800000000000002</v>
      </c>
      <c r="T800" s="38"/>
      <c r="U800" s="38"/>
      <c r="V800" s="38"/>
      <c r="W800" s="38"/>
      <c r="X800" s="38"/>
      <c r="Y800" s="38"/>
      <c r="Z800" s="38">
        <v>6.7</v>
      </c>
      <c r="AA800" s="38"/>
      <c r="AB800" s="38">
        <v>239.5</v>
      </c>
      <c r="AC800" s="38"/>
      <c r="AD800" s="38"/>
      <c r="AE800" s="38"/>
      <c r="AF800" s="38"/>
      <c r="AG800" s="38">
        <v>36.799999999999997</v>
      </c>
      <c r="AH800" s="38"/>
      <c r="AI800" s="38">
        <v>135</v>
      </c>
      <c r="AJ800" s="38"/>
      <c r="AK800" s="38"/>
      <c r="AL800" s="38"/>
      <c r="AM800" s="38"/>
      <c r="AN800" s="38">
        <v>18.7</v>
      </c>
      <c r="AO800" s="38"/>
      <c r="AP800" s="38"/>
      <c r="AQ800" s="38"/>
      <c r="AR800" s="38"/>
      <c r="AS800" s="38"/>
      <c r="AT800" s="38"/>
      <c r="AU800" s="38"/>
      <c r="AV800" s="38"/>
      <c r="AW800" s="38"/>
      <c r="AX800" s="38"/>
      <c r="AY800" s="38"/>
      <c r="AZ800" s="38"/>
      <c r="BA800" s="38"/>
      <c r="BB800" s="38"/>
    </row>
    <row r="801" spans="1:54">
      <c r="A801" s="38" t="s">
        <v>4030</v>
      </c>
      <c r="B801" s="38" t="s">
        <v>1948</v>
      </c>
      <c r="C801" s="38" t="s">
        <v>4550</v>
      </c>
      <c r="D801" s="38" t="s">
        <v>3399</v>
      </c>
      <c r="E801" s="38"/>
      <c r="F801" s="38"/>
      <c r="G801" s="38" t="s">
        <v>3997</v>
      </c>
      <c r="H801" s="38" t="s">
        <v>3400</v>
      </c>
      <c r="I801" s="38" t="s">
        <v>4551</v>
      </c>
      <c r="J801" s="38"/>
      <c r="K801" s="38">
        <v>500</v>
      </c>
      <c r="L801" s="38"/>
      <c r="M801" s="38"/>
      <c r="N801" s="38"/>
      <c r="O801" s="38"/>
      <c r="P801" s="38"/>
      <c r="Q801" s="38"/>
      <c r="R801" s="38">
        <v>9.4</v>
      </c>
      <c r="S801" s="38">
        <v>0.755</v>
      </c>
      <c r="T801" s="38"/>
      <c r="U801" s="38"/>
      <c r="V801" s="38"/>
      <c r="W801" s="38"/>
      <c r="X801" s="38"/>
      <c r="Y801" s="38"/>
      <c r="Z801" s="38">
        <v>5.8</v>
      </c>
      <c r="AA801" s="38"/>
      <c r="AB801" s="38"/>
      <c r="AC801" s="38">
        <v>270.60000000000002</v>
      </c>
      <c r="AD801" s="38"/>
      <c r="AE801" s="38"/>
      <c r="AF801" s="38"/>
      <c r="AG801" s="38">
        <v>35.5</v>
      </c>
      <c r="AH801" s="38"/>
      <c r="AI801" s="38">
        <v>76.7</v>
      </c>
      <c r="AJ801" s="38"/>
      <c r="AK801" s="38"/>
      <c r="AL801" s="38"/>
      <c r="AM801" s="38"/>
      <c r="AN801" s="38">
        <v>16.5</v>
      </c>
      <c r="AO801" s="38"/>
      <c r="AP801" s="38"/>
      <c r="AQ801" s="38"/>
      <c r="AR801" s="38"/>
      <c r="AS801" s="38"/>
      <c r="AT801" s="38"/>
      <c r="AU801" s="38"/>
      <c r="AV801" s="38"/>
      <c r="AW801" s="38"/>
      <c r="AX801" s="38"/>
      <c r="AY801" s="38"/>
      <c r="AZ801" s="38"/>
      <c r="BA801" s="38"/>
      <c r="BB801" s="38"/>
    </row>
    <row r="802" spans="1:54">
      <c r="A802" s="38" t="s">
        <v>4552</v>
      </c>
      <c r="B802" s="38" t="s">
        <v>3409</v>
      </c>
      <c r="C802" s="38" t="s">
        <v>4553</v>
      </c>
      <c r="D802" s="38" t="s">
        <v>3399</v>
      </c>
      <c r="E802" s="38"/>
      <c r="F802" s="38"/>
      <c r="G802" s="38" t="s">
        <v>3997</v>
      </c>
      <c r="H802" s="38" t="s">
        <v>3400</v>
      </c>
      <c r="I802" s="38" t="s">
        <v>4554</v>
      </c>
      <c r="J802" s="38"/>
      <c r="K802" s="38">
        <v>475</v>
      </c>
      <c r="L802" s="38">
        <v>10.199999999999999</v>
      </c>
      <c r="M802" s="38"/>
      <c r="N802" s="38">
        <v>74.599999999999994</v>
      </c>
      <c r="O802" s="38">
        <v>1.1599999999999999</v>
      </c>
      <c r="P802" s="38"/>
      <c r="Q802" s="38"/>
      <c r="R802" s="38">
        <v>9.5</v>
      </c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38"/>
      <c r="AI802" s="38"/>
      <c r="AJ802" s="38"/>
      <c r="AK802" s="38"/>
      <c r="AL802" s="38"/>
      <c r="AM802" s="38"/>
      <c r="AN802" s="38"/>
      <c r="AO802" s="38"/>
      <c r="AP802" s="38"/>
      <c r="AQ802" s="38"/>
      <c r="AR802" s="38"/>
      <c r="AS802" s="38"/>
      <c r="AT802" s="38"/>
      <c r="AU802" s="38"/>
      <c r="AV802" s="38"/>
      <c r="AW802" s="38"/>
      <c r="AX802" s="38"/>
      <c r="AY802" s="38"/>
      <c r="AZ802" s="38"/>
      <c r="BA802" s="38"/>
      <c r="BB802" s="38"/>
    </row>
    <row r="803" spans="1:54">
      <c r="A803" s="38" t="s">
        <v>4555</v>
      </c>
      <c r="B803" s="38" t="s">
        <v>3409</v>
      </c>
      <c r="C803" s="38" t="s">
        <v>4381</v>
      </c>
      <c r="D803" s="38" t="s">
        <v>3399</v>
      </c>
      <c r="E803" s="38"/>
      <c r="F803" s="38"/>
      <c r="G803" s="38" t="s">
        <v>4556</v>
      </c>
      <c r="H803" s="38" t="s">
        <v>3400</v>
      </c>
      <c r="I803" s="38" t="s">
        <v>4557</v>
      </c>
      <c r="J803" s="38"/>
      <c r="K803" s="38">
        <v>730</v>
      </c>
      <c r="L803" s="38">
        <v>40.1</v>
      </c>
      <c r="M803" s="38"/>
      <c r="N803" s="38">
        <v>52.24</v>
      </c>
      <c r="O803" s="38"/>
      <c r="P803" s="38"/>
      <c r="Q803" s="38"/>
      <c r="R803" s="38">
        <v>10.7</v>
      </c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38"/>
      <c r="AI803" s="38"/>
      <c r="AJ803" s="38"/>
      <c r="AK803" s="38"/>
      <c r="AL803" s="38"/>
      <c r="AM803" s="38"/>
      <c r="AN803" s="38"/>
      <c r="AO803" s="38"/>
      <c r="AP803" s="38"/>
      <c r="AQ803" s="38"/>
      <c r="AR803" s="38"/>
      <c r="AS803" s="38"/>
      <c r="AT803" s="38">
        <v>3600</v>
      </c>
      <c r="AU803" s="38"/>
      <c r="AV803" s="38"/>
      <c r="AW803" s="38">
        <v>74800</v>
      </c>
      <c r="AX803" s="38"/>
      <c r="AY803" s="38"/>
      <c r="AZ803" s="38"/>
      <c r="BA803" s="38"/>
      <c r="BB803" s="38"/>
    </row>
    <row r="804" spans="1:54">
      <c r="A804" s="38" t="s">
        <v>4558</v>
      </c>
      <c r="B804" s="38" t="s">
        <v>3471</v>
      </c>
      <c r="C804" s="38" t="s">
        <v>4559</v>
      </c>
      <c r="D804" s="38" t="s">
        <v>3399</v>
      </c>
      <c r="E804" s="38"/>
      <c r="F804" s="38"/>
      <c r="G804" s="38" t="s">
        <v>3997</v>
      </c>
      <c r="H804" s="38" t="s">
        <v>3400</v>
      </c>
      <c r="I804" s="38" t="s">
        <v>4557</v>
      </c>
      <c r="J804" s="38"/>
      <c r="K804" s="38">
        <v>480</v>
      </c>
      <c r="L804" s="38">
        <v>13.1</v>
      </c>
      <c r="M804" s="38"/>
      <c r="N804" s="38">
        <v>75.900000000000006</v>
      </c>
      <c r="O804" s="38"/>
      <c r="P804" s="38"/>
      <c r="Q804" s="38"/>
      <c r="R804" s="38">
        <v>9.1</v>
      </c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38"/>
      <c r="AI804" s="38"/>
      <c r="AJ804" s="38"/>
      <c r="AK804" s="38"/>
      <c r="AL804" s="38"/>
      <c r="AM804" s="38"/>
      <c r="AN804" s="38"/>
      <c r="AO804" s="38"/>
      <c r="AP804" s="38"/>
      <c r="AQ804" s="38"/>
      <c r="AR804" s="38"/>
      <c r="AS804" s="38"/>
      <c r="AT804" s="38">
        <v>3900</v>
      </c>
      <c r="AU804" s="38"/>
      <c r="AV804" s="38"/>
      <c r="AW804" s="38">
        <v>3100</v>
      </c>
      <c r="AX804" s="38"/>
      <c r="AY804" s="38"/>
      <c r="AZ804" s="38"/>
      <c r="BA804" s="38"/>
      <c r="BB804" s="38"/>
    </row>
    <row r="805" spans="1:54">
      <c r="A805" s="38" t="s">
        <v>4560</v>
      </c>
      <c r="B805" s="38" t="s">
        <v>3652</v>
      </c>
      <c r="C805" s="38" t="s">
        <v>4561</v>
      </c>
      <c r="D805" s="38" t="s">
        <v>3399</v>
      </c>
      <c r="E805" s="38"/>
      <c r="F805" s="38"/>
      <c r="G805" s="38" t="s">
        <v>3997</v>
      </c>
      <c r="H805" s="38" t="s">
        <v>3400</v>
      </c>
      <c r="I805" s="38" t="s">
        <v>4562</v>
      </c>
      <c r="J805" s="38"/>
      <c r="K805" s="38">
        <v>750</v>
      </c>
      <c r="L805" s="38"/>
      <c r="M805" s="38"/>
      <c r="N805" s="38">
        <v>76</v>
      </c>
      <c r="O805" s="38"/>
      <c r="P805" s="38"/>
      <c r="Q805" s="38"/>
      <c r="R805" s="38">
        <v>9.5</v>
      </c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  <c r="AH805" s="38"/>
      <c r="AI805" s="38"/>
      <c r="AJ805" s="38"/>
      <c r="AK805" s="38"/>
      <c r="AL805" s="38"/>
      <c r="AM805" s="38"/>
      <c r="AN805" s="38"/>
      <c r="AO805" s="38"/>
      <c r="AP805" s="38"/>
      <c r="AQ805" s="38">
        <v>144</v>
      </c>
      <c r="AR805" s="38" t="s">
        <v>3792</v>
      </c>
      <c r="AS805" s="38"/>
      <c r="AT805" s="38"/>
      <c r="AU805" s="38"/>
      <c r="AV805" s="38"/>
      <c r="AW805" s="38"/>
      <c r="AX805" s="38"/>
      <c r="AY805" s="38"/>
      <c r="AZ805" s="38"/>
      <c r="BA805" s="38"/>
      <c r="BB805" s="38"/>
    </row>
    <row r="806" spans="1:54">
      <c r="A806" s="38" t="s">
        <v>4563</v>
      </c>
      <c r="B806" s="38" t="s">
        <v>3471</v>
      </c>
      <c r="C806" s="38" t="s">
        <v>4564</v>
      </c>
      <c r="D806" s="38" t="s">
        <v>3399</v>
      </c>
      <c r="E806" s="38"/>
      <c r="F806" s="38"/>
      <c r="G806" s="38" t="s">
        <v>3997</v>
      </c>
      <c r="H806" s="38" t="s">
        <v>3400</v>
      </c>
      <c r="I806" s="38" t="s">
        <v>4565</v>
      </c>
      <c r="J806" s="38"/>
      <c r="K806" s="38">
        <v>500</v>
      </c>
      <c r="L806" s="38">
        <v>15.2</v>
      </c>
      <c r="M806" s="38"/>
      <c r="N806" s="38">
        <v>80.3</v>
      </c>
      <c r="O806" s="38">
        <v>0.4</v>
      </c>
      <c r="P806" s="38">
        <v>1.6</v>
      </c>
      <c r="Q806" s="38">
        <v>9.8800000000000008</v>
      </c>
      <c r="R806" s="38"/>
      <c r="S806" s="38"/>
      <c r="T806" s="38"/>
      <c r="U806" s="38"/>
      <c r="V806" s="38"/>
      <c r="W806" s="38"/>
      <c r="X806" s="38"/>
      <c r="Y806" s="38"/>
      <c r="Z806" s="38"/>
      <c r="AA806" s="38">
        <v>50</v>
      </c>
      <c r="AB806" s="38">
        <v>20</v>
      </c>
      <c r="AC806" s="38"/>
      <c r="AD806" s="38"/>
      <c r="AE806" s="38"/>
      <c r="AF806" s="38"/>
      <c r="AG806" s="38"/>
      <c r="AH806" s="38"/>
      <c r="AI806" s="38">
        <v>90</v>
      </c>
      <c r="AJ806" s="38"/>
      <c r="AK806" s="38">
        <v>100</v>
      </c>
      <c r="AL806" s="38"/>
      <c r="AM806" s="38"/>
      <c r="AN806" s="38"/>
      <c r="AO806" s="38"/>
      <c r="AP806" s="38">
        <v>11.1</v>
      </c>
      <c r="AQ806" s="38"/>
      <c r="AR806" s="38"/>
      <c r="AS806" s="38"/>
      <c r="AT806" s="38">
        <v>760</v>
      </c>
      <c r="AU806" s="38">
        <v>37500</v>
      </c>
      <c r="AV806" s="38">
        <v>1980</v>
      </c>
      <c r="AW806" s="38">
        <v>7300</v>
      </c>
      <c r="AX806" s="38">
        <v>2430</v>
      </c>
      <c r="AY806" s="38">
        <v>7900</v>
      </c>
      <c r="AZ806" s="38"/>
      <c r="BA806" s="38"/>
      <c r="BB806" s="38"/>
    </row>
    <row r="807" spans="1:54">
      <c r="A807" s="38" t="s">
        <v>4439</v>
      </c>
      <c r="B807" s="38" t="s">
        <v>3409</v>
      </c>
      <c r="C807" s="38" t="s">
        <v>4566</v>
      </c>
      <c r="D807" s="38" t="s">
        <v>3399</v>
      </c>
      <c r="E807" s="38"/>
      <c r="F807" s="38"/>
      <c r="G807" s="38" t="s">
        <v>3997</v>
      </c>
      <c r="H807" s="38" t="s">
        <v>3400</v>
      </c>
      <c r="I807" s="38" t="s">
        <v>4567</v>
      </c>
      <c r="J807" s="38"/>
      <c r="K807" s="38">
        <v>350</v>
      </c>
      <c r="L807" s="38"/>
      <c r="M807" s="38"/>
      <c r="N807" s="38">
        <v>58.1</v>
      </c>
      <c r="O807" s="38">
        <v>1.46</v>
      </c>
      <c r="P807" s="38">
        <v>2.93</v>
      </c>
      <c r="Q807" s="38"/>
      <c r="R807" s="38">
        <v>10</v>
      </c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  <c r="AH807" s="38"/>
      <c r="AI807" s="38"/>
      <c r="AJ807" s="38"/>
      <c r="AK807" s="38"/>
      <c r="AL807" s="38"/>
      <c r="AM807" s="38"/>
      <c r="AN807" s="38">
        <v>108.9</v>
      </c>
      <c r="AO807" s="38"/>
      <c r="AP807" s="38"/>
      <c r="AQ807" s="38">
        <v>2.12</v>
      </c>
      <c r="AR807" s="38" t="s">
        <v>3792</v>
      </c>
      <c r="AS807" s="38"/>
      <c r="AT807" s="38"/>
      <c r="AU807" s="38"/>
      <c r="AV807" s="38"/>
      <c r="AW807" s="38"/>
      <c r="AX807" s="38"/>
      <c r="AY807" s="38"/>
      <c r="AZ807" s="38"/>
      <c r="BA807" s="38"/>
      <c r="BB807" s="38"/>
    </row>
    <row r="808" spans="1:54">
      <c r="A808" s="38" t="s">
        <v>4568</v>
      </c>
      <c r="B808" s="38" t="s">
        <v>3449</v>
      </c>
      <c r="C808" s="38" t="s">
        <v>4569</v>
      </c>
      <c r="D808" s="38" t="s">
        <v>3399</v>
      </c>
      <c r="E808" s="38"/>
      <c r="F808" s="38"/>
      <c r="G808" s="38" t="s">
        <v>3997</v>
      </c>
      <c r="H808" s="38" t="s">
        <v>3400</v>
      </c>
      <c r="I808" s="38" t="s">
        <v>4570</v>
      </c>
      <c r="J808" s="38"/>
      <c r="K808" s="38">
        <v>250</v>
      </c>
      <c r="L808" s="38">
        <v>2</v>
      </c>
      <c r="M808" s="38"/>
      <c r="N808" s="38">
        <v>54.2</v>
      </c>
      <c r="O808" s="38">
        <v>0.37</v>
      </c>
      <c r="P808" s="38">
        <v>5.34</v>
      </c>
      <c r="Q808" s="38">
        <v>40</v>
      </c>
      <c r="R808" s="38">
        <v>4.68</v>
      </c>
      <c r="S808" s="38">
        <v>13.1</v>
      </c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38"/>
      <c r="AI808" s="38"/>
      <c r="AJ808" s="38"/>
      <c r="AK808" s="38"/>
      <c r="AL808" s="38"/>
      <c r="AM808" s="38"/>
      <c r="AN808" s="38"/>
      <c r="AO808" s="38"/>
      <c r="AP808" s="38">
        <v>70.900000000000006</v>
      </c>
      <c r="AQ808" s="38"/>
      <c r="AR808" s="38"/>
      <c r="AS808" s="38"/>
      <c r="AT808" s="38"/>
      <c r="AU808" s="38"/>
      <c r="AV808" s="38"/>
      <c r="AW808" s="38"/>
      <c r="AX808" s="38"/>
      <c r="AY808" s="38"/>
      <c r="AZ808" s="38"/>
      <c r="BA808" s="38"/>
      <c r="BB808" s="38"/>
    </row>
    <row r="809" spans="1:54">
      <c r="A809" s="38" t="s">
        <v>3867</v>
      </c>
      <c r="B809" s="38" t="s">
        <v>3449</v>
      </c>
      <c r="C809" s="38" t="s">
        <v>4569</v>
      </c>
      <c r="D809" s="38" t="s">
        <v>3399</v>
      </c>
      <c r="E809" s="38"/>
      <c r="F809" s="38"/>
      <c r="G809" s="38" t="s">
        <v>3997</v>
      </c>
      <c r="H809" s="38" t="s">
        <v>3400</v>
      </c>
      <c r="I809" s="38" t="s">
        <v>4570</v>
      </c>
      <c r="J809" s="38"/>
      <c r="K809" s="38">
        <v>300</v>
      </c>
      <c r="L809" s="38">
        <v>1.8</v>
      </c>
      <c r="M809" s="38"/>
      <c r="N809" s="38">
        <v>66.67</v>
      </c>
      <c r="O809" s="38">
        <v>0.34</v>
      </c>
      <c r="P809" s="38">
        <v>4.16</v>
      </c>
      <c r="Q809" s="38">
        <v>29</v>
      </c>
      <c r="R809" s="38">
        <v>4.96</v>
      </c>
      <c r="S809" s="38">
        <v>13.7</v>
      </c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  <c r="AH809" s="38"/>
      <c r="AI809" s="38"/>
      <c r="AJ809" s="38"/>
      <c r="AK809" s="38"/>
      <c r="AL809" s="38"/>
      <c r="AM809" s="38"/>
      <c r="AN809" s="38"/>
      <c r="AO809" s="38"/>
      <c r="AP809" s="38">
        <v>49.2</v>
      </c>
      <c r="AQ809" s="38"/>
      <c r="AR809" s="38"/>
      <c r="AS809" s="38"/>
      <c r="AT809" s="38"/>
      <c r="AU809" s="38"/>
      <c r="AV809" s="38"/>
      <c r="AW809" s="38"/>
      <c r="AX809" s="38"/>
      <c r="AY809" s="38"/>
      <c r="AZ809" s="38"/>
      <c r="BA809" s="38"/>
      <c r="BB809" s="38"/>
    </row>
    <row r="810" spans="1:54">
      <c r="A810" s="38" t="s">
        <v>4571</v>
      </c>
      <c r="B810" s="38" t="s">
        <v>3449</v>
      </c>
      <c r="C810" s="38" t="s">
        <v>4569</v>
      </c>
      <c r="D810" s="38" t="s">
        <v>3399</v>
      </c>
      <c r="E810" s="38"/>
      <c r="F810" s="38"/>
      <c r="G810" s="38" t="s">
        <v>3997</v>
      </c>
      <c r="H810" s="38" t="s">
        <v>3400</v>
      </c>
      <c r="I810" s="38" t="s">
        <v>4570</v>
      </c>
      <c r="J810" s="38"/>
      <c r="K810" s="38">
        <v>350</v>
      </c>
      <c r="L810" s="38">
        <v>1.7</v>
      </c>
      <c r="M810" s="38"/>
      <c r="N810" s="38">
        <v>69.98</v>
      </c>
      <c r="O810" s="38">
        <v>0.23</v>
      </c>
      <c r="P810" s="38">
        <v>3.31</v>
      </c>
      <c r="Q810" s="38">
        <v>26</v>
      </c>
      <c r="R810" s="38">
        <v>5.1100000000000003</v>
      </c>
      <c r="S810" s="38">
        <v>21.5</v>
      </c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  <c r="AH810" s="38"/>
      <c r="AI810" s="38"/>
      <c r="AJ810" s="38"/>
      <c r="AK810" s="38"/>
      <c r="AL810" s="38"/>
      <c r="AM810" s="38"/>
      <c r="AN810" s="38"/>
      <c r="AO810" s="38"/>
      <c r="AP810" s="38">
        <v>48.1</v>
      </c>
      <c r="AQ810" s="38"/>
      <c r="AR810" s="38"/>
      <c r="AS810" s="38"/>
      <c r="AT810" s="38"/>
      <c r="AU810" s="38"/>
      <c r="AV810" s="38"/>
      <c r="AW810" s="38"/>
      <c r="AX810" s="38"/>
      <c r="AY810" s="38"/>
      <c r="AZ810" s="38"/>
      <c r="BA810" s="38"/>
      <c r="BB810" s="38"/>
    </row>
    <row r="811" spans="1:54">
      <c r="A811" s="38" t="s">
        <v>4572</v>
      </c>
      <c r="B811" s="38" t="s">
        <v>3449</v>
      </c>
      <c r="C811" s="38" t="s">
        <v>4569</v>
      </c>
      <c r="D811" s="38" t="s">
        <v>3399</v>
      </c>
      <c r="E811" s="38"/>
      <c r="F811" s="38"/>
      <c r="G811" s="38" t="s">
        <v>3997</v>
      </c>
      <c r="H811" s="38" t="s">
        <v>3400</v>
      </c>
      <c r="I811" s="38" t="s">
        <v>4570</v>
      </c>
      <c r="J811" s="38"/>
      <c r="K811" s="38">
        <v>450</v>
      </c>
      <c r="L811" s="38">
        <v>1.7</v>
      </c>
      <c r="M811" s="38"/>
      <c r="N811" s="38">
        <v>75</v>
      </c>
      <c r="O811" s="38">
        <v>0.21</v>
      </c>
      <c r="P811" s="38">
        <v>2.84</v>
      </c>
      <c r="Q811" s="38">
        <v>22</v>
      </c>
      <c r="R811" s="38">
        <v>6.71</v>
      </c>
      <c r="S811" s="38">
        <v>25.9</v>
      </c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  <c r="AH811" s="38"/>
      <c r="AI811" s="38"/>
      <c r="AJ811" s="38"/>
      <c r="AK811" s="38"/>
      <c r="AL811" s="38"/>
      <c r="AM811" s="38"/>
      <c r="AN811" s="38"/>
      <c r="AO811" s="38"/>
      <c r="AP811" s="38">
        <v>44.1</v>
      </c>
      <c r="AQ811" s="38"/>
      <c r="AR811" s="38"/>
      <c r="AS811" s="38"/>
      <c r="AT811" s="38"/>
      <c r="AU811" s="38"/>
      <c r="AV811" s="38"/>
      <c r="AW811" s="38"/>
      <c r="AX811" s="38"/>
      <c r="AY811" s="38"/>
      <c r="AZ811" s="38"/>
      <c r="BA811" s="38"/>
      <c r="BB811" s="38"/>
    </row>
    <row r="812" spans="1:54">
      <c r="A812" s="38" t="s">
        <v>4573</v>
      </c>
      <c r="B812" s="38" t="s">
        <v>3449</v>
      </c>
      <c r="C812" s="38" t="s">
        <v>4569</v>
      </c>
      <c r="D812" s="38" t="s">
        <v>3399</v>
      </c>
      <c r="E812" s="38"/>
      <c r="F812" s="38"/>
      <c r="G812" s="38" t="s">
        <v>3997</v>
      </c>
      <c r="H812" s="38" t="s">
        <v>3400</v>
      </c>
      <c r="I812" s="38" t="s">
        <v>4570</v>
      </c>
      <c r="J812" s="38"/>
      <c r="K812" s="38">
        <v>550</v>
      </c>
      <c r="L812" s="38">
        <v>1.8</v>
      </c>
      <c r="M812" s="38"/>
      <c r="N812" s="38">
        <v>77.25</v>
      </c>
      <c r="O812" s="38">
        <v>0.18</v>
      </c>
      <c r="P812" s="38">
        <v>2.14</v>
      </c>
      <c r="Q812" s="38">
        <v>20</v>
      </c>
      <c r="R812" s="38">
        <v>7.15</v>
      </c>
      <c r="S812" s="38">
        <v>29.7</v>
      </c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38"/>
      <c r="AI812" s="38"/>
      <c r="AJ812" s="38"/>
      <c r="AK812" s="38"/>
      <c r="AL812" s="38"/>
      <c r="AM812" s="38"/>
      <c r="AN812" s="38"/>
      <c r="AO812" s="38"/>
      <c r="AP812" s="38">
        <v>28.3</v>
      </c>
      <c r="AQ812" s="38"/>
      <c r="AR812" s="38"/>
      <c r="AS812" s="38"/>
      <c r="AT812" s="38"/>
      <c r="AU812" s="38"/>
      <c r="AV812" s="38"/>
      <c r="AW812" s="38"/>
      <c r="AX812" s="38"/>
      <c r="AY812" s="38"/>
      <c r="AZ812" s="38"/>
      <c r="BA812" s="38"/>
      <c r="BB812" s="38"/>
    </row>
    <row r="813" spans="1:54">
      <c r="A813" s="38" t="s">
        <v>4574</v>
      </c>
      <c r="B813" s="38" t="s">
        <v>3449</v>
      </c>
      <c r="C813" s="38" t="s">
        <v>4569</v>
      </c>
      <c r="D813" s="38" t="s">
        <v>3399</v>
      </c>
      <c r="E813" s="38"/>
      <c r="F813" s="38"/>
      <c r="G813" s="38" t="s">
        <v>3997</v>
      </c>
      <c r="H813" s="38" t="s">
        <v>3400</v>
      </c>
      <c r="I813" s="38" t="s">
        <v>4570</v>
      </c>
      <c r="J813" s="38"/>
      <c r="K813" s="38">
        <v>650</v>
      </c>
      <c r="L813" s="38">
        <v>1.7</v>
      </c>
      <c r="M813" s="38"/>
      <c r="N813" s="38">
        <v>79.34</v>
      </c>
      <c r="O813" s="38">
        <v>0.05</v>
      </c>
      <c r="P813" s="38">
        <v>1.32</v>
      </c>
      <c r="Q813" s="38">
        <v>19</v>
      </c>
      <c r="R813" s="38">
        <v>8.81</v>
      </c>
      <c r="S813" s="38">
        <v>33.9</v>
      </c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  <c r="AH813" s="38"/>
      <c r="AI813" s="38"/>
      <c r="AJ813" s="38"/>
      <c r="AK813" s="38"/>
      <c r="AL813" s="38"/>
      <c r="AM813" s="38"/>
      <c r="AN813" s="38"/>
      <c r="AO813" s="38"/>
      <c r="AP813" s="38">
        <v>13.9</v>
      </c>
      <c r="AQ813" s="38"/>
      <c r="AR813" s="38"/>
      <c r="AS813" s="38"/>
      <c r="AT813" s="38"/>
      <c r="AU813" s="38"/>
      <c r="AV813" s="38"/>
      <c r="AW813" s="38"/>
      <c r="AX813" s="38"/>
      <c r="AY813" s="38"/>
      <c r="AZ813" s="38"/>
      <c r="BA813" s="38"/>
      <c r="BB813" s="38"/>
    </row>
    <row r="814" spans="1:54">
      <c r="A814" s="38" t="s">
        <v>4575</v>
      </c>
      <c r="B814" s="38" t="s">
        <v>3652</v>
      </c>
      <c r="C814" s="38" t="s">
        <v>4576</v>
      </c>
      <c r="D814" s="38" t="s">
        <v>3399</v>
      </c>
      <c r="E814" s="38"/>
      <c r="F814" s="38"/>
      <c r="G814" s="38" t="s">
        <v>3997</v>
      </c>
      <c r="H814" s="38" t="s">
        <v>3400</v>
      </c>
      <c r="I814" s="38" t="s">
        <v>4577</v>
      </c>
      <c r="J814" s="38"/>
      <c r="K814" s="38">
        <v>350</v>
      </c>
      <c r="L814" s="38">
        <v>14</v>
      </c>
      <c r="M814" s="38"/>
      <c r="N814" s="38">
        <v>65</v>
      </c>
      <c r="O814" s="38">
        <v>1</v>
      </c>
      <c r="P814" s="38"/>
      <c r="Q814" s="38"/>
      <c r="R814" s="38">
        <v>9.9</v>
      </c>
      <c r="S814" s="38">
        <v>4.75</v>
      </c>
      <c r="T814" s="38"/>
      <c r="U814" s="38"/>
      <c r="V814" s="38"/>
      <c r="W814" s="38"/>
      <c r="X814" s="38"/>
      <c r="Y814" s="38">
        <v>0.16</v>
      </c>
      <c r="Z814" s="38"/>
      <c r="AA814" s="38"/>
      <c r="AB814" s="38"/>
      <c r="AC814" s="38"/>
      <c r="AD814" s="38"/>
      <c r="AE814" s="38"/>
      <c r="AF814" s="38"/>
      <c r="AG814" s="38"/>
      <c r="AH814" s="38"/>
      <c r="AI814" s="38"/>
      <c r="AJ814" s="38"/>
      <c r="AK814" s="38"/>
      <c r="AL814" s="38"/>
      <c r="AM814" s="38"/>
      <c r="AN814" s="38"/>
      <c r="AO814" s="38"/>
      <c r="AP814" s="38"/>
      <c r="AQ814" s="38"/>
      <c r="AR814" s="38"/>
      <c r="AS814" s="38">
        <v>1103</v>
      </c>
      <c r="AT814" s="38">
        <v>3803</v>
      </c>
      <c r="AU814" s="38">
        <v>4820</v>
      </c>
      <c r="AV814" s="38">
        <v>8147</v>
      </c>
      <c r="AW814" s="38">
        <v>50715</v>
      </c>
      <c r="AX814" s="38">
        <v>82</v>
      </c>
      <c r="AY814" s="38">
        <v>55</v>
      </c>
      <c r="AZ814" s="38"/>
      <c r="BA814" s="38"/>
      <c r="BB814" s="38"/>
    </row>
    <row r="815" spans="1:54">
      <c r="A815" s="38" t="s">
        <v>4578</v>
      </c>
      <c r="B815" s="38" t="s">
        <v>3652</v>
      </c>
      <c r="C815" s="38" t="s">
        <v>4579</v>
      </c>
      <c r="D815" s="38" t="s">
        <v>3399</v>
      </c>
      <c r="E815" s="38"/>
      <c r="F815" s="38"/>
      <c r="G815" s="38" t="s">
        <v>3997</v>
      </c>
      <c r="H815" s="38" t="s">
        <v>3400</v>
      </c>
      <c r="I815" s="38" t="s">
        <v>4580</v>
      </c>
      <c r="J815" s="38"/>
      <c r="K815" s="38">
        <v>300</v>
      </c>
      <c r="L815" s="38"/>
      <c r="M815" s="38"/>
      <c r="N815" s="38">
        <v>70.64</v>
      </c>
      <c r="O815" s="38"/>
      <c r="P815" s="38"/>
      <c r="Q815" s="38">
        <v>28.12</v>
      </c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  <c r="AH815" s="38"/>
      <c r="AI815" s="38"/>
      <c r="AJ815" s="38"/>
      <c r="AK815" s="38"/>
      <c r="AL815" s="38"/>
      <c r="AM815" s="38"/>
      <c r="AN815" s="38"/>
      <c r="AO815" s="38"/>
      <c r="AP815" s="38"/>
      <c r="AQ815" s="38">
        <v>6.8818000000000001</v>
      </c>
      <c r="AR815" s="38" t="s">
        <v>3792</v>
      </c>
      <c r="AS815" s="38"/>
      <c r="AT815" s="38">
        <v>3500</v>
      </c>
      <c r="AU815" s="38">
        <v>100</v>
      </c>
      <c r="AV815" s="38">
        <v>3100</v>
      </c>
      <c r="AW815" s="38">
        <v>5500</v>
      </c>
      <c r="AX815" s="38"/>
      <c r="AY815" s="38"/>
      <c r="AZ815" s="38"/>
      <c r="BA815" s="38"/>
      <c r="BB815" s="38"/>
    </row>
    <row r="816" spans="1:54">
      <c r="A816" s="38" t="s">
        <v>4581</v>
      </c>
      <c r="B816" s="38" t="s">
        <v>3652</v>
      </c>
      <c r="C816" s="38" t="s">
        <v>4582</v>
      </c>
      <c r="D816" s="38" t="s">
        <v>3399</v>
      </c>
      <c r="E816" s="38"/>
      <c r="F816" s="38"/>
      <c r="G816" s="38" t="s">
        <v>3997</v>
      </c>
      <c r="H816" s="38" t="s">
        <v>3400</v>
      </c>
      <c r="I816" s="38" t="s">
        <v>4583</v>
      </c>
      <c r="J816" s="38"/>
      <c r="K816" s="38">
        <v>700</v>
      </c>
      <c r="L816" s="38"/>
      <c r="M816" s="38"/>
      <c r="N816" s="38">
        <v>78.069999999999993</v>
      </c>
      <c r="O816" s="38">
        <v>4.78</v>
      </c>
      <c r="P816" s="38">
        <v>2.48</v>
      </c>
      <c r="Q816" s="38">
        <v>14.66</v>
      </c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38"/>
      <c r="AI816" s="38"/>
      <c r="AJ816" s="38"/>
      <c r="AK816" s="38"/>
      <c r="AL816" s="38"/>
      <c r="AM816" s="38"/>
      <c r="AN816" s="38"/>
      <c r="AO816" s="38"/>
      <c r="AP816" s="38"/>
      <c r="AQ816" s="38">
        <v>2.31</v>
      </c>
      <c r="AR816" s="38" t="s">
        <v>3792</v>
      </c>
      <c r="AS816" s="38"/>
      <c r="AT816" s="38"/>
      <c r="AU816" s="38"/>
      <c r="AV816" s="38"/>
      <c r="AW816" s="38"/>
      <c r="AX816" s="38"/>
      <c r="AY816" s="38"/>
      <c r="AZ816" s="38"/>
      <c r="BA816" s="38"/>
      <c r="BB816" s="38"/>
    </row>
    <row r="817" spans="1:54">
      <c r="A817" s="38" t="s">
        <v>4584</v>
      </c>
      <c r="B817" s="38" t="s">
        <v>3471</v>
      </c>
      <c r="C817" s="38" t="s">
        <v>4585</v>
      </c>
      <c r="D817" s="38" t="s">
        <v>3399</v>
      </c>
      <c r="E817" s="38"/>
      <c r="F817" s="38"/>
      <c r="G817" s="38" t="s">
        <v>3997</v>
      </c>
      <c r="H817" s="38" t="s">
        <v>3400</v>
      </c>
      <c r="I817" s="38" t="s">
        <v>4586</v>
      </c>
      <c r="J817" s="38"/>
      <c r="K817" s="38">
        <v>400</v>
      </c>
      <c r="L817" s="38">
        <v>2.4</v>
      </c>
      <c r="M817" s="38"/>
      <c r="N817" s="38">
        <v>76.099999999999994</v>
      </c>
      <c r="O817" s="38">
        <v>0.24</v>
      </c>
      <c r="P817" s="38">
        <v>4.0999999999999996</v>
      </c>
      <c r="Q817" s="38">
        <v>17.100000000000001</v>
      </c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38"/>
      <c r="AI817" s="38"/>
      <c r="AJ817" s="38"/>
      <c r="AK817" s="38"/>
      <c r="AL817" s="38"/>
      <c r="AM817" s="38"/>
      <c r="AN817" s="38"/>
      <c r="AO817" s="38"/>
      <c r="AP817" s="38"/>
      <c r="AQ817" s="38">
        <v>2.4</v>
      </c>
      <c r="AR817" s="38" t="s">
        <v>3792</v>
      </c>
      <c r="AS817" s="38"/>
      <c r="AT817" s="38"/>
      <c r="AU817" s="38"/>
      <c r="AV817" s="38"/>
      <c r="AW817" s="38"/>
      <c r="AX817" s="38"/>
      <c r="AY817" s="38"/>
      <c r="AZ817" s="38"/>
      <c r="BA817" s="38"/>
      <c r="BB817" s="38"/>
    </row>
    <row r="818" spans="1:54">
      <c r="A818" s="38" t="s">
        <v>4587</v>
      </c>
      <c r="B818" s="38" t="s">
        <v>3455</v>
      </c>
      <c r="C818" s="38" t="s">
        <v>4585</v>
      </c>
      <c r="D818" s="38" t="s">
        <v>3399</v>
      </c>
      <c r="E818" s="38"/>
      <c r="F818" s="38"/>
      <c r="G818" s="38" t="s">
        <v>3997</v>
      </c>
      <c r="H818" s="38" t="s">
        <v>3400</v>
      </c>
      <c r="I818" s="38" t="s">
        <v>4586</v>
      </c>
      <c r="J818" s="38"/>
      <c r="K818" s="38">
        <v>500</v>
      </c>
      <c r="L818" s="38">
        <v>3</v>
      </c>
      <c r="M818" s="38"/>
      <c r="N818" s="38">
        <v>84.8</v>
      </c>
      <c r="O818" s="38">
        <v>0.31</v>
      </c>
      <c r="P818" s="38">
        <v>3.3</v>
      </c>
      <c r="Q818" s="38">
        <v>8.6</v>
      </c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38"/>
      <c r="AI818" s="38"/>
      <c r="AJ818" s="38"/>
      <c r="AK818" s="38"/>
      <c r="AL818" s="38"/>
      <c r="AM818" s="38"/>
      <c r="AN818" s="38"/>
      <c r="AO818" s="38"/>
      <c r="AP818" s="38"/>
      <c r="AQ818" s="38">
        <v>344</v>
      </c>
      <c r="AR818" s="38" t="s">
        <v>3792</v>
      </c>
      <c r="AS818" s="38"/>
      <c r="AT818" s="38"/>
      <c r="AU818" s="38"/>
      <c r="AV818" s="38"/>
      <c r="AW818" s="38"/>
      <c r="AX818" s="38"/>
      <c r="AY818" s="38"/>
      <c r="AZ818" s="38"/>
      <c r="BA818" s="38"/>
      <c r="BB818" s="38"/>
    </row>
    <row r="819" spans="1:54">
      <c r="A819" s="38" t="s">
        <v>4157</v>
      </c>
      <c r="B819" s="38" t="s">
        <v>3455</v>
      </c>
      <c r="C819" s="38" t="s">
        <v>4585</v>
      </c>
      <c r="D819" s="38" t="s">
        <v>3399</v>
      </c>
      <c r="E819" s="38"/>
      <c r="F819" s="38"/>
      <c r="G819" s="38" t="s">
        <v>3997</v>
      </c>
      <c r="H819" s="38" t="s">
        <v>3400</v>
      </c>
      <c r="I819" s="38" t="s">
        <v>4586</v>
      </c>
      <c r="J819" s="38"/>
      <c r="K819" s="38">
        <v>600</v>
      </c>
      <c r="L819" s="38">
        <v>3</v>
      </c>
      <c r="M819" s="38"/>
      <c r="N819" s="38">
        <v>92.6</v>
      </c>
      <c r="O819" s="38">
        <v>0.28000000000000003</v>
      </c>
      <c r="P819" s="38">
        <v>2.1</v>
      </c>
      <c r="Q819" s="38">
        <v>2.1</v>
      </c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  <c r="AH819" s="38"/>
      <c r="AI819" s="38"/>
      <c r="AJ819" s="38"/>
      <c r="AK819" s="38"/>
      <c r="AL819" s="38"/>
      <c r="AM819" s="38"/>
      <c r="AN819" s="38"/>
      <c r="AO819" s="38"/>
      <c r="AP819" s="38"/>
      <c r="AQ819" s="38">
        <v>332</v>
      </c>
      <c r="AR819" s="38" t="s">
        <v>3792</v>
      </c>
      <c r="AS819" s="38"/>
      <c r="AT819" s="38"/>
      <c r="AU819" s="38"/>
      <c r="AV819" s="38"/>
      <c r="AW819" s="38"/>
      <c r="AX819" s="38"/>
      <c r="AY819" s="38"/>
      <c r="AZ819" s="38"/>
      <c r="BA819" s="38"/>
      <c r="BB819" s="38"/>
    </row>
    <row r="820" spans="1:54">
      <c r="A820" s="38" t="s">
        <v>4588</v>
      </c>
      <c r="B820" s="38" t="s">
        <v>3455</v>
      </c>
      <c r="C820" s="38" t="s">
        <v>4585</v>
      </c>
      <c r="D820" s="38" t="s">
        <v>3399</v>
      </c>
      <c r="E820" s="38"/>
      <c r="F820" s="38"/>
      <c r="G820" s="38" t="s">
        <v>3997</v>
      </c>
      <c r="H820" s="38" t="s">
        <v>3400</v>
      </c>
      <c r="I820" s="38" t="s">
        <v>4586</v>
      </c>
      <c r="J820" s="38"/>
      <c r="K820" s="38">
        <v>700</v>
      </c>
      <c r="L820" s="38">
        <v>4.5</v>
      </c>
      <c r="M820" s="38"/>
      <c r="N820" s="38">
        <v>92</v>
      </c>
      <c r="O820" s="38">
        <v>0.27</v>
      </c>
      <c r="P820" s="38">
        <v>1.3</v>
      </c>
      <c r="Q820" s="38">
        <v>1.9</v>
      </c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  <c r="AI820" s="38"/>
      <c r="AJ820" s="38"/>
      <c r="AK820" s="38"/>
      <c r="AL820" s="38"/>
      <c r="AM820" s="38"/>
      <c r="AN820" s="38"/>
      <c r="AO820" s="38"/>
      <c r="AP820" s="38"/>
      <c r="AQ820" s="38">
        <v>389</v>
      </c>
      <c r="AR820" s="38" t="s">
        <v>3792</v>
      </c>
      <c r="AS820" s="38"/>
      <c r="AT820" s="38"/>
      <c r="AU820" s="38"/>
      <c r="AV820" s="38"/>
      <c r="AW820" s="38"/>
      <c r="AX820" s="38"/>
      <c r="AY820" s="38"/>
      <c r="AZ820" s="38"/>
      <c r="BA820" s="38"/>
      <c r="BB820" s="38"/>
    </row>
    <row r="821" spans="1:54">
      <c r="A821" s="38" t="s">
        <v>4589</v>
      </c>
      <c r="B821" s="38" t="s">
        <v>3409</v>
      </c>
      <c r="C821" s="38" t="s">
        <v>4445</v>
      </c>
      <c r="D821" s="38" t="s">
        <v>3399</v>
      </c>
      <c r="E821" s="38"/>
      <c r="F821" s="38"/>
      <c r="G821" s="38" t="s">
        <v>3997</v>
      </c>
      <c r="H821" s="38" t="s">
        <v>3400</v>
      </c>
      <c r="I821" s="38" t="s">
        <v>4586</v>
      </c>
      <c r="J821" s="38"/>
      <c r="K821" s="38">
        <v>500</v>
      </c>
      <c r="L821" s="38">
        <v>5.0999999999999996</v>
      </c>
      <c r="M821" s="38"/>
      <c r="N821" s="38">
        <v>84.8</v>
      </c>
      <c r="O821" s="38">
        <v>0.18</v>
      </c>
      <c r="P821" s="38">
        <v>2.7</v>
      </c>
      <c r="Q821" s="38">
        <v>7.3</v>
      </c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  <c r="AH821" s="38"/>
      <c r="AI821" s="38"/>
      <c r="AJ821" s="38"/>
      <c r="AK821" s="38"/>
      <c r="AL821" s="38"/>
      <c r="AM821" s="38"/>
      <c r="AN821" s="38"/>
      <c r="AO821" s="38"/>
      <c r="AP821" s="38"/>
      <c r="AQ821" s="38">
        <v>4.7</v>
      </c>
      <c r="AR821" s="38" t="s">
        <v>3792</v>
      </c>
      <c r="AS821" s="38"/>
      <c r="AT821" s="38"/>
      <c r="AU821" s="38"/>
      <c r="AV821" s="38"/>
      <c r="AW821" s="38"/>
      <c r="AX821" s="38"/>
      <c r="AY821" s="38"/>
      <c r="AZ821" s="38"/>
      <c r="BA821" s="38"/>
      <c r="BB821" s="38"/>
    </row>
    <row r="822" spans="1:54">
      <c r="A822" s="38" t="s">
        <v>4444</v>
      </c>
      <c r="B822" s="38" t="s">
        <v>3409</v>
      </c>
      <c r="C822" s="38" t="s">
        <v>4445</v>
      </c>
      <c r="D822" s="38" t="s">
        <v>3399</v>
      </c>
      <c r="E822" s="38"/>
      <c r="F822" s="38"/>
      <c r="G822" s="38" t="s">
        <v>3997</v>
      </c>
      <c r="H822" s="38" t="s">
        <v>3400</v>
      </c>
      <c r="I822" s="38" t="s">
        <v>4586</v>
      </c>
      <c r="J822" s="38"/>
      <c r="K822" s="38">
        <v>600</v>
      </c>
      <c r="L822" s="38">
        <v>5.5</v>
      </c>
      <c r="M822" s="38"/>
      <c r="N822" s="38">
        <v>86.4</v>
      </c>
      <c r="O822" s="38">
        <v>0.2</v>
      </c>
      <c r="P822" s="38">
        <v>1.8</v>
      </c>
      <c r="Q822" s="38">
        <v>6.1</v>
      </c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38"/>
      <c r="AI822" s="38"/>
      <c r="AJ822" s="38"/>
      <c r="AK822" s="38"/>
      <c r="AL822" s="38"/>
      <c r="AM822" s="38"/>
      <c r="AN822" s="38"/>
      <c r="AO822" s="38"/>
      <c r="AP822" s="38"/>
      <c r="AQ822" s="38">
        <v>288</v>
      </c>
      <c r="AR822" s="38" t="s">
        <v>3792</v>
      </c>
      <c r="AS822" s="38"/>
      <c r="AT822" s="38"/>
      <c r="AU822" s="38"/>
      <c r="AV822" s="38"/>
      <c r="AW822" s="38"/>
      <c r="AX822" s="38"/>
      <c r="AY822" s="38"/>
      <c r="AZ822" s="38"/>
      <c r="BA822" s="38"/>
      <c r="BB822" s="38"/>
    </row>
    <row r="823" spans="1:54">
      <c r="A823" s="38" t="s">
        <v>4590</v>
      </c>
      <c r="B823" s="38" t="s">
        <v>3409</v>
      </c>
      <c r="C823" s="38" t="s">
        <v>4445</v>
      </c>
      <c r="D823" s="38" t="s">
        <v>3399</v>
      </c>
      <c r="E823" s="38"/>
      <c r="F823" s="38"/>
      <c r="G823" s="38" t="s">
        <v>3997</v>
      </c>
      <c r="H823" s="38" t="s">
        <v>3400</v>
      </c>
      <c r="I823" s="38" t="s">
        <v>4586</v>
      </c>
      <c r="J823" s="38"/>
      <c r="K823" s="38">
        <v>700</v>
      </c>
      <c r="L823" s="38">
        <v>5.5</v>
      </c>
      <c r="M823" s="38"/>
      <c r="N823" s="38">
        <v>88.8</v>
      </c>
      <c r="O823" s="38">
        <v>0.23</v>
      </c>
      <c r="P823" s="38">
        <v>1.3</v>
      </c>
      <c r="Q823" s="38">
        <v>4.2</v>
      </c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  <c r="AH823" s="38"/>
      <c r="AI823" s="38"/>
      <c r="AJ823" s="38"/>
      <c r="AK823" s="38"/>
      <c r="AL823" s="38"/>
      <c r="AM823" s="38"/>
      <c r="AN823" s="38"/>
      <c r="AO823" s="38"/>
      <c r="AP823" s="38"/>
      <c r="AQ823" s="38">
        <v>510</v>
      </c>
      <c r="AR823" s="38" t="s">
        <v>3792</v>
      </c>
      <c r="AS823" s="38"/>
      <c r="AT823" s="38"/>
      <c r="AU823" s="38"/>
      <c r="AV823" s="38"/>
      <c r="AW823" s="38"/>
      <c r="AX823" s="38"/>
      <c r="AY823" s="38"/>
      <c r="AZ823" s="38"/>
      <c r="BA823" s="38"/>
      <c r="BB823" s="38"/>
    </row>
    <row r="824" spans="1:54">
      <c r="A824" s="38" t="s">
        <v>4591</v>
      </c>
      <c r="B824" s="38" t="s">
        <v>3652</v>
      </c>
      <c r="C824" s="38" t="s">
        <v>4592</v>
      </c>
      <c r="D824" s="38" t="s">
        <v>3399</v>
      </c>
      <c r="E824" s="38"/>
      <c r="F824" s="38"/>
      <c r="G824" s="38" t="s">
        <v>3997</v>
      </c>
      <c r="H824" s="38" t="s">
        <v>3400</v>
      </c>
      <c r="I824" s="38" t="s">
        <v>4586</v>
      </c>
      <c r="J824" s="38"/>
      <c r="K824" s="38">
        <v>600</v>
      </c>
      <c r="L824" s="38">
        <v>7.5</v>
      </c>
      <c r="M824" s="38"/>
      <c r="N824" s="38">
        <v>84.8</v>
      </c>
      <c r="O824" s="38">
        <v>2</v>
      </c>
      <c r="P824" s="38">
        <v>2</v>
      </c>
      <c r="Q824" s="38">
        <v>3.6</v>
      </c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  <c r="AH824" s="38"/>
      <c r="AI824" s="38"/>
      <c r="AJ824" s="38"/>
      <c r="AK824" s="38"/>
      <c r="AL824" s="38"/>
      <c r="AM824" s="38"/>
      <c r="AN824" s="38"/>
      <c r="AO824" s="38"/>
      <c r="AP824" s="38"/>
      <c r="AQ824" s="38">
        <v>2.2999999999999998</v>
      </c>
      <c r="AR824" s="38" t="s">
        <v>3792</v>
      </c>
      <c r="AS824" s="38"/>
      <c r="AT824" s="38"/>
      <c r="AU824" s="38"/>
      <c r="AV824" s="38"/>
      <c r="AW824" s="38"/>
      <c r="AX824" s="38"/>
      <c r="AY824" s="38"/>
      <c r="AZ824" s="38"/>
      <c r="BA824" s="38"/>
      <c r="BB824" s="38"/>
    </row>
    <row r="825" spans="1:54">
      <c r="A825" s="38" t="s">
        <v>4593</v>
      </c>
      <c r="B825" s="38" t="s">
        <v>1948</v>
      </c>
      <c r="C825" s="38" t="s">
        <v>2026</v>
      </c>
      <c r="D825" s="38" t="s">
        <v>3399</v>
      </c>
      <c r="E825" s="38"/>
      <c r="F825" s="38"/>
      <c r="G825" s="38" t="s">
        <v>3997</v>
      </c>
      <c r="H825" s="38" t="s">
        <v>3400</v>
      </c>
      <c r="I825" s="38" t="s">
        <v>4594</v>
      </c>
      <c r="J825" s="38"/>
      <c r="K825" s="38">
        <v>400</v>
      </c>
      <c r="L825" s="38">
        <v>52</v>
      </c>
      <c r="M825" s="38"/>
      <c r="N825" s="38">
        <v>22.6</v>
      </c>
      <c r="O825" s="38">
        <v>3.5</v>
      </c>
      <c r="P825" s="38">
        <v>2.7</v>
      </c>
      <c r="Q825" s="38"/>
      <c r="R825" s="38">
        <v>7.8</v>
      </c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  <c r="AH825" s="38"/>
      <c r="AI825" s="38"/>
      <c r="AJ825" s="38"/>
      <c r="AK825" s="38"/>
      <c r="AL825" s="38"/>
      <c r="AM825" s="38"/>
      <c r="AN825" s="38"/>
      <c r="AO825" s="38"/>
      <c r="AP825" s="38">
        <v>21.3</v>
      </c>
      <c r="AQ825" s="38">
        <v>0.1</v>
      </c>
      <c r="AR825" s="38" t="s">
        <v>3792</v>
      </c>
      <c r="AS825" s="38"/>
      <c r="AT825" s="38"/>
      <c r="AU825" s="38"/>
      <c r="AV825" s="38"/>
      <c r="AW825" s="38"/>
      <c r="AX825" s="38"/>
      <c r="AY825" s="38"/>
      <c r="AZ825" s="38"/>
      <c r="BA825" s="38"/>
      <c r="BB825" s="38"/>
    </row>
    <row r="826" spans="1:54">
      <c r="A826" s="38" t="s">
        <v>4291</v>
      </c>
      <c r="B826" s="38" t="s">
        <v>1948</v>
      </c>
      <c r="C826" s="38" t="s">
        <v>2026</v>
      </c>
      <c r="D826" s="38" t="s">
        <v>3399</v>
      </c>
      <c r="E826" s="38"/>
      <c r="F826" s="38"/>
      <c r="G826" s="38" t="s">
        <v>3997</v>
      </c>
      <c r="H826" s="38" t="s">
        <v>3400</v>
      </c>
      <c r="I826" s="38" t="s">
        <v>4594</v>
      </c>
      <c r="J826" s="38"/>
      <c r="K826" s="38">
        <v>450</v>
      </c>
      <c r="L826" s="38">
        <v>55.6</v>
      </c>
      <c r="M826" s="38"/>
      <c r="N826" s="38">
        <v>18.600000000000001</v>
      </c>
      <c r="O826" s="38">
        <v>2.4</v>
      </c>
      <c r="P826" s="38">
        <v>2</v>
      </c>
      <c r="Q826" s="38"/>
      <c r="R826" s="38">
        <v>8.3000000000000007</v>
      </c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  <c r="AH826" s="38"/>
      <c r="AI826" s="38"/>
      <c r="AJ826" s="38"/>
      <c r="AK826" s="38"/>
      <c r="AL826" s="38"/>
      <c r="AM826" s="38"/>
      <c r="AN826" s="38"/>
      <c r="AO826" s="38"/>
      <c r="AP826" s="38">
        <v>17.3</v>
      </c>
      <c r="AQ826" s="38">
        <v>2.9</v>
      </c>
      <c r="AR826" s="38" t="s">
        <v>3792</v>
      </c>
      <c r="AS826" s="38"/>
      <c r="AT826" s="38"/>
      <c r="AU826" s="38"/>
      <c r="AV826" s="38"/>
      <c r="AW826" s="38"/>
      <c r="AX826" s="38"/>
      <c r="AY826" s="38"/>
      <c r="AZ826" s="38"/>
      <c r="BA826" s="38"/>
      <c r="BB826" s="38"/>
    </row>
    <row r="827" spans="1:54">
      <c r="A827" s="38" t="s">
        <v>4162</v>
      </c>
      <c r="B827" s="38" t="s">
        <v>1948</v>
      </c>
      <c r="C827" s="38" t="s">
        <v>2026</v>
      </c>
      <c r="D827" s="38" t="s">
        <v>3399</v>
      </c>
      <c r="E827" s="38"/>
      <c r="F827" s="38"/>
      <c r="G827" s="38" t="s">
        <v>3997</v>
      </c>
      <c r="H827" s="38" t="s">
        <v>3400</v>
      </c>
      <c r="I827" s="38" t="s">
        <v>4594</v>
      </c>
      <c r="J827" s="38"/>
      <c r="K827" s="38">
        <v>500</v>
      </c>
      <c r="L827" s="38">
        <v>57.6</v>
      </c>
      <c r="M827" s="38"/>
      <c r="N827" s="38">
        <v>17.7</v>
      </c>
      <c r="O827" s="38">
        <v>2.2999999999999998</v>
      </c>
      <c r="P827" s="38">
        <v>1.7</v>
      </c>
      <c r="Q827" s="38"/>
      <c r="R827" s="38">
        <v>9.1</v>
      </c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38"/>
      <c r="AI827" s="38"/>
      <c r="AJ827" s="38"/>
      <c r="AK827" s="38"/>
      <c r="AL827" s="38"/>
      <c r="AM827" s="38"/>
      <c r="AN827" s="38"/>
      <c r="AO827" s="38"/>
      <c r="AP827" s="38">
        <v>14.2</v>
      </c>
      <c r="AQ827" s="38">
        <v>3.2</v>
      </c>
      <c r="AR827" s="38" t="s">
        <v>3792</v>
      </c>
      <c r="AS827" s="38"/>
      <c r="AT827" s="38"/>
      <c r="AU827" s="38"/>
      <c r="AV827" s="38"/>
      <c r="AW827" s="38"/>
      <c r="AX827" s="38"/>
      <c r="AY827" s="38"/>
      <c r="AZ827" s="38"/>
      <c r="BA827" s="38"/>
      <c r="BB827" s="38"/>
    </row>
    <row r="828" spans="1:54">
      <c r="A828" s="38" t="s">
        <v>4037</v>
      </c>
      <c r="B828" s="38" t="s">
        <v>1948</v>
      </c>
      <c r="C828" s="38" t="s">
        <v>2026</v>
      </c>
      <c r="D828" s="38" t="s">
        <v>3399</v>
      </c>
      <c r="E828" s="38"/>
      <c r="F828" s="38"/>
      <c r="G828" s="38" t="s">
        <v>3997</v>
      </c>
      <c r="H828" s="38" t="s">
        <v>3400</v>
      </c>
      <c r="I828" s="38" t="s">
        <v>4594</v>
      </c>
      <c r="J828" s="38"/>
      <c r="K828" s="38">
        <v>550</v>
      </c>
      <c r="L828" s="38">
        <v>58.5</v>
      </c>
      <c r="M828" s="38"/>
      <c r="N828" s="38">
        <v>19.600000000000001</v>
      </c>
      <c r="O828" s="38">
        <v>2.1</v>
      </c>
      <c r="P828" s="38">
        <v>1.8</v>
      </c>
      <c r="Q828" s="38"/>
      <c r="R828" s="38">
        <v>10</v>
      </c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  <c r="AH828" s="38"/>
      <c r="AI828" s="38"/>
      <c r="AJ828" s="38"/>
      <c r="AK828" s="38"/>
      <c r="AL828" s="38"/>
      <c r="AM828" s="38"/>
      <c r="AN828" s="38"/>
      <c r="AO828" s="38"/>
      <c r="AP828" s="38">
        <v>13</v>
      </c>
      <c r="AQ828" s="38">
        <v>13.3</v>
      </c>
      <c r="AR828" s="38" t="s">
        <v>3792</v>
      </c>
      <c r="AS828" s="38"/>
      <c r="AT828" s="38"/>
      <c r="AU828" s="38"/>
      <c r="AV828" s="38"/>
      <c r="AW828" s="38"/>
      <c r="AX828" s="38"/>
      <c r="AY828" s="38"/>
      <c r="AZ828" s="38"/>
      <c r="BA828" s="38"/>
      <c r="BB828" s="38"/>
    </row>
    <row r="829" spans="1:54">
      <c r="A829" s="38" t="s">
        <v>4595</v>
      </c>
      <c r="B829" s="38" t="s">
        <v>3652</v>
      </c>
      <c r="C829" s="38" t="s">
        <v>4596</v>
      </c>
      <c r="D829" s="38" t="s">
        <v>3399</v>
      </c>
      <c r="E829" s="38"/>
      <c r="F829" s="38"/>
      <c r="G829" s="38" t="s">
        <v>3997</v>
      </c>
      <c r="H829" s="38" t="s">
        <v>3400</v>
      </c>
      <c r="I829" s="38" t="s">
        <v>4597</v>
      </c>
      <c r="J829" s="38"/>
      <c r="K829" s="38">
        <v>550</v>
      </c>
      <c r="L829" s="38">
        <v>56.2</v>
      </c>
      <c r="M829" s="38"/>
      <c r="N829" s="38">
        <v>31.2</v>
      </c>
      <c r="O829" s="38">
        <v>2.6</v>
      </c>
      <c r="P829" s="38"/>
      <c r="Q829" s="38"/>
      <c r="R829" s="38">
        <v>12.1</v>
      </c>
      <c r="S829" s="38">
        <v>54.2</v>
      </c>
      <c r="T829" s="38"/>
      <c r="U829" s="38"/>
      <c r="V829" s="38"/>
      <c r="W829" s="38"/>
      <c r="X829" s="38"/>
      <c r="Y829" s="38"/>
      <c r="Z829" s="38"/>
      <c r="AA829" s="38"/>
      <c r="AB829" s="38"/>
      <c r="AC829" s="38">
        <v>14</v>
      </c>
      <c r="AD829" s="38"/>
      <c r="AE829" s="38"/>
      <c r="AF829" s="38"/>
      <c r="AG829" s="38"/>
      <c r="AH829" s="38"/>
      <c r="AI829" s="38">
        <v>287</v>
      </c>
      <c r="AJ829" s="38"/>
      <c r="AK829" s="38"/>
      <c r="AL829" s="38"/>
      <c r="AM829" s="38"/>
      <c r="AN829" s="38"/>
      <c r="AO829" s="38"/>
      <c r="AP829" s="38"/>
      <c r="AQ829" s="38"/>
      <c r="AR829" s="38"/>
      <c r="AS829" s="38"/>
      <c r="AT829" s="38">
        <v>14000</v>
      </c>
      <c r="AU829" s="38">
        <v>109000</v>
      </c>
      <c r="AV829" s="38">
        <v>6000</v>
      </c>
      <c r="AW829" s="38">
        <v>91000</v>
      </c>
      <c r="AX829" s="38"/>
      <c r="AY829" s="38">
        <v>15880</v>
      </c>
      <c r="AZ829" s="38"/>
      <c r="BA829" s="38"/>
      <c r="BB829" s="38"/>
    </row>
    <row r="830" spans="1:54">
      <c r="A830" s="38" t="s">
        <v>4069</v>
      </c>
      <c r="B830" s="38" t="s">
        <v>3471</v>
      </c>
      <c r="C830" s="38" t="s">
        <v>4585</v>
      </c>
      <c r="D830" s="38" t="s">
        <v>3399</v>
      </c>
      <c r="E830" s="38"/>
      <c r="F830" s="38"/>
      <c r="G830" s="38" t="s">
        <v>3997</v>
      </c>
      <c r="H830" s="38" t="s">
        <v>3400</v>
      </c>
      <c r="I830" s="38" t="s">
        <v>4598</v>
      </c>
      <c r="J830" s="38"/>
      <c r="K830" s="38">
        <v>350</v>
      </c>
      <c r="L830" s="38">
        <v>1.36</v>
      </c>
      <c r="M830" s="38">
        <v>78.3</v>
      </c>
      <c r="N830" s="38"/>
      <c r="O830" s="38">
        <v>0.34</v>
      </c>
      <c r="P830" s="38"/>
      <c r="Q830" s="38"/>
      <c r="R830" s="38">
        <v>7.22</v>
      </c>
      <c r="S830" s="38">
        <v>0.26</v>
      </c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38"/>
      <c r="AI830" s="38"/>
      <c r="AJ830" s="38"/>
      <c r="AK830" s="38"/>
      <c r="AL830" s="38"/>
      <c r="AM830" s="38"/>
      <c r="AN830" s="38">
        <v>17.600000000000001</v>
      </c>
      <c r="AO830" s="38"/>
      <c r="AP830" s="38"/>
      <c r="AQ830" s="38">
        <v>254</v>
      </c>
      <c r="AR830" s="38"/>
      <c r="AS830" s="38"/>
      <c r="AT830" s="38"/>
      <c r="AU830" s="38"/>
      <c r="AV830" s="38"/>
      <c r="AW830" s="38"/>
      <c r="AX830" s="38"/>
      <c r="AY830" s="38"/>
      <c r="AZ830" s="38"/>
      <c r="BA830" s="38"/>
      <c r="BB830" s="38"/>
    </row>
    <row r="831" spans="1:54">
      <c r="A831" s="38" t="s">
        <v>4239</v>
      </c>
      <c r="B831" s="38" t="s">
        <v>3455</v>
      </c>
      <c r="C831" s="38" t="s">
        <v>4585</v>
      </c>
      <c r="D831" s="38" t="s">
        <v>3399</v>
      </c>
      <c r="E831" s="38"/>
      <c r="F831" s="38"/>
      <c r="G831" s="38" t="s">
        <v>3997</v>
      </c>
      <c r="H831" s="38" t="s">
        <v>3400</v>
      </c>
      <c r="I831" s="38" t="s">
        <v>4598</v>
      </c>
      <c r="J831" s="38"/>
      <c r="K831" s="38">
        <v>550</v>
      </c>
      <c r="L831" s="38">
        <v>2.48</v>
      </c>
      <c r="M831" s="38">
        <v>86.02</v>
      </c>
      <c r="N831" s="38"/>
      <c r="O831" s="38">
        <v>0.42</v>
      </c>
      <c r="P831" s="38"/>
      <c r="Q831" s="38"/>
      <c r="R831" s="38">
        <v>8.24</v>
      </c>
      <c r="S831" s="38">
        <v>0.51</v>
      </c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  <c r="AH831" s="38"/>
      <c r="AI831" s="38"/>
      <c r="AJ831" s="38"/>
      <c r="AK831" s="38"/>
      <c r="AL831" s="38"/>
      <c r="AM831" s="38"/>
      <c r="AN831" s="38">
        <v>10.199999999999999</v>
      </c>
      <c r="AO831" s="38"/>
      <c r="AP831" s="38">
        <v>13.17</v>
      </c>
      <c r="AQ831" s="38">
        <v>399</v>
      </c>
      <c r="AR831" s="38"/>
      <c r="AS831" s="38"/>
      <c r="AT831" s="38"/>
      <c r="AU831" s="38"/>
      <c r="AV831" s="38"/>
      <c r="AW831" s="38"/>
      <c r="AX831" s="38"/>
      <c r="AY831" s="38"/>
      <c r="AZ831" s="38"/>
      <c r="BA831" s="38"/>
      <c r="BB831" s="38"/>
    </row>
    <row r="832" spans="1:54">
      <c r="A832" s="38" t="s">
        <v>4213</v>
      </c>
      <c r="B832" s="38" t="s">
        <v>3409</v>
      </c>
      <c r="C832" s="38" t="s">
        <v>4381</v>
      </c>
      <c r="D832" s="38" t="s">
        <v>3399</v>
      </c>
      <c r="E832" s="38"/>
      <c r="F832" s="38"/>
      <c r="G832" s="38" t="s">
        <v>3997</v>
      </c>
      <c r="H832" s="38" t="s">
        <v>3400</v>
      </c>
      <c r="I832" s="38" t="s">
        <v>4599</v>
      </c>
      <c r="J832" s="38"/>
      <c r="K832" s="38">
        <v>400</v>
      </c>
      <c r="L832" s="38">
        <v>20.8</v>
      </c>
      <c r="M832" s="38"/>
      <c r="N832" s="38">
        <v>46.7</v>
      </c>
      <c r="O832" s="38">
        <v>0.56000000000000005</v>
      </c>
      <c r="P832" s="38"/>
      <c r="Q832" s="38"/>
      <c r="R832" s="38">
        <v>9.4</v>
      </c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  <c r="AH832" s="38"/>
      <c r="AI832" s="38"/>
      <c r="AJ832" s="38"/>
      <c r="AK832" s="38"/>
      <c r="AL832" s="38"/>
      <c r="AM832" s="38"/>
      <c r="AN832" s="38">
        <v>24.1</v>
      </c>
      <c r="AO832" s="38"/>
      <c r="AP832" s="38"/>
      <c r="AQ832" s="38">
        <v>8.9</v>
      </c>
      <c r="AR832" s="38"/>
      <c r="AS832" s="38"/>
      <c r="AT832" s="38"/>
      <c r="AU832" s="38"/>
      <c r="AV832" s="38"/>
      <c r="AW832" s="38"/>
      <c r="AX832" s="38"/>
      <c r="AY832" s="38"/>
      <c r="AZ832" s="38"/>
      <c r="BA832" s="38"/>
      <c r="BB832" s="38"/>
    </row>
    <row r="833" spans="1:54">
      <c r="A833" s="38" t="s">
        <v>4600</v>
      </c>
      <c r="B833" s="38" t="s">
        <v>3652</v>
      </c>
      <c r="C833" s="38" t="s">
        <v>4601</v>
      </c>
      <c r="D833" s="38" t="s">
        <v>3399</v>
      </c>
      <c r="E833" s="38"/>
      <c r="F833" s="38"/>
      <c r="G833" s="38" t="s">
        <v>3997</v>
      </c>
      <c r="H833" s="38" t="s">
        <v>3400</v>
      </c>
      <c r="I833" s="38" t="s">
        <v>4602</v>
      </c>
      <c r="J833" s="38"/>
      <c r="K833" s="38">
        <v>350</v>
      </c>
      <c r="L833" s="38">
        <v>1.04</v>
      </c>
      <c r="M833" s="38"/>
      <c r="N833" s="38">
        <v>65.2</v>
      </c>
      <c r="O833" s="38">
        <v>0.23</v>
      </c>
      <c r="P833" s="38">
        <v>4.28</v>
      </c>
      <c r="Q833" s="38">
        <v>29.3</v>
      </c>
      <c r="R833" s="38">
        <v>5.3</v>
      </c>
      <c r="S833" s="38">
        <v>0.17</v>
      </c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38"/>
      <c r="AI833" s="38"/>
      <c r="AJ833" s="38"/>
      <c r="AK833" s="38"/>
      <c r="AL833" s="38"/>
      <c r="AM833" s="38"/>
      <c r="AN833" s="38"/>
      <c r="AO833" s="38"/>
      <c r="AP833" s="38"/>
      <c r="AQ833" s="38">
        <v>3</v>
      </c>
      <c r="AR833" s="38"/>
      <c r="AS833" s="38"/>
      <c r="AT833" s="38"/>
      <c r="AU833" s="38"/>
      <c r="AV833" s="38"/>
      <c r="AW833" s="38"/>
      <c r="AX833" s="38"/>
      <c r="AY833" s="38"/>
      <c r="AZ833" s="38"/>
      <c r="BA833" s="38"/>
      <c r="BB833" s="38"/>
    </row>
    <row r="834" spans="1:54">
      <c r="A834" s="38" t="s">
        <v>4603</v>
      </c>
      <c r="B834" s="38" t="s">
        <v>3652</v>
      </c>
      <c r="C834" s="38" t="s">
        <v>4601</v>
      </c>
      <c r="D834" s="38" t="s">
        <v>3399</v>
      </c>
      <c r="E834" s="38"/>
      <c r="F834" s="38"/>
      <c r="G834" s="38" t="s">
        <v>3997</v>
      </c>
      <c r="H834" s="38" t="s">
        <v>3400</v>
      </c>
      <c r="I834" s="38" t="s">
        <v>4602</v>
      </c>
      <c r="J834" s="38"/>
      <c r="K834" s="38">
        <v>450</v>
      </c>
      <c r="L834" s="38">
        <v>1.51</v>
      </c>
      <c r="M834" s="38"/>
      <c r="N834" s="38">
        <v>71.8</v>
      </c>
      <c r="O834" s="38">
        <v>0.31</v>
      </c>
      <c r="P834" s="38">
        <v>3.28</v>
      </c>
      <c r="Q834" s="38">
        <v>23.1</v>
      </c>
      <c r="R834" s="38">
        <v>5.8</v>
      </c>
      <c r="S834" s="38">
        <v>0.09</v>
      </c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  <c r="AH834" s="38"/>
      <c r="AI834" s="38"/>
      <c r="AJ834" s="38"/>
      <c r="AK834" s="38"/>
      <c r="AL834" s="38"/>
      <c r="AM834" s="38"/>
      <c r="AN834" s="38"/>
      <c r="AO834" s="38"/>
      <c r="AP834" s="38"/>
      <c r="AQ834" s="38">
        <v>3</v>
      </c>
      <c r="AR834" s="38"/>
      <c r="AS834" s="38"/>
      <c r="AT834" s="38"/>
      <c r="AU834" s="38"/>
      <c r="AV834" s="38"/>
      <c r="AW834" s="38"/>
      <c r="AX834" s="38"/>
      <c r="AY834" s="38"/>
      <c r="AZ834" s="38"/>
      <c r="BA834" s="38"/>
      <c r="BB834" s="38"/>
    </row>
    <row r="835" spans="1:54">
      <c r="A835" s="38" t="s">
        <v>3839</v>
      </c>
      <c r="B835" s="38" t="s">
        <v>3652</v>
      </c>
      <c r="C835" s="38" t="s">
        <v>4601</v>
      </c>
      <c r="D835" s="38" t="s">
        <v>3399</v>
      </c>
      <c r="E835" s="38"/>
      <c r="F835" s="38"/>
      <c r="G835" s="38" t="s">
        <v>3997</v>
      </c>
      <c r="H835" s="38" t="s">
        <v>3400</v>
      </c>
      <c r="I835" s="38" t="s">
        <v>4602</v>
      </c>
      <c r="J835" s="38"/>
      <c r="K835" s="38">
        <v>550</v>
      </c>
      <c r="L835" s="38">
        <v>1.61</v>
      </c>
      <c r="M835" s="38"/>
      <c r="N835" s="38">
        <v>75.400000000000006</v>
      </c>
      <c r="O835" s="38">
        <v>0.32</v>
      </c>
      <c r="P835" s="38">
        <v>2.83</v>
      </c>
      <c r="Q835" s="38">
        <v>19.8</v>
      </c>
      <c r="R835" s="38">
        <v>8.4</v>
      </c>
      <c r="S835" s="38">
        <v>0.18</v>
      </c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38"/>
      <c r="AI835" s="38"/>
      <c r="AJ835" s="38"/>
      <c r="AK835" s="38"/>
      <c r="AL835" s="38"/>
      <c r="AM835" s="38"/>
      <c r="AN835" s="38"/>
      <c r="AO835" s="38"/>
      <c r="AP835" s="38"/>
      <c r="AQ835" s="38">
        <v>153</v>
      </c>
      <c r="AR835" s="38"/>
      <c r="AS835" s="38"/>
      <c r="AT835" s="38"/>
      <c r="AU835" s="38"/>
      <c r="AV835" s="38"/>
      <c r="AW835" s="38"/>
      <c r="AX835" s="38"/>
      <c r="AY835" s="38"/>
      <c r="AZ835" s="38"/>
      <c r="BA835" s="38"/>
      <c r="BB835" s="38"/>
    </row>
    <row r="836" spans="1:54">
      <c r="A836" s="38" t="s">
        <v>4591</v>
      </c>
      <c r="B836" s="38" t="s">
        <v>3652</v>
      </c>
      <c r="C836" s="38" t="s">
        <v>4604</v>
      </c>
      <c r="D836" s="38" t="s">
        <v>3399</v>
      </c>
      <c r="E836" s="38"/>
      <c r="F836" s="38"/>
      <c r="G836" s="38" t="s">
        <v>3997</v>
      </c>
      <c r="H836" s="38" t="s">
        <v>3400</v>
      </c>
      <c r="I836" s="38" t="s">
        <v>4602</v>
      </c>
      <c r="J836" s="38"/>
      <c r="K836" s="38">
        <v>600</v>
      </c>
      <c r="L836" s="38">
        <v>6.05</v>
      </c>
      <c r="M836" s="38"/>
      <c r="N836" s="38">
        <v>82.2</v>
      </c>
      <c r="O836" s="38">
        <v>1.51</v>
      </c>
      <c r="P836" s="38">
        <v>2.15</v>
      </c>
      <c r="Q836" s="38">
        <v>8.1</v>
      </c>
      <c r="R836" s="38">
        <v>9.5</v>
      </c>
      <c r="S836" s="38">
        <v>4.63</v>
      </c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38"/>
      <c r="AI836" s="38"/>
      <c r="AJ836" s="38"/>
      <c r="AK836" s="38"/>
      <c r="AL836" s="38"/>
      <c r="AM836" s="38"/>
      <c r="AN836" s="38"/>
      <c r="AO836" s="38"/>
      <c r="AP836" s="38"/>
      <c r="AQ836" s="38">
        <v>186</v>
      </c>
      <c r="AR836" s="38"/>
      <c r="AS836" s="38"/>
      <c r="AT836" s="38"/>
      <c r="AU836" s="38"/>
      <c r="AV836" s="38"/>
      <c r="AW836" s="38"/>
      <c r="AX836" s="38"/>
      <c r="AY836" s="38"/>
      <c r="AZ836" s="38"/>
      <c r="BA836" s="38"/>
      <c r="BB836" s="38"/>
    </row>
    <row r="837" spans="1:54">
      <c r="A837" s="38" t="s">
        <v>4605</v>
      </c>
      <c r="B837" s="38" t="s">
        <v>3455</v>
      </c>
      <c r="C837" s="38" t="s">
        <v>4606</v>
      </c>
      <c r="D837" s="38" t="s">
        <v>3399</v>
      </c>
      <c r="E837" s="38"/>
      <c r="F837" s="38"/>
      <c r="G837" s="38" t="s">
        <v>3997</v>
      </c>
      <c r="H837" s="38" t="s">
        <v>3400</v>
      </c>
      <c r="I837" s="38" t="s">
        <v>4602</v>
      </c>
      <c r="J837" s="38"/>
      <c r="K837" s="38">
        <v>700</v>
      </c>
      <c r="L837" s="38">
        <v>1.58</v>
      </c>
      <c r="M837" s="38"/>
      <c r="N837" s="38">
        <v>90.9</v>
      </c>
      <c r="O837" s="38">
        <v>0.11</v>
      </c>
      <c r="P837" s="38">
        <v>1.31</v>
      </c>
      <c r="Q837" s="38">
        <v>6.1</v>
      </c>
      <c r="R837" s="38">
        <v>9.6999999999999993</v>
      </c>
      <c r="S837" s="38">
        <v>1.57</v>
      </c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  <c r="AH837" s="38"/>
      <c r="AI837" s="38"/>
      <c r="AJ837" s="38"/>
      <c r="AK837" s="38"/>
      <c r="AL837" s="38"/>
      <c r="AM837" s="38"/>
      <c r="AN837" s="38"/>
      <c r="AO837" s="38"/>
      <c r="AP837" s="38"/>
      <c r="AQ837" s="38">
        <v>795</v>
      </c>
      <c r="AR837" s="38"/>
      <c r="AS837" s="38"/>
      <c r="AT837" s="38"/>
      <c r="AU837" s="38"/>
      <c r="AV837" s="38"/>
      <c r="AW837" s="38"/>
      <c r="AX837" s="38"/>
      <c r="AY837" s="38"/>
      <c r="AZ837" s="38"/>
      <c r="BA837" s="38"/>
      <c r="BB837" s="38"/>
    </row>
    <row r="838" spans="1:54">
      <c r="A838" s="38" t="s">
        <v>3989</v>
      </c>
      <c r="B838" s="38" t="s">
        <v>3409</v>
      </c>
      <c r="C838" s="38" t="s">
        <v>4381</v>
      </c>
      <c r="D838" s="38" t="s">
        <v>3399</v>
      </c>
      <c r="E838" s="38"/>
      <c r="F838" s="38"/>
      <c r="G838" s="38" t="s">
        <v>3997</v>
      </c>
      <c r="H838" s="38" t="s">
        <v>3400</v>
      </c>
      <c r="I838" s="38" t="s">
        <v>4607</v>
      </c>
      <c r="J838" s="38"/>
      <c r="K838" s="38">
        <v>450</v>
      </c>
      <c r="L838" s="38"/>
      <c r="M838" s="38"/>
      <c r="N838" s="38">
        <v>53.1</v>
      </c>
      <c r="O838" s="38">
        <v>2.2400000000000002</v>
      </c>
      <c r="P838" s="38"/>
      <c r="Q838" s="38"/>
      <c r="R838" s="38">
        <v>8.39</v>
      </c>
      <c r="S838" s="38">
        <v>9.18</v>
      </c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  <c r="AH838" s="38"/>
      <c r="AI838" s="38"/>
      <c r="AJ838" s="38"/>
      <c r="AK838" s="38"/>
      <c r="AL838" s="38"/>
      <c r="AM838" s="38"/>
      <c r="AN838" s="38"/>
      <c r="AO838" s="38"/>
      <c r="AP838" s="38"/>
      <c r="AQ838" s="38"/>
      <c r="AR838" s="38"/>
      <c r="AS838" s="38">
        <v>3300</v>
      </c>
      <c r="AT838" s="38"/>
      <c r="AU838" s="38"/>
      <c r="AV838" s="38"/>
      <c r="AW838" s="38"/>
      <c r="AX838" s="38"/>
      <c r="AY838" s="38"/>
      <c r="AZ838" s="38"/>
      <c r="BA838" s="38"/>
      <c r="BB838" s="38"/>
    </row>
    <row r="839" spans="1:54">
      <c r="A839" s="38" t="s">
        <v>4548</v>
      </c>
      <c r="B839" s="38" t="s">
        <v>3409</v>
      </c>
      <c r="C839" s="38" t="s">
        <v>4381</v>
      </c>
      <c r="D839" s="38" t="s">
        <v>3399</v>
      </c>
      <c r="E839" s="38"/>
      <c r="F839" s="38"/>
      <c r="G839" s="38" t="s">
        <v>3997</v>
      </c>
      <c r="H839" s="38" t="s">
        <v>3400</v>
      </c>
      <c r="I839" s="38" t="s">
        <v>4607</v>
      </c>
      <c r="J839" s="38"/>
      <c r="K839" s="38">
        <v>550</v>
      </c>
      <c r="L839" s="38"/>
      <c r="M839" s="38"/>
      <c r="N839" s="38">
        <v>56.6</v>
      </c>
      <c r="O839" s="38">
        <v>2.1</v>
      </c>
      <c r="P839" s="38"/>
      <c r="Q839" s="38"/>
      <c r="R839" s="38">
        <v>9</v>
      </c>
      <c r="S839" s="38">
        <v>7.66</v>
      </c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38"/>
      <c r="AI839" s="38"/>
      <c r="AJ839" s="38"/>
      <c r="AK839" s="38"/>
      <c r="AL839" s="38"/>
      <c r="AM839" s="38"/>
      <c r="AN839" s="38"/>
      <c r="AO839" s="38"/>
      <c r="AP839" s="38"/>
      <c r="AQ839" s="38"/>
      <c r="AR839" s="38"/>
      <c r="AS839" s="38"/>
      <c r="AT839" s="38">
        <v>11700</v>
      </c>
      <c r="AU839" s="38"/>
      <c r="AV839" s="38"/>
      <c r="AW839" s="38"/>
      <c r="AX839" s="38"/>
      <c r="AY839" s="38"/>
      <c r="AZ839" s="38"/>
      <c r="BA839" s="38"/>
      <c r="BB839" s="38"/>
    </row>
    <row r="840" spans="1:54">
      <c r="A840" s="38" t="s">
        <v>4608</v>
      </c>
      <c r="B840" s="38" t="s">
        <v>1700</v>
      </c>
      <c r="C840" s="38" t="s">
        <v>4419</v>
      </c>
      <c r="D840" s="38" t="s">
        <v>3399</v>
      </c>
      <c r="E840" s="38"/>
      <c r="F840" s="38"/>
      <c r="G840" s="38" t="s">
        <v>3997</v>
      </c>
      <c r="H840" s="38" t="s">
        <v>3400</v>
      </c>
      <c r="I840" s="38" t="s">
        <v>4607</v>
      </c>
      <c r="J840" s="38"/>
      <c r="K840" s="38">
        <v>550</v>
      </c>
      <c r="L840" s="38"/>
      <c r="M840" s="38"/>
      <c r="N840" s="38">
        <v>44.1</v>
      </c>
      <c r="O840" s="38">
        <v>1.71</v>
      </c>
      <c r="P840" s="38"/>
      <c r="Q840" s="38"/>
      <c r="R840" s="38">
        <v>9.57</v>
      </c>
      <c r="S840" s="38">
        <v>7.68</v>
      </c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  <c r="AH840" s="38"/>
      <c r="AI840" s="38"/>
      <c r="AJ840" s="38"/>
      <c r="AK840" s="38"/>
      <c r="AL840" s="38"/>
      <c r="AM840" s="38"/>
      <c r="AN840" s="38"/>
      <c r="AO840" s="38"/>
      <c r="AP840" s="38"/>
      <c r="AQ840" s="38"/>
      <c r="AR840" s="38"/>
      <c r="AS840" s="38"/>
      <c r="AT840" s="38">
        <v>16500</v>
      </c>
      <c r="AU840" s="38"/>
      <c r="AV840" s="38"/>
      <c r="AW840" s="38"/>
      <c r="AX840" s="38"/>
      <c r="AY840" s="38"/>
      <c r="AZ840" s="38"/>
      <c r="BA840" s="38"/>
      <c r="BB840" s="38"/>
    </row>
    <row r="841" spans="1:54">
      <c r="A841" s="38" t="s">
        <v>4609</v>
      </c>
      <c r="B841" s="38" t="s">
        <v>3471</v>
      </c>
      <c r="C841" s="38" t="s">
        <v>4610</v>
      </c>
      <c r="D841" s="38" t="s">
        <v>3399</v>
      </c>
      <c r="E841" s="38"/>
      <c r="F841" s="38"/>
      <c r="G841" s="38" t="s">
        <v>3997</v>
      </c>
      <c r="H841" s="38" t="s">
        <v>3400</v>
      </c>
      <c r="I841" s="38" t="s">
        <v>4607</v>
      </c>
      <c r="J841" s="38"/>
      <c r="K841" s="38">
        <v>450</v>
      </c>
      <c r="L841" s="38"/>
      <c r="M841" s="38"/>
      <c r="N841" s="38">
        <v>56.4</v>
      </c>
      <c r="O841" s="38">
        <v>0.38</v>
      </c>
      <c r="P841" s="38"/>
      <c r="Q841" s="38"/>
      <c r="R841" s="38">
        <v>7.23</v>
      </c>
      <c r="S841" s="38">
        <v>0.93</v>
      </c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  <c r="AH841" s="38"/>
      <c r="AI841" s="38"/>
      <c r="AJ841" s="38"/>
      <c r="AK841" s="38"/>
      <c r="AL841" s="38"/>
      <c r="AM841" s="38"/>
      <c r="AN841" s="38"/>
      <c r="AO841" s="38"/>
      <c r="AP841" s="38"/>
      <c r="AQ841" s="38"/>
      <c r="AR841" s="38"/>
      <c r="AS841" s="38"/>
      <c r="AT841" s="38">
        <v>400</v>
      </c>
      <c r="AU841" s="38"/>
      <c r="AV841" s="38"/>
      <c r="AW841" s="38"/>
      <c r="AX841" s="38"/>
      <c r="AY841" s="38"/>
      <c r="AZ841" s="38"/>
      <c r="BA841" s="38"/>
      <c r="BB841" s="38"/>
    </row>
    <row r="842" spans="1:54">
      <c r="A842" s="38" t="s">
        <v>4611</v>
      </c>
      <c r="B842" s="38" t="s">
        <v>3471</v>
      </c>
      <c r="C842" s="38" t="s">
        <v>4612</v>
      </c>
      <c r="D842" s="38" t="s">
        <v>3399</v>
      </c>
      <c r="E842" s="38"/>
      <c r="F842" s="38"/>
      <c r="G842" s="38" t="s">
        <v>3997</v>
      </c>
      <c r="H842" s="38" t="s">
        <v>3400</v>
      </c>
      <c r="I842" s="38" t="s">
        <v>4607</v>
      </c>
      <c r="J842" s="38"/>
      <c r="K842" s="38">
        <v>550</v>
      </c>
      <c r="L842" s="38"/>
      <c r="M842" s="38"/>
      <c r="N842" s="38">
        <v>67</v>
      </c>
      <c r="O842" s="38">
        <v>0.54</v>
      </c>
      <c r="P842" s="38"/>
      <c r="Q842" s="38"/>
      <c r="R842" s="38">
        <v>7.51</v>
      </c>
      <c r="S842" s="38">
        <v>0.85</v>
      </c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38"/>
      <c r="AI842" s="38"/>
      <c r="AJ842" s="38"/>
      <c r="AK842" s="38"/>
      <c r="AL842" s="38"/>
      <c r="AM842" s="38"/>
      <c r="AN842" s="38"/>
      <c r="AO842" s="38"/>
      <c r="AP842" s="38"/>
      <c r="AQ842" s="38"/>
      <c r="AR842" s="38"/>
      <c r="AS842" s="38"/>
      <c r="AT842" s="38">
        <v>200</v>
      </c>
      <c r="AU842" s="38"/>
      <c r="AV842" s="38"/>
      <c r="AW842" s="38"/>
      <c r="AX842" s="38"/>
      <c r="AY842" s="38"/>
      <c r="AZ842" s="38"/>
      <c r="BA842" s="38"/>
      <c r="BB842" s="38"/>
    </row>
    <row r="843" spans="1:54">
      <c r="A843" s="38" t="s">
        <v>4613</v>
      </c>
      <c r="B843" s="38" t="s">
        <v>3424</v>
      </c>
      <c r="C843" s="38"/>
      <c r="D843" s="38" t="s">
        <v>3399</v>
      </c>
      <c r="E843" s="38"/>
      <c r="F843" s="38"/>
      <c r="G843" s="38" t="s">
        <v>3997</v>
      </c>
      <c r="H843" s="38" t="s">
        <v>3400</v>
      </c>
      <c r="I843" s="38" t="s">
        <v>4614</v>
      </c>
      <c r="J843" s="38"/>
      <c r="K843" s="38">
        <v>350</v>
      </c>
      <c r="L843" s="38">
        <v>14.6</v>
      </c>
      <c r="M843" s="38"/>
      <c r="N843" s="38">
        <v>67.099999999999994</v>
      </c>
      <c r="O843" s="38">
        <v>0.78</v>
      </c>
      <c r="P843" s="38">
        <v>3.51</v>
      </c>
      <c r="Q843" s="38">
        <v>14</v>
      </c>
      <c r="R843" s="38">
        <v>9.3000000000000007</v>
      </c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>
        <v>80</v>
      </c>
      <c r="AD843" s="38"/>
      <c r="AE843" s="38"/>
      <c r="AF843" s="38"/>
      <c r="AG843" s="38"/>
      <c r="AH843" s="38"/>
      <c r="AI843" s="38">
        <v>90</v>
      </c>
      <c r="AJ843" s="38"/>
      <c r="AK843" s="38"/>
      <c r="AL843" s="38">
        <v>1090</v>
      </c>
      <c r="AM843" s="38"/>
      <c r="AN843" s="38"/>
      <c r="AO843" s="38"/>
      <c r="AP843" s="38">
        <v>32.200000000000003</v>
      </c>
      <c r="AQ843" s="38"/>
      <c r="AR843" s="38"/>
      <c r="AS843" s="38"/>
      <c r="AT843" s="38">
        <v>1910</v>
      </c>
      <c r="AU843" s="38">
        <v>4840</v>
      </c>
      <c r="AV843" s="38">
        <v>2550</v>
      </c>
      <c r="AW843" s="38">
        <v>25400</v>
      </c>
      <c r="AX843" s="38">
        <v>4570</v>
      </c>
      <c r="AY843" s="38">
        <v>3020</v>
      </c>
      <c r="AZ843" s="38"/>
      <c r="BA843" s="38"/>
      <c r="BB843" s="38"/>
    </row>
    <row r="844" spans="1:54">
      <c r="A844" s="38" t="s">
        <v>4615</v>
      </c>
      <c r="B844" s="38" t="s">
        <v>3424</v>
      </c>
      <c r="C844" s="38"/>
      <c r="D844" s="38" t="s">
        <v>3399</v>
      </c>
      <c r="E844" s="38"/>
      <c r="F844" s="38"/>
      <c r="G844" s="38" t="s">
        <v>3997</v>
      </c>
      <c r="H844" s="38" t="s">
        <v>3400</v>
      </c>
      <c r="I844" s="38" t="s">
        <v>4614</v>
      </c>
      <c r="J844" s="38"/>
      <c r="K844" s="38">
        <v>550</v>
      </c>
      <c r="L844" s="38">
        <v>15.8</v>
      </c>
      <c r="M844" s="38"/>
      <c r="N844" s="38">
        <v>67.7</v>
      </c>
      <c r="O844" s="38">
        <v>0.51</v>
      </c>
      <c r="P844" s="38">
        <v>1.94</v>
      </c>
      <c r="Q844" s="38">
        <v>14</v>
      </c>
      <c r="R844" s="38">
        <v>10</v>
      </c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>
        <v>60</v>
      </c>
      <c r="AD844" s="38"/>
      <c r="AE844" s="38"/>
      <c r="AF844" s="38"/>
      <c r="AG844" s="38"/>
      <c r="AH844" s="38"/>
      <c r="AI844" s="38">
        <v>110</v>
      </c>
      <c r="AJ844" s="38"/>
      <c r="AK844" s="38"/>
      <c r="AL844" s="38">
        <v>450</v>
      </c>
      <c r="AM844" s="38"/>
      <c r="AN844" s="38"/>
      <c r="AO844" s="38"/>
      <c r="AP844" s="38">
        <v>14.1</v>
      </c>
      <c r="AQ844" s="38"/>
      <c r="AR844" s="38"/>
      <c r="AS844" s="38"/>
      <c r="AT844" s="38">
        <v>3220</v>
      </c>
      <c r="AU844" s="38">
        <v>6570</v>
      </c>
      <c r="AV844" s="38">
        <v>3290</v>
      </c>
      <c r="AW844" s="38">
        <v>39700</v>
      </c>
      <c r="AX844" s="38">
        <v>7290</v>
      </c>
      <c r="AY844" s="38">
        <v>4860</v>
      </c>
      <c r="AZ844" s="38"/>
      <c r="BA844" s="38"/>
      <c r="BB844" s="38"/>
    </row>
    <row r="845" spans="1:54">
      <c r="A845" s="38" t="s">
        <v>4616</v>
      </c>
      <c r="B845" s="38" t="s">
        <v>3471</v>
      </c>
      <c r="C845" s="38"/>
      <c r="D845" s="38" t="s">
        <v>3399</v>
      </c>
      <c r="E845" s="38"/>
      <c r="F845" s="38"/>
      <c r="G845" s="38" t="s">
        <v>3997</v>
      </c>
      <c r="H845" s="38" t="s">
        <v>3400</v>
      </c>
      <c r="I845" s="38" t="s">
        <v>4614</v>
      </c>
      <c r="J845" s="38"/>
      <c r="K845" s="38">
        <v>350</v>
      </c>
      <c r="L845" s="38">
        <v>1.7</v>
      </c>
      <c r="M845" s="38"/>
      <c r="N845" s="38">
        <v>67.099999999999994</v>
      </c>
      <c r="O845" s="38">
        <v>0.23</v>
      </c>
      <c r="P845" s="38">
        <v>3.84</v>
      </c>
      <c r="Q845" s="38">
        <v>27.1</v>
      </c>
      <c r="R845" s="38">
        <v>7.5</v>
      </c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>
        <v>20</v>
      </c>
      <c r="AD845" s="38"/>
      <c r="AE845" s="38"/>
      <c r="AF845" s="38"/>
      <c r="AG845" s="38"/>
      <c r="AH845" s="38"/>
      <c r="AI845" s="38">
        <v>140</v>
      </c>
      <c r="AJ845" s="38"/>
      <c r="AK845" s="38"/>
      <c r="AL845" s="38">
        <v>1680</v>
      </c>
      <c r="AM845" s="38"/>
      <c r="AN845" s="38"/>
      <c r="AO845" s="38"/>
      <c r="AP845" s="38">
        <v>35.1</v>
      </c>
      <c r="AQ845" s="38"/>
      <c r="AR845" s="38"/>
      <c r="AS845" s="38"/>
      <c r="AT845" s="38">
        <v>140</v>
      </c>
      <c r="AU845" s="38">
        <v>4720</v>
      </c>
      <c r="AV845" s="38">
        <v>1120</v>
      </c>
      <c r="AW845" s="38">
        <v>880</v>
      </c>
      <c r="AX845" s="38">
        <v>60</v>
      </c>
      <c r="AY845" s="38"/>
      <c r="AZ845" s="38"/>
      <c r="BA845" s="38"/>
      <c r="BB845" s="38"/>
    </row>
    <row r="846" spans="1:54">
      <c r="A846" s="38" t="s">
        <v>4617</v>
      </c>
      <c r="B846" s="38" t="s">
        <v>3471</v>
      </c>
      <c r="C846" s="38"/>
      <c r="D846" s="38" t="s">
        <v>3399</v>
      </c>
      <c r="E846" s="38"/>
      <c r="F846" s="38"/>
      <c r="G846" s="38" t="s">
        <v>3997</v>
      </c>
      <c r="H846" s="38" t="s">
        <v>3400</v>
      </c>
      <c r="I846" s="38" t="s">
        <v>4614</v>
      </c>
      <c r="J846" s="38"/>
      <c r="K846" s="38">
        <v>550</v>
      </c>
      <c r="L846" s="38">
        <v>3.5</v>
      </c>
      <c r="M846" s="38"/>
      <c r="N846" s="38">
        <v>83.2</v>
      </c>
      <c r="O846" s="38">
        <v>0.19</v>
      </c>
      <c r="P846" s="38">
        <v>2.37</v>
      </c>
      <c r="Q846" s="38">
        <v>10.8</v>
      </c>
      <c r="R846" s="38">
        <v>9.5</v>
      </c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>
        <v>150</v>
      </c>
      <c r="AD846" s="38"/>
      <c r="AE846" s="38"/>
      <c r="AF846" s="38"/>
      <c r="AG846" s="38"/>
      <c r="AH846" s="38"/>
      <c r="AI846" s="38">
        <v>70</v>
      </c>
      <c r="AJ846" s="38"/>
      <c r="AK846" s="38"/>
      <c r="AL846" s="38">
        <v>2050</v>
      </c>
      <c r="AM846" s="38"/>
      <c r="AN846" s="38"/>
      <c r="AO846" s="38"/>
      <c r="AP846" s="38">
        <v>12.2</v>
      </c>
      <c r="AQ846" s="38"/>
      <c r="AR846" s="38"/>
      <c r="AS846" s="38"/>
      <c r="AT846" s="38">
        <v>210</v>
      </c>
      <c r="AU846" s="38">
        <v>6030</v>
      </c>
      <c r="AV846" s="38">
        <v>1880</v>
      </c>
      <c r="AW846" s="38">
        <v>3440</v>
      </c>
      <c r="AX846" s="38">
        <v>10</v>
      </c>
      <c r="AY846" s="38">
        <v>60</v>
      </c>
      <c r="AZ846" s="38"/>
      <c r="BA846" s="38"/>
      <c r="BB846" s="38"/>
    </row>
    <row r="847" spans="1:54">
      <c r="A847" s="38" t="s">
        <v>4345</v>
      </c>
      <c r="B847" s="38" t="s">
        <v>3652</v>
      </c>
      <c r="C847" s="38" t="s">
        <v>4618</v>
      </c>
      <c r="D847" s="38" t="s">
        <v>3399</v>
      </c>
      <c r="E847" s="38"/>
      <c r="F847" s="38"/>
      <c r="G847" s="38" t="s">
        <v>3997</v>
      </c>
      <c r="H847" s="38" t="s">
        <v>3400</v>
      </c>
      <c r="I847" s="38" t="s">
        <v>4619</v>
      </c>
      <c r="J847" s="38">
        <v>5.0599999999999996</v>
      </c>
      <c r="K847" s="38">
        <v>600</v>
      </c>
      <c r="L847" s="38">
        <v>5.87</v>
      </c>
      <c r="M847" s="38"/>
      <c r="N847" s="38">
        <v>86.3</v>
      </c>
      <c r="O847" s="38">
        <v>0.73</v>
      </c>
      <c r="P847" s="38">
        <v>0.79</v>
      </c>
      <c r="Q847" s="38">
        <v>12.18</v>
      </c>
      <c r="R847" s="38">
        <v>9.8000000000000007</v>
      </c>
      <c r="S847" s="38">
        <v>0.41099999999999998</v>
      </c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38"/>
      <c r="AI847" s="38"/>
      <c r="AJ847" s="38"/>
      <c r="AK847" s="38"/>
      <c r="AL847" s="38"/>
      <c r="AM847" s="38"/>
      <c r="AN847" s="38"/>
      <c r="AO847" s="38"/>
      <c r="AP847" s="38">
        <v>8.92</v>
      </c>
      <c r="AQ847" s="38">
        <v>273.62299999999999</v>
      </c>
      <c r="AR847" s="38" t="s">
        <v>3792</v>
      </c>
      <c r="AS847" s="38"/>
      <c r="AT847" s="38"/>
      <c r="AU847" s="38"/>
      <c r="AV847" s="38"/>
      <c r="AW847" s="38"/>
      <c r="AX847" s="38"/>
      <c r="AY847" s="38"/>
      <c r="AZ847" s="38"/>
      <c r="BA847" s="38"/>
      <c r="BB847" s="38"/>
    </row>
    <row r="848" spans="1:54">
      <c r="A848" s="38" t="s">
        <v>4359</v>
      </c>
      <c r="B848" s="38" t="s">
        <v>3431</v>
      </c>
      <c r="C848" s="38" t="s">
        <v>4620</v>
      </c>
      <c r="D848" s="38" t="s">
        <v>3399</v>
      </c>
      <c r="E848" s="38"/>
      <c r="F848" s="38"/>
      <c r="G848" s="38" t="s">
        <v>3997</v>
      </c>
      <c r="H848" s="38" t="s">
        <v>3400</v>
      </c>
      <c r="I848" s="38" t="s">
        <v>4619</v>
      </c>
      <c r="J848" s="38">
        <v>5.33</v>
      </c>
      <c r="K848" s="38">
        <v>600</v>
      </c>
      <c r="L848" s="38">
        <v>41.96</v>
      </c>
      <c r="M848" s="38"/>
      <c r="N848" s="38">
        <v>37.909999999999997</v>
      </c>
      <c r="O848" s="38">
        <v>0.89</v>
      </c>
      <c r="P848" s="38">
        <v>2.06</v>
      </c>
      <c r="Q848" s="38">
        <v>59.14</v>
      </c>
      <c r="R848" s="38">
        <v>7.8</v>
      </c>
      <c r="S848" s="38">
        <v>0.29980000000000001</v>
      </c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  <c r="AH848" s="38"/>
      <c r="AI848" s="38"/>
      <c r="AJ848" s="38"/>
      <c r="AK848" s="38"/>
      <c r="AL848" s="38"/>
      <c r="AM848" s="38"/>
      <c r="AN848" s="38"/>
      <c r="AO848" s="38"/>
      <c r="AP848" s="38">
        <v>35.67</v>
      </c>
      <c r="AQ848" s="38">
        <v>10.994999999999999</v>
      </c>
      <c r="AR848" s="38" t="s">
        <v>3792</v>
      </c>
      <c r="AS848" s="38"/>
      <c r="AT848" s="38"/>
      <c r="AU848" s="38"/>
      <c r="AV848" s="38"/>
      <c r="AW848" s="38"/>
      <c r="AX848" s="38"/>
      <c r="AY848" s="38"/>
      <c r="AZ848" s="38"/>
      <c r="BA848" s="38"/>
      <c r="BB848" s="38"/>
    </row>
    <row r="849" spans="1:54">
      <c r="A849" s="38" t="s">
        <v>4621</v>
      </c>
      <c r="B849" s="38" t="s">
        <v>3455</v>
      </c>
      <c r="C849" s="38"/>
      <c r="D849" s="38" t="s">
        <v>3399</v>
      </c>
      <c r="E849" s="38"/>
      <c r="F849" s="38"/>
      <c r="G849" s="38" t="s">
        <v>3997</v>
      </c>
      <c r="H849" s="38" t="s">
        <v>3400</v>
      </c>
      <c r="I849" s="38" t="s">
        <v>4622</v>
      </c>
      <c r="J849" s="38"/>
      <c r="K849" s="38">
        <v>950</v>
      </c>
      <c r="L849" s="38"/>
      <c r="M849" s="38"/>
      <c r="N849" s="38">
        <v>88.2</v>
      </c>
      <c r="O849" s="38">
        <v>1.05</v>
      </c>
      <c r="P849" s="38">
        <v>0.5</v>
      </c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38"/>
      <c r="AI849" s="38"/>
      <c r="AJ849" s="38"/>
      <c r="AK849" s="38"/>
      <c r="AL849" s="38"/>
      <c r="AM849" s="38"/>
      <c r="AN849" s="38"/>
      <c r="AO849" s="38"/>
      <c r="AP849" s="38"/>
      <c r="AQ849" s="38">
        <v>330</v>
      </c>
      <c r="AR849" s="38" t="s">
        <v>3792</v>
      </c>
      <c r="AS849" s="38"/>
      <c r="AT849" s="38"/>
      <c r="AU849" s="38">
        <v>3279</v>
      </c>
      <c r="AV849" s="38"/>
      <c r="AW849" s="38">
        <v>2002</v>
      </c>
      <c r="AX849" s="38"/>
      <c r="AY849" s="38">
        <v>261</v>
      </c>
      <c r="AZ849" s="38"/>
      <c r="BA849" s="38"/>
      <c r="BB849" s="38"/>
    </row>
    <row r="850" spans="1:54">
      <c r="A850" s="38" t="s">
        <v>4623</v>
      </c>
      <c r="B850" s="38" t="s">
        <v>3471</v>
      </c>
      <c r="C850" s="38"/>
      <c r="D850" s="38" t="s">
        <v>3399</v>
      </c>
      <c r="E850" s="38"/>
      <c r="F850" s="38"/>
      <c r="G850" s="38" t="s">
        <v>3997</v>
      </c>
      <c r="H850" s="38" t="s">
        <v>3400</v>
      </c>
      <c r="I850" s="38" t="s">
        <v>4624</v>
      </c>
      <c r="J850" s="38"/>
      <c r="K850" s="38">
        <v>500</v>
      </c>
      <c r="L850" s="38">
        <v>4.5</v>
      </c>
      <c r="M850" s="38"/>
      <c r="N850" s="38">
        <v>82.1</v>
      </c>
      <c r="O850" s="38">
        <v>0.3</v>
      </c>
      <c r="P850" s="38">
        <v>2.8</v>
      </c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  <c r="AH850" s="38"/>
      <c r="AI850" s="38"/>
      <c r="AJ850" s="38"/>
      <c r="AK850" s="38"/>
      <c r="AL850" s="38"/>
      <c r="AM850" s="38"/>
      <c r="AN850" s="38"/>
      <c r="AO850" s="38"/>
      <c r="AP850" s="38">
        <v>23.6</v>
      </c>
      <c r="AQ850" s="38"/>
      <c r="AR850" s="38"/>
      <c r="AS850" s="38"/>
      <c r="AT850" s="38"/>
      <c r="AU850" s="38">
        <v>1200</v>
      </c>
      <c r="AV850" s="38">
        <v>820</v>
      </c>
      <c r="AW850" s="38">
        <v>660</v>
      </c>
      <c r="AX850" s="38"/>
      <c r="AY850" s="38">
        <v>290</v>
      </c>
      <c r="AZ850" s="38"/>
      <c r="BA850" s="38"/>
      <c r="BB850" s="38"/>
    </row>
    <row r="851" spans="1:54">
      <c r="A851" s="38" t="s">
        <v>3594</v>
      </c>
      <c r="B851" s="38" t="s">
        <v>3471</v>
      </c>
      <c r="C851" s="38"/>
      <c r="D851" s="38" t="s">
        <v>3399</v>
      </c>
      <c r="E851" s="38"/>
      <c r="F851" s="38"/>
      <c r="G851" s="38" t="s">
        <v>3997</v>
      </c>
      <c r="H851" s="38" t="s">
        <v>3400</v>
      </c>
      <c r="I851" s="38" t="s">
        <v>4624</v>
      </c>
      <c r="J851" s="38"/>
      <c r="K851" s="38">
        <v>600</v>
      </c>
      <c r="L851" s="38">
        <v>4.5999999999999996</v>
      </c>
      <c r="M851" s="38"/>
      <c r="N851" s="38">
        <v>84.4</v>
      </c>
      <c r="O851" s="38">
        <v>0.4</v>
      </c>
      <c r="P851" s="38">
        <v>2.6</v>
      </c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38"/>
      <c r="AI851" s="38"/>
      <c r="AJ851" s="38"/>
      <c r="AK851" s="38"/>
      <c r="AL851" s="38"/>
      <c r="AM851" s="38"/>
      <c r="AN851" s="38"/>
      <c r="AO851" s="38"/>
      <c r="AP851" s="38">
        <v>19.100000000000001</v>
      </c>
      <c r="AQ851" s="38"/>
      <c r="AR851" s="38"/>
      <c r="AS851" s="38"/>
      <c r="AT851" s="38"/>
      <c r="AU851" s="38">
        <v>1300</v>
      </c>
      <c r="AV851" s="38">
        <v>590</v>
      </c>
      <c r="AW851" s="38">
        <v>750</v>
      </c>
      <c r="AX851" s="38"/>
      <c r="AY851" s="38">
        <v>200</v>
      </c>
      <c r="AZ851" s="38"/>
      <c r="BA851" s="38"/>
      <c r="BB851" s="38"/>
    </row>
    <row r="852" spans="1:54">
      <c r="A852" s="38" t="s">
        <v>4625</v>
      </c>
      <c r="B852" s="38" t="s">
        <v>3471</v>
      </c>
      <c r="C852" s="38"/>
      <c r="D852" s="38" t="s">
        <v>3399</v>
      </c>
      <c r="E852" s="38"/>
      <c r="F852" s="38"/>
      <c r="G852" s="38" t="s">
        <v>3997</v>
      </c>
      <c r="H852" s="38" t="s">
        <v>3400</v>
      </c>
      <c r="I852" s="38" t="s">
        <v>4624</v>
      </c>
      <c r="J852" s="38">
        <v>0.3</v>
      </c>
      <c r="K852" s="38">
        <v>850</v>
      </c>
      <c r="L852" s="38"/>
      <c r="M852" s="38"/>
      <c r="N852" s="38">
        <v>76.900000000000006</v>
      </c>
      <c r="O852" s="38">
        <v>0.2</v>
      </c>
      <c r="P852" s="38">
        <v>1.1000000000000001</v>
      </c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38"/>
      <c r="AI852" s="38"/>
      <c r="AJ852" s="38"/>
      <c r="AK852" s="38"/>
      <c r="AL852" s="38"/>
      <c r="AM852" s="38"/>
      <c r="AN852" s="38"/>
      <c r="AO852" s="38"/>
      <c r="AP852" s="38"/>
      <c r="AQ852" s="38"/>
      <c r="AR852" s="38"/>
      <c r="AS852" s="38"/>
      <c r="AT852" s="38"/>
      <c r="AU852" s="38"/>
      <c r="AV852" s="38"/>
      <c r="AW852" s="38"/>
      <c r="AX852" s="38"/>
      <c r="AY852" s="38"/>
      <c r="AZ852" s="38"/>
      <c r="BA852" s="38"/>
      <c r="BB852" s="38"/>
    </row>
    <row r="853" spans="1:54">
      <c r="A853" s="38" t="s">
        <v>4114</v>
      </c>
      <c r="B853" s="38" t="s">
        <v>3424</v>
      </c>
      <c r="C853" s="38"/>
      <c r="D853" s="38" t="s">
        <v>3399</v>
      </c>
      <c r="E853" s="38"/>
      <c r="F853" s="38"/>
      <c r="G853" s="38" t="s">
        <v>3997</v>
      </c>
      <c r="H853" s="38" t="s">
        <v>3400</v>
      </c>
      <c r="I853" s="38" t="s">
        <v>4624</v>
      </c>
      <c r="J853" s="38">
        <v>3.3</v>
      </c>
      <c r="K853" s="38">
        <v>500</v>
      </c>
      <c r="L853" s="38">
        <v>38.799999999999997</v>
      </c>
      <c r="M853" s="38"/>
      <c r="N853" s="38">
        <v>45</v>
      </c>
      <c r="O853" s="38">
        <v>0.7</v>
      </c>
      <c r="P853" s="38">
        <v>2.2000000000000002</v>
      </c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38"/>
      <c r="AI853" s="38"/>
      <c r="AJ853" s="38"/>
      <c r="AK853" s="38"/>
      <c r="AL853" s="38"/>
      <c r="AM853" s="38"/>
      <c r="AN853" s="38"/>
      <c r="AO853" s="38"/>
      <c r="AP853" s="38">
        <v>14.9</v>
      </c>
      <c r="AQ853" s="38"/>
      <c r="AR853" s="38"/>
      <c r="AS853" s="38"/>
      <c r="AT853" s="38"/>
      <c r="AU853" s="38">
        <v>990</v>
      </c>
      <c r="AV853" s="38">
        <v>4900</v>
      </c>
      <c r="AW853" s="38">
        <v>4500</v>
      </c>
      <c r="AX853" s="38"/>
      <c r="AY853" s="38">
        <v>9000</v>
      </c>
      <c r="AZ853" s="38"/>
      <c r="BA853" s="38"/>
      <c r="BB853" s="38"/>
    </row>
    <row r="854" spans="1:54">
      <c r="A854" s="38" t="s">
        <v>4626</v>
      </c>
      <c r="B854" s="38" t="s">
        <v>3424</v>
      </c>
      <c r="C854" s="38"/>
      <c r="D854" s="38" t="s">
        <v>3399</v>
      </c>
      <c r="E854" s="38"/>
      <c r="F854" s="38"/>
      <c r="G854" s="38" t="s">
        <v>3997</v>
      </c>
      <c r="H854" s="38" t="s">
        <v>3400</v>
      </c>
      <c r="I854" s="38" t="s">
        <v>4624</v>
      </c>
      <c r="J854" s="38">
        <v>3.2</v>
      </c>
      <c r="K854" s="38">
        <v>850</v>
      </c>
      <c r="L854" s="38">
        <v>47.1</v>
      </c>
      <c r="M854" s="38"/>
      <c r="N854" s="38">
        <v>42</v>
      </c>
      <c r="O854" s="38">
        <v>0.4</v>
      </c>
      <c r="P854" s="38">
        <v>1</v>
      </c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  <c r="AI854" s="38"/>
      <c r="AJ854" s="38"/>
      <c r="AK854" s="38"/>
      <c r="AL854" s="38"/>
      <c r="AM854" s="38"/>
      <c r="AN854" s="38"/>
      <c r="AO854" s="38"/>
      <c r="AP854" s="38">
        <v>8.4</v>
      </c>
      <c r="AQ854" s="38"/>
      <c r="AR854" s="38"/>
      <c r="AS854" s="38"/>
      <c r="AT854" s="38"/>
      <c r="AU854" s="38">
        <v>1400</v>
      </c>
      <c r="AV854" s="38">
        <v>9200</v>
      </c>
      <c r="AW854" s="38">
        <v>5400</v>
      </c>
      <c r="AX854" s="38"/>
      <c r="AY854" s="38">
        <v>10000</v>
      </c>
      <c r="AZ854" s="38"/>
      <c r="BA854" s="38"/>
      <c r="BB854" s="38"/>
    </row>
    <row r="855" spans="1:54">
      <c r="A855" s="38" t="s">
        <v>4627</v>
      </c>
      <c r="B855" s="38" t="s">
        <v>3409</v>
      </c>
      <c r="C855" s="38"/>
      <c r="D855" s="38" t="s">
        <v>3399</v>
      </c>
      <c r="E855" s="38"/>
      <c r="F855" s="38"/>
      <c r="G855" s="38" t="s">
        <v>3997</v>
      </c>
      <c r="H855" s="38" t="s">
        <v>3400</v>
      </c>
      <c r="I855" s="38" t="s">
        <v>4628</v>
      </c>
      <c r="J855" s="38"/>
      <c r="K855" s="38">
        <v>650</v>
      </c>
      <c r="L855" s="38">
        <v>38.979999999999997</v>
      </c>
      <c r="M855" s="38"/>
      <c r="N855" s="38">
        <v>64.44</v>
      </c>
      <c r="O855" s="38"/>
      <c r="P855" s="38">
        <v>1.39</v>
      </c>
      <c r="Q855" s="38">
        <v>5.37</v>
      </c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38"/>
      <c r="AI855" s="38"/>
      <c r="AJ855" s="38"/>
      <c r="AK855" s="38"/>
      <c r="AL855" s="38"/>
      <c r="AM855" s="38"/>
      <c r="AN855" s="38"/>
      <c r="AO855" s="38"/>
      <c r="AP855" s="38"/>
      <c r="AQ855" s="38"/>
      <c r="AR855" s="38"/>
      <c r="AS855" s="38"/>
      <c r="AT855" s="38"/>
      <c r="AU855" s="38"/>
      <c r="AV855" s="38"/>
      <c r="AW855" s="38"/>
      <c r="AX855" s="38"/>
      <c r="AY855" s="38"/>
      <c r="AZ855" s="38"/>
      <c r="BA855" s="38"/>
      <c r="BB855" s="38"/>
    </row>
    <row r="856" spans="1:54">
      <c r="A856" s="38" t="s">
        <v>4629</v>
      </c>
      <c r="B856" s="38" t="s">
        <v>3409</v>
      </c>
      <c r="C856" s="38"/>
      <c r="D856" s="38" t="s">
        <v>3399</v>
      </c>
      <c r="E856" s="38"/>
      <c r="F856" s="38"/>
      <c r="G856" s="38" t="s">
        <v>3997</v>
      </c>
      <c r="H856" s="38" t="s">
        <v>3400</v>
      </c>
      <c r="I856" s="38" t="s">
        <v>4628</v>
      </c>
      <c r="J856" s="38"/>
      <c r="K856" s="38">
        <v>500</v>
      </c>
      <c r="L856" s="38">
        <v>11.52</v>
      </c>
      <c r="M856" s="38"/>
      <c r="N856" s="38">
        <v>60.26</v>
      </c>
      <c r="O856" s="38"/>
      <c r="P856" s="38">
        <v>3.07</v>
      </c>
      <c r="Q856" s="38">
        <v>12.64</v>
      </c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38"/>
      <c r="AI856" s="38"/>
      <c r="AJ856" s="38"/>
      <c r="AK856" s="38"/>
      <c r="AL856" s="38"/>
      <c r="AM856" s="38"/>
      <c r="AN856" s="38"/>
      <c r="AO856" s="38"/>
      <c r="AP856" s="38"/>
      <c r="AQ856" s="38"/>
      <c r="AR856" s="38"/>
      <c r="AS856" s="38"/>
      <c r="AT856" s="38"/>
      <c r="AU856" s="38"/>
      <c r="AV856" s="38"/>
      <c r="AW856" s="38"/>
      <c r="AX856" s="38"/>
      <c r="AY856" s="38"/>
      <c r="AZ856" s="38"/>
      <c r="BA856" s="38"/>
      <c r="BB856" s="38"/>
    </row>
    <row r="857" spans="1:54">
      <c r="A857" s="38" t="s">
        <v>4630</v>
      </c>
      <c r="B857" s="38" t="s">
        <v>3652</v>
      </c>
      <c r="C857" s="38"/>
      <c r="D857" s="38" t="s">
        <v>3399</v>
      </c>
      <c r="E857" s="38"/>
      <c r="F857" s="38"/>
      <c r="G857" s="38" t="s">
        <v>3997</v>
      </c>
      <c r="H857" s="38" t="s">
        <v>3400</v>
      </c>
      <c r="I857" s="38" t="s">
        <v>4628</v>
      </c>
      <c r="J857" s="38"/>
      <c r="K857" s="38">
        <v>550</v>
      </c>
      <c r="L857" s="38">
        <v>9.9</v>
      </c>
      <c r="M857" s="38"/>
      <c r="N857" s="38">
        <v>73.400000000000006</v>
      </c>
      <c r="O857" s="38"/>
      <c r="P857" s="38">
        <v>2.33</v>
      </c>
      <c r="Q857" s="38">
        <v>13.31</v>
      </c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  <c r="AI857" s="38"/>
      <c r="AJ857" s="38"/>
      <c r="AK857" s="38"/>
      <c r="AL857" s="38"/>
      <c r="AM857" s="38"/>
      <c r="AN857" s="38"/>
      <c r="AO857" s="38"/>
      <c r="AP857" s="38"/>
      <c r="AQ857" s="38"/>
      <c r="AR857" s="38"/>
      <c r="AS857" s="38"/>
      <c r="AT857" s="38"/>
      <c r="AU857" s="38"/>
      <c r="AV857" s="38"/>
      <c r="AW857" s="38"/>
      <c r="AX857" s="38"/>
      <c r="AY857" s="38"/>
      <c r="AZ857" s="38"/>
      <c r="BA857" s="38"/>
      <c r="BB857" s="38"/>
    </row>
    <row r="858" spans="1:54">
      <c r="A858" s="38" t="s">
        <v>4631</v>
      </c>
      <c r="B858" s="38" t="s">
        <v>3455</v>
      </c>
      <c r="C858" s="38"/>
      <c r="D858" s="38" t="s">
        <v>3399</v>
      </c>
      <c r="E858" s="38"/>
      <c r="F858" s="38"/>
      <c r="G858" s="38" t="s">
        <v>3997</v>
      </c>
      <c r="H858" s="38" t="s">
        <v>3400</v>
      </c>
      <c r="I858" s="38" t="s">
        <v>4632</v>
      </c>
      <c r="J858" s="38">
        <v>9.1</v>
      </c>
      <c r="K858" s="38">
        <v>500</v>
      </c>
      <c r="L858" s="38">
        <v>0.8</v>
      </c>
      <c r="M858" s="38"/>
      <c r="N858" s="38">
        <v>48.29</v>
      </c>
      <c r="O858" s="38">
        <v>1.04</v>
      </c>
      <c r="P858" s="38">
        <v>6.01</v>
      </c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38"/>
      <c r="AI858" s="38"/>
      <c r="AJ858" s="38"/>
      <c r="AK858" s="38"/>
      <c r="AL858" s="38"/>
      <c r="AM858" s="38"/>
      <c r="AN858" s="38"/>
      <c r="AO858" s="38"/>
      <c r="AP858" s="38">
        <v>21.6</v>
      </c>
      <c r="AQ858" s="38"/>
      <c r="AR858" s="38"/>
      <c r="AS858" s="38"/>
      <c r="AT858" s="38"/>
      <c r="AU858" s="38"/>
      <c r="AV858" s="38"/>
      <c r="AW858" s="38"/>
      <c r="AX858" s="38"/>
      <c r="AY858" s="38"/>
      <c r="AZ858" s="38"/>
      <c r="BA858" s="38"/>
      <c r="BB858" s="38"/>
    </row>
    <row r="859" spans="1:54">
      <c r="A859" s="38" t="s">
        <v>4035</v>
      </c>
      <c r="B859" s="38" t="s">
        <v>3409</v>
      </c>
      <c r="C859" s="38" t="s">
        <v>4381</v>
      </c>
      <c r="D859" s="38" t="s">
        <v>3399</v>
      </c>
      <c r="E859" s="38"/>
      <c r="F859" s="38"/>
      <c r="G859" s="38" t="s">
        <v>3997</v>
      </c>
      <c r="H859" s="38" t="s">
        <v>3400</v>
      </c>
      <c r="I859" s="38" t="s">
        <v>4632</v>
      </c>
      <c r="J859" s="38"/>
      <c r="K859" s="38">
        <v>500</v>
      </c>
      <c r="L859" s="38">
        <v>18</v>
      </c>
      <c r="M859" s="38"/>
      <c r="N859" s="38">
        <v>45.34</v>
      </c>
      <c r="O859" s="38">
        <v>0.41</v>
      </c>
      <c r="P859" s="38">
        <v>5.97</v>
      </c>
      <c r="Q859" s="38"/>
      <c r="R859" s="38">
        <v>10.199999999999999</v>
      </c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38"/>
      <c r="AI859" s="38"/>
      <c r="AJ859" s="38"/>
      <c r="AK859" s="38"/>
      <c r="AL859" s="38"/>
      <c r="AM859" s="38"/>
      <c r="AN859" s="38">
        <v>95.5</v>
      </c>
      <c r="AO859" s="38"/>
      <c r="AP859" s="38">
        <v>17.600000000000001</v>
      </c>
      <c r="AQ859" s="38">
        <v>33.200000000000003</v>
      </c>
      <c r="AR859" s="38"/>
      <c r="AS859" s="38"/>
      <c r="AT859" s="38"/>
      <c r="AU859" s="38"/>
      <c r="AV859" s="38"/>
      <c r="AW859" s="38"/>
      <c r="AX859" s="38"/>
      <c r="AY859" s="38"/>
      <c r="AZ859" s="38"/>
      <c r="BA859" s="38"/>
      <c r="BB859" s="38"/>
    </row>
    <row r="860" spans="1:54">
      <c r="A860" s="38" t="s">
        <v>4633</v>
      </c>
      <c r="B860" s="38" t="s">
        <v>1700</v>
      </c>
      <c r="C860" s="38" t="s">
        <v>4634</v>
      </c>
      <c r="D860" s="38" t="s">
        <v>3399</v>
      </c>
      <c r="E860" s="38"/>
      <c r="F860" s="38"/>
      <c r="G860" s="38" t="s">
        <v>3997</v>
      </c>
      <c r="H860" s="38" t="s">
        <v>3400</v>
      </c>
      <c r="I860" s="38" t="s">
        <v>4635</v>
      </c>
      <c r="J860" s="38"/>
      <c r="K860" s="38">
        <v>400</v>
      </c>
      <c r="L860" s="38"/>
      <c r="M860" s="38"/>
      <c r="N860" s="38">
        <v>42.7</v>
      </c>
      <c r="O860" s="38">
        <v>2.1</v>
      </c>
      <c r="P860" s="38">
        <v>1.7</v>
      </c>
      <c r="Q860" s="38">
        <v>30.1</v>
      </c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38"/>
      <c r="AI860" s="38">
        <v>2000</v>
      </c>
      <c r="AJ860" s="38"/>
      <c r="AK860" s="38"/>
      <c r="AL860" s="38"/>
      <c r="AM860" s="38"/>
      <c r="AN860" s="38"/>
      <c r="AO860" s="38"/>
      <c r="AP860" s="38"/>
      <c r="AQ860" s="38"/>
      <c r="AR860" s="38"/>
      <c r="AS860" s="38"/>
      <c r="AT860" s="38">
        <v>38000</v>
      </c>
      <c r="AU860" s="38">
        <v>67000</v>
      </c>
      <c r="AV860" s="38">
        <v>24000</v>
      </c>
      <c r="AW860" s="38">
        <v>29000</v>
      </c>
      <c r="AX860" s="38">
        <v>3000</v>
      </c>
      <c r="AY860" s="38">
        <v>18000</v>
      </c>
      <c r="AZ860" s="38"/>
      <c r="BA860" s="38"/>
      <c r="BB860" s="38"/>
    </row>
    <row r="861" spans="1:54">
      <c r="A861" s="38" t="s">
        <v>4636</v>
      </c>
      <c r="B861" s="38" t="s">
        <v>1700</v>
      </c>
      <c r="C861" s="38" t="s">
        <v>4634</v>
      </c>
      <c r="D861" s="38" t="s">
        <v>3399</v>
      </c>
      <c r="E861" s="38"/>
      <c r="F861" s="38"/>
      <c r="G861" s="38" t="s">
        <v>3997</v>
      </c>
      <c r="H861" s="38" t="s">
        <v>3400</v>
      </c>
      <c r="I861" s="38" t="s">
        <v>4635</v>
      </c>
      <c r="J861" s="38"/>
      <c r="K861" s="38">
        <v>500</v>
      </c>
      <c r="L861" s="38"/>
      <c r="M861" s="38"/>
      <c r="N861" s="38">
        <v>42.3</v>
      </c>
      <c r="O861" s="38">
        <v>1.9</v>
      </c>
      <c r="P861" s="38">
        <v>1.5</v>
      </c>
      <c r="Q861" s="38">
        <v>23.4</v>
      </c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  <c r="AH861" s="38"/>
      <c r="AI861" s="38">
        <v>1000</v>
      </c>
      <c r="AJ861" s="38"/>
      <c r="AK861" s="38"/>
      <c r="AL861" s="38"/>
      <c r="AM861" s="38"/>
      <c r="AN861" s="38"/>
      <c r="AO861" s="38"/>
      <c r="AP861" s="38"/>
      <c r="AQ861" s="38"/>
      <c r="AR861" s="38"/>
      <c r="AS861" s="38"/>
      <c r="AT861" s="38">
        <v>44000</v>
      </c>
      <c r="AU861" s="38">
        <v>79000</v>
      </c>
      <c r="AV861" s="38">
        <v>29000</v>
      </c>
      <c r="AW861" s="38">
        <v>33000</v>
      </c>
      <c r="AX861" s="38">
        <v>4000</v>
      </c>
      <c r="AY861" s="38">
        <v>5000</v>
      </c>
      <c r="AZ861" s="38"/>
      <c r="BA861" s="38"/>
      <c r="BB861" s="38"/>
    </row>
    <row r="862" spans="1:54">
      <c r="A862" s="38" t="s">
        <v>4637</v>
      </c>
      <c r="B862" s="38" t="s">
        <v>1700</v>
      </c>
      <c r="C862" s="38" t="s">
        <v>4634</v>
      </c>
      <c r="D862" s="38" t="s">
        <v>3399</v>
      </c>
      <c r="E862" s="38"/>
      <c r="F862" s="38"/>
      <c r="G862" s="38" t="s">
        <v>3997</v>
      </c>
      <c r="H862" s="38" t="s">
        <v>3400</v>
      </c>
      <c r="I862" s="38" t="s">
        <v>4635</v>
      </c>
      <c r="J862" s="38"/>
      <c r="K862" s="38">
        <v>600</v>
      </c>
      <c r="L862" s="38"/>
      <c r="M862" s="38"/>
      <c r="N862" s="38">
        <v>44.9</v>
      </c>
      <c r="O862" s="38">
        <v>1.2</v>
      </c>
      <c r="P862" s="38">
        <v>1.2</v>
      </c>
      <c r="Q862" s="38">
        <v>20.2</v>
      </c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  <c r="AI862" s="38">
        <v>3000</v>
      </c>
      <c r="AJ862" s="38"/>
      <c r="AK862" s="38"/>
      <c r="AL862" s="38"/>
      <c r="AM862" s="38"/>
      <c r="AN862" s="38"/>
      <c r="AO862" s="38"/>
      <c r="AP862" s="38"/>
      <c r="AQ862" s="38"/>
      <c r="AR862" s="38"/>
      <c r="AS862" s="38"/>
      <c r="AT862" s="38">
        <v>53000</v>
      </c>
      <c r="AU862" s="38">
        <v>94000</v>
      </c>
      <c r="AV862" s="38">
        <v>32000</v>
      </c>
      <c r="AW862" s="38">
        <v>34000</v>
      </c>
      <c r="AX862" s="38">
        <v>4000</v>
      </c>
      <c r="AY862" s="38">
        <v>6000</v>
      </c>
      <c r="AZ862" s="38"/>
      <c r="BA862" s="38"/>
      <c r="BB862" s="38"/>
    </row>
    <row r="863" spans="1:54">
      <c r="A863" s="38" t="s">
        <v>4638</v>
      </c>
      <c r="B863" s="38" t="s">
        <v>1700</v>
      </c>
      <c r="C863" s="38" t="s">
        <v>4634</v>
      </c>
      <c r="D863" s="38" t="s">
        <v>3399</v>
      </c>
      <c r="E863" s="38"/>
      <c r="F863" s="38"/>
      <c r="G863" s="38" t="s">
        <v>3997</v>
      </c>
      <c r="H863" s="38" t="s">
        <v>3400</v>
      </c>
      <c r="I863" s="38" t="s">
        <v>4635</v>
      </c>
      <c r="J863" s="38"/>
      <c r="K863" s="38">
        <v>700</v>
      </c>
      <c r="L863" s="38"/>
      <c r="M863" s="38"/>
      <c r="N863" s="38">
        <v>42.6</v>
      </c>
      <c r="O863" s="38">
        <v>1.3</v>
      </c>
      <c r="P863" s="38">
        <v>0.9</v>
      </c>
      <c r="Q863" s="38">
        <v>22.2</v>
      </c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  <c r="AH863" s="38"/>
      <c r="AI863" s="38">
        <v>2000</v>
      </c>
      <c r="AJ863" s="38"/>
      <c r="AK863" s="38"/>
      <c r="AL863" s="38"/>
      <c r="AM863" s="38"/>
      <c r="AN863" s="38"/>
      <c r="AO863" s="38"/>
      <c r="AP863" s="38"/>
      <c r="AQ863" s="38"/>
      <c r="AR863" s="38"/>
      <c r="AS863" s="38"/>
      <c r="AT863" s="38">
        <v>48000</v>
      </c>
      <c r="AU863" s="38">
        <v>83000</v>
      </c>
      <c r="AV863" s="38">
        <v>30000</v>
      </c>
      <c r="AW863" s="38">
        <v>32000</v>
      </c>
      <c r="AX863" s="38">
        <v>4000</v>
      </c>
      <c r="AY863" s="38">
        <v>6000</v>
      </c>
      <c r="AZ863" s="38"/>
      <c r="BA863" s="38"/>
      <c r="BB863" s="38"/>
    </row>
    <row r="864" spans="1:54">
      <c r="A864" s="38" t="s">
        <v>4639</v>
      </c>
      <c r="B864" s="38" t="s">
        <v>1700</v>
      </c>
      <c r="C864" s="38" t="s">
        <v>4634</v>
      </c>
      <c r="D864" s="38" t="s">
        <v>3399</v>
      </c>
      <c r="E864" s="38"/>
      <c r="F864" s="38"/>
      <c r="G864" s="38" t="s">
        <v>3997</v>
      </c>
      <c r="H864" s="38" t="s">
        <v>3400</v>
      </c>
      <c r="I864" s="38" t="s">
        <v>4635</v>
      </c>
      <c r="J864" s="38"/>
      <c r="K864" s="38">
        <v>800</v>
      </c>
      <c r="L864" s="38"/>
      <c r="M864" s="38"/>
      <c r="N864" s="38">
        <v>43.6</v>
      </c>
      <c r="O864" s="38">
        <v>1.1000000000000001</v>
      </c>
      <c r="P864" s="38">
        <v>0.8</v>
      </c>
      <c r="Q864" s="38">
        <v>21.7</v>
      </c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  <c r="AH864" s="38"/>
      <c r="AI864" s="38">
        <v>1000</v>
      </c>
      <c r="AJ864" s="38"/>
      <c r="AK864" s="38"/>
      <c r="AL864" s="38"/>
      <c r="AM864" s="38"/>
      <c r="AN864" s="38"/>
      <c r="AO864" s="38"/>
      <c r="AP864" s="38"/>
      <c r="AQ864" s="38"/>
      <c r="AR864" s="38"/>
      <c r="AS864" s="38"/>
      <c r="AT864" s="38">
        <v>50000</v>
      </c>
      <c r="AU864" s="38">
        <v>93000</v>
      </c>
      <c r="AV864" s="38">
        <v>33000</v>
      </c>
      <c r="AW864" s="38">
        <v>33000</v>
      </c>
      <c r="AX864" s="38">
        <v>5000</v>
      </c>
      <c r="AY864" s="38">
        <v>13000</v>
      </c>
      <c r="AZ864" s="38"/>
      <c r="BA864" s="38"/>
      <c r="BB864" s="38"/>
    </row>
    <row r="865" spans="1:54">
      <c r="A865" s="38" t="s">
        <v>4640</v>
      </c>
      <c r="B865" s="38" t="s">
        <v>3652</v>
      </c>
      <c r="C865" s="38"/>
      <c r="D865" s="38" t="s">
        <v>3399</v>
      </c>
      <c r="E865" s="38"/>
      <c r="F865" s="38"/>
      <c r="G865" s="38" t="s">
        <v>3997</v>
      </c>
      <c r="H865" s="38" t="s">
        <v>3400</v>
      </c>
      <c r="I865" s="38" t="s">
        <v>4641</v>
      </c>
      <c r="J865" s="38"/>
      <c r="K865" s="38">
        <v>500</v>
      </c>
      <c r="L865" s="38">
        <v>13.1</v>
      </c>
      <c r="M865" s="38">
        <v>92.6</v>
      </c>
      <c r="N865" s="38"/>
      <c r="O865" s="38"/>
      <c r="P865" s="38"/>
      <c r="Q865" s="38"/>
      <c r="R865" s="38">
        <v>7.1</v>
      </c>
      <c r="S865" s="38"/>
      <c r="T865" s="38"/>
      <c r="U865" s="38"/>
      <c r="V865" s="38"/>
      <c r="W865" s="38"/>
      <c r="X865" s="38"/>
      <c r="Y865" s="38"/>
      <c r="Z865" s="38"/>
      <c r="AA865" s="38"/>
      <c r="AB865" s="38">
        <v>1.67</v>
      </c>
      <c r="AC865" s="38">
        <v>66.7</v>
      </c>
      <c r="AD865" s="38">
        <v>0.74</v>
      </c>
      <c r="AE865" s="38"/>
      <c r="AF865" s="38"/>
      <c r="AG865" s="38">
        <v>5.86</v>
      </c>
      <c r="AH865" s="38">
        <v>1.56</v>
      </c>
      <c r="AI865" s="38">
        <v>528</v>
      </c>
      <c r="AJ865" s="38">
        <v>36.200000000000003</v>
      </c>
      <c r="AK865" s="38"/>
      <c r="AL865" s="38">
        <v>2444</v>
      </c>
      <c r="AM865" s="38"/>
      <c r="AN865" s="38"/>
      <c r="AO865" s="38"/>
      <c r="AP865" s="38"/>
      <c r="AQ865" s="38"/>
      <c r="AR865" s="38"/>
      <c r="AS865" s="38"/>
      <c r="AT865" s="38">
        <v>17845</v>
      </c>
      <c r="AU865" s="38">
        <v>81911</v>
      </c>
      <c r="AV865" s="38">
        <v>5705</v>
      </c>
      <c r="AW865" s="38">
        <v>18819</v>
      </c>
      <c r="AX865" s="38">
        <v>761</v>
      </c>
      <c r="AY865" s="38">
        <v>92.1</v>
      </c>
      <c r="AZ865" s="38"/>
      <c r="BA865" s="38"/>
      <c r="BB865" s="38"/>
    </row>
    <row r="866" spans="1:54">
      <c r="A866" s="38" t="s">
        <v>4642</v>
      </c>
      <c r="B866" s="38" t="s">
        <v>3463</v>
      </c>
      <c r="C866" s="38"/>
      <c r="D866" s="38" t="s">
        <v>3399</v>
      </c>
      <c r="E866" s="38"/>
      <c r="F866" s="38"/>
      <c r="G866" s="38" t="s">
        <v>3997</v>
      </c>
      <c r="H866" s="38" t="s">
        <v>3400</v>
      </c>
      <c r="I866" s="38" t="s">
        <v>4641</v>
      </c>
      <c r="J866" s="38"/>
      <c r="K866" s="38">
        <v>500</v>
      </c>
      <c r="L866" s="38">
        <v>4.2</v>
      </c>
      <c r="M866" s="38">
        <v>84.2</v>
      </c>
      <c r="N866" s="38"/>
      <c r="O866" s="38"/>
      <c r="P866" s="38"/>
      <c r="Q866" s="38"/>
      <c r="R866" s="38">
        <v>8</v>
      </c>
      <c r="S866" s="38"/>
      <c r="T866" s="38"/>
      <c r="U866" s="38"/>
      <c r="V866" s="38"/>
      <c r="W866" s="38"/>
      <c r="X866" s="38"/>
      <c r="Y866" s="38"/>
      <c r="Z866" s="38"/>
      <c r="AA866" s="38">
        <v>0.38</v>
      </c>
      <c r="AB866" s="38">
        <v>0.08</v>
      </c>
      <c r="AC866" s="38">
        <v>2.5</v>
      </c>
      <c r="AD866" s="38">
        <v>0.35</v>
      </c>
      <c r="AE866" s="38"/>
      <c r="AF866" s="38"/>
      <c r="AG866" s="38">
        <v>0.28000000000000003</v>
      </c>
      <c r="AH866" s="38">
        <v>7.0000000000000007E-2</v>
      </c>
      <c r="AI866" s="38">
        <v>12.2</v>
      </c>
      <c r="AJ866" s="38">
        <v>1.58</v>
      </c>
      <c r="AK866" s="38"/>
      <c r="AL866" s="38">
        <v>326</v>
      </c>
      <c r="AM866" s="38"/>
      <c r="AN866" s="38"/>
      <c r="AO866" s="38"/>
      <c r="AP866" s="38"/>
      <c r="AQ866" s="38"/>
      <c r="AR866" s="38"/>
      <c r="AS866" s="38"/>
      <c r="AT866" s="38">
        <v>763</v>
      </c>
      <c r="AU866" s="38">
        <v>1156</v>
      </c>
      <c r="AV866" s="38">
        <v>428</v>
      </c>
      <c r="AW866" s="38">
        <v>2944</v>
      </c>
      <c r="AX866" s="38">
        <v>72.400000000000006</v>
      </c>
      <c r="AY866" s="38">
        <v>273</v>
      </c>
      <c r="AZ866" s="38"/>
      <c r="BA866" s="38"/>
      <c r="BB866" s="38"/>
    </row>
    <row r="867" spans="1:54">
      <c r="A867" s="38" t="s">
        <v>4643</v>
      </c>
      <c r="B867" s="38" t="s">
        <v>3471</v>
      </c>
      <c r="C867" s="38"/>
      <c r="D867" s="38" t="s">
        <v>3399</v>
      </c>
      <c r="E867" s="38"/>
      <c r="F867" s="38"/>
      <c r="G867" s="38" t="s">
        <v>3997</v>
      </c>
      <c r="H867" s="38" t="s">
        <v>3400</v>
      </c>
      <c r="I867" s="38" t="s">
        <v>4644</v>
      </c>
      <c r="J867" s="38"/>
      <c r="K867" s="38">
        <v>500</v>
      </c>
      <c r="L867" s="38"/>
      <c r="M867" s="38">
        <v>64.5</v>
      </c>
      <c r="N867" s="38"/>
      <c r="O867" s="38">
        <v>0.77</v>
      </c>
      <c r="P867" s="38">
        <v>1.99</v>
      </c>
      <c r="Q867" s="38"/>
      <c r="R867" s="38">
        <v>7.9</v>
      </c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  <c r="AH867" s="38"/>
      <c r="AI867" s="38"/>
      <c r="AJ867" s="38"/>
      <c r="AK867" s="38"/>
      <c r="AL867" s="38"/>
      <c r="AM867" s="38"/>
      <c r="AN867" s="38">
        <v>77.900000000000006</v>
      </c>
      <c r="AO867" s="38"/>
      <c r="AP867" s="38"/>
      <c r="AQ867" s="38"/>
      <c r="AR867" s="38"/>
      <c r="AS867" s="38"/>
      <c r="AT867" s="38"/>
      <c r="AU867" s="38"/>
      <c r="AV867" s="38"/>
      <c r="AW867" s="38"/>
      <c r="AX867" s="38"/>
      <c r="AY867" s="38"/>
      <c r="AZ867" s="38"/>
      <c r="BA867" s="38"/>
      <c r="BB867" s="38"/>
    </row>
    <row r="868" spans="1:54">
      <c r="A868" s="38" t="s">
        <v>4645</v>
      </c>
      <c r="B868" s="38" t="s">
        <v>3409</v>
      </c>
      <c r="C868" s="38" t="s">
        <v>4646</v>
      </c>
      <c r="D868" s="38" t="s">
        <v>3399</v>
      </c>
      <c r="E868" s="38"/>
      <c r="F868" s="38"/>
      <c r="G868" s="38" t="s">
        <v>3997</v>
      </c>
      <c r="H868" s="38" t="s">
        <v>3400</v>
      </c>
      <c r="I868" s="38" t="s">
        <v>4647</v>
      </c>
      <c r="J868" s="38"/>
      <c r="K868" s="38">
        <v>450</v>
      </c>
      <c r="L868" s="38"/>
      <c r="M868" s="38"/>
      <c r="N868" s="38">
        <v>53</v>
      </c>
      <c r="O868" s="38">
        <v>1</v>
      </c>
      <c r="P868" s="38">
        <v>3.6</v>
      </c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>
        <v>3.3</v>
      </c>
      <c r="AH868" s="38"/>
      <c r="AI868" s="38">
        <v>5.3</v>
      </c>
      <c r="AJ868" s="38"/>
      <c r="AK868" s="38"/>
      <c r="AL868" s="38"/>
      <c r="AM868" s="38"/>
      <c r="AN868" s="38"/>
      <c r="AO868" s="38"/>
      <c r="AP868" s="38"/>
      <c r="AQ868" s="38"/>
      <c r="AR868" s="38"/>
      <c r="AS868" s="38"/>
      <c r="AT868" s="38"/>
      <c r="AU868" s="38">
        <v>150</v>
      </c>
      <c r="AV868" s="38">
        <v>36.6</v>
      </c>
      <c r="AW868" s="38">
        <v>542</v>
      </c>
      <c r="AX868" s="38"/>
      <c r="AY868" s="38">
        <v>56.5</v>
      </c>
      <c r="AZ868" s="38"/>
      <c r="BA868" s="38"/>
      <c r="BB868" s="38"/>
    </row>
    <row r="869" spans="1:54">
      <c r="A869" s="38" t="s">
        <v>4648</v>
      </c>
      <c r="B869" s="38" t="s">
        <v>3652</v>
      </c>
      <c r="C869" s="38" t="s">
        <v>4604</v>
      </c>
      <c r="D869" s="38" t="s">
        <v>3399</v>
      </c>
      <c r="E869" s="38"/>
      <c r="F869" s="38"/>
      <c r="G869" s="38" t="s">
        <v>4649</v>
      </c>
      <c r="H869" s="38" t="s">
        <v>3400</v>
      </c>
      <c r="I869" s="38" t="s">
        <v>4650</v>
      </c>
      <c r="J869" s="38"/>
      <c r="K869" s="38">
        <v>350</v>
      </c>
      <c r="L869" s="38"/>
      <c r="M869" s="38"/>
      <c r="N869" s="38">
        <v>69.7</v>
      </c>
      <c r="O869" s="38">
        <v>0.6</v>
      </c>
      <c r="P869" s="38"/>
      <c r="Q869" s="38"/>
      <c r="R869" s="38">
        <v>7.1</v>
      </c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38"/>
      <c r="AI869" s="38"/>
      <c r="AJ869" s="38"/>
      <c r="AK869" s="38"/>
      <c r="AL869" s="38"/>
      <c r="AM869" s="38"/>
      <c r="AN869" s="38">
        <v>32.5</v>
      </c>
      <c r="AO869" s="38"/>
      <c r="AP869" s="38"/>
      <c r="AQ869" s="38"/>
      <c r="AR869" s="38"/>
      <c r="AS869" s="38"/>
      <c r="AT869" s="38"/>
      <c r="AU869" s="38"/>
      <c r="AV869" s="38"/>
      <c r="AW869" s="38"/>
      <c r="AX869" s="38"/>
      <c r="AY869" s="38"/>
      <c r="AZ869" s="38"/>
      <c r="BA869" s="38"/>
      <c r="BB869" s="38"/>
    </row>
    <row r="870" spans="1:54">
      <c r="A870" s="38" t="s">
        <v>4648</v>
      </c>
      <c r="B870" s="38" t="s">
        <v>3652</v>
      </c>
      <c r="C870" s="38" t="s">
        <v>4604</v>
      </c>
      <c r="D870" s="38" t="s">
        <v>3399</v>
      </c>
      <c r="E870" s="38"/>
      <c r="F870" s="38"/>
      <c r="G870" s="38" t="s">
        <v>4651</v>
      </c>
      <c r="H870" s="38" t="s">
        <v>3400</v>
      </c>
      <c r="I870" s="38" t="s">
        <v>4650</v>
      </c>
      <c r="J870" s="38"/>
      <c r="K870" s="38">
        <v>350</v>
      </c>
      <c r="L870" s="38"/>
      <c r="M870" s="38"/>
      <c r="N870" s="38">
        <v>81.099999999999994</v>
      </c>
      <c r="O870" s="38">
        <v>0.7</v>
      </c>
      <c r="P870" s="38"/>
      <c r="Q870" s="38"/>
      <c r="R870" s="38">
        <v>8.8000000000000007</v>
      </c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38"/>
      <c r="AI870" s="38"/>
      <c r="AJ870" s="38"/>
      <c r="AK870" s="38"/>
      <c r="AL870" s="38"/>
      <c r="AM870" s="38"/>
      <c r="AN870" s="38">
        <v>57.8</v>
      </c>
      <c r="AO870" s="38"/>
      <c r="AP870" s="38"/>
      <c r="AQ870" s="38"/>
      <c r="AR870" s="38"/>
      <c r="AS870" s="38"/>
      <c r="AT870" s="38"/>
      <c r="AU870" s="38"/>
      <c r="AV870" s="38"/>
      <c r="AW870" s="38"/>
      <c r="AX870" s="38"/>
      <c r="AY870" s="38"/>
      <c r="AZ870" s="38"/>
      <c r="BA870" s="38"/>
      <c r="BB870" s="38"/>
    </row>
    <row r="871" spans="1:54">
      <c r="A871" s="38" t="s">
        <v>3992</v>
      </c>
      <c r="B871" s="38" t="s">
        <v>3424</v>
      </c>
      <c r="C871" s="38"/>
      <c r="D871" s="38" t="s">
        <v>3399</v>
      </c>
      <c r="E871" s="38"/>
      <c r="F871" s="38"/>
      <c r="G871" s="38" t="s">
        <v>3997</v>
      </c>
      <c r="H871" s="38" t="s">
        <v>3400</v>
      </c>
      <c r="I871" s="38" t="s">
        <v>4652</v>
      </c>
      <c r="J871" s="38"/>
      <c r="K871" s="38">
        <v>450</v>
      </c>
      <c r="L871" s="38"/>
      <c r="M871" s="38"/>
      <c r="N871" s="38">
        <v>68.599999999999994</v>
      </c>
      <c r="O871" s="38">
        <v>0.79</v>
      </c>
      <c r="P871" s="38"/>
      <c r="Q871" s="38"/>
      <c r="R871" s="38">
        <v>9.81</v>
      </c>
      <c r="S871" s="38">
        <v>2.9449999999999998</v>
      </c>
      <c r="T871" s="38"/>
      <c r="U871" s="38"/>
      <c r="V871" s="38"/>
      <c r="W871" s="38"/>
      <c r="X871" s="38"/>
      <c r="Y871" s="38"/>
      <c r="Z871" s="38"/>
      <c r="AA871" s="38"/>
      <c r="AB871" s="38"/>
      <c r="AC871" s="38">
        <v>41</v>
      </c>
      <c r="AD871" s="38"/>
      <c r="AE871" s="38"/>
      <c r="AF871" s="38"/>
      <c r="AG871" s="38"/>
      <c r="AH871" s="38"/>
      <c r="AI871" s="38">
        <v>99</v>
      </c>
      <c r="AJ871" s="38"/>
      <c r="AK871" s="38"/>
      <c r="AL871" s="38"/>
      <c r="AM871" s="38"/>
      <c r="AN871" s="38"/>
      <c r="AO871" s="38"/>
      <c r="AP871" s="38"/>
      <c r="AQ871" s="38"/>
      <c r="AR871" s="38"/>
      <c r="AS871" s="38"/>
      <c r="AT871" s="38">
        <v>2981</v>
      </c>
      <c r="AU871" s="38"/>
      <c r="AV871" s="38"/>
      <c r="AW871" s="38">
        <v>22331</v>
      </c>
      <c r="AX871" s="38"/>
      <c r="AY871" s="38"/>
      <c r="AZ871" s="38"/>
      <c r="BA871" s="38"/>
      <c r="BB871" s="38"/>
    </row>
    <row r="872" spans="1:54">
      <c r="A872" s="38" t="s">
        <v>4653</v>
      </c>
      <c r="B872" s="38" t="s">
        <v>3652</v>
      </c>
      <c r="C872" s="38" t="s">
        <v>4604</v>
      </c>
      <c r="D872" s="38" t="s">
        <v>3399</v>
      </c>
      <c r="E872" s="38"/>
      <c r="F872" s="38"/>
      <c r="G872" s="38" t="s">
        <v>3997</v>
      </c>
      <c r="H872" s="38" t="s">
        <v>3400</v>
      </c>
      <c r="I872" s="38" t="s">
        <v>4654</v>
      </c>
      <c r="J872" s="38">
        <v>2.4</v>
      </c>
      <c r="K872" s="38">
        <v>300</v>
      </c>
      <c r="L872" s="38">
        <v>4.9000000000000004</v>
      </c>
      <c r="M872" s="38"/>
      <c r="N872" s="38">
        <v>67.209999999999994</v>
      </c>
      <c r="O872" s="38">
        <v>0.67</v>
      </c>
      <c r="P872" s="38">
        <v>4.49</v>
      </c>
      <c r="Q872" s="38">
        <v>27.63</v>
      </c>
      <c r="R872" s="38">
        <v>8.1</v>
      </c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38"/>
      <c r="AI872" s="38"/>
      <c r="AJ872" s="38"/>
      <c r="AK872" s="38"/>
      <c r="AL872" s="38"/>
      <c r="AM872" s="38"/>
      <c r="AN872" s="38"/>
      <c r="AO872" s="38"/>
      <c r="AP872" s="38">
        <v>43.6</v>
      </c>
      <c r="AQ872" s="38">
        <v>61.8</v>
      </c>
      <c r="AR872" s="38" t="s">
        <v>3792</v>
      </c>
      <c r="AS872" s="38"/>
      <c r="AT872" s="38"/>
      <c r="AU872" s="38"/>
      <c r="AV872" s="38"/>
      <c r="AW872" s="38"/>
      <c r="AX872" s="38"/>
      <c r="AY872" s="38"/>
      <c r="AZ872" s="38"/>
      <c r="BA872" s="38"/>
      <c r="BB872" s="38"/>
    </row>
    <row r="873" spans="1:54">
      <c r="A873" s="38" t="s">
        <v>4655</v>
      </c>
      <c r="B873" s="38" t="s">
        <v>3652</v>
      </c>
      <c r="C873" s="38" t="s">
        <v>4604</v>
      </c>
      <c r="D873" s="38" t="s">
        <v>3399</v>
      </c>
      <c r="E873" s="38"/>
      <c r="F873" s="38"/>
      <c r="G873" s="38" t="s">
        <v>3997</v>
      </c>
      <c r="H873" s="38" t="s">
        <v>3400</v>
      </c>
      <c r="I873" s="38" t="s">
        <v>4654</v>
      </c>
      <c r="J873" s="38">
        <v>2.1</v>
      </c>
      <c r="K873" s="38">
        <v>400</v>
      </c>
      <c r="L873" s="38">
        <v>5.4</v>
      </c>
      <c r="M873" s="38"/>
      <c r="N873" s="38">
        <v>79.650000000000006</v>
      </c>
      <c r="O873" s="38">
        <v>0.67</v>
      </c>
      <c r="P873" s="38">
        <v>3.96</v>
      </c>
      <c r="Q873" s="38">
        <v>15.72</v>
      </c>
      <c r="R873" s="38">
        <v>9.1</v>
      </c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  <c r="AH873" s="38"/>
      <c r="AI873" s="38"/>
      <c r="AJ873" s="38"/>
      <c r="AK873" s="38"/>
      <c r="AL873" s="38"/>
      <c r="AM873" s="38"/>
      <c r="AN873" s="38"/>
      <c r="AO873" s="38"/>
      <c r="AP873" s="38">
        <v>20.8</v>
      </c>
      <c r="AQ873" s="38">
        <v>180.1</v>
      </c>
      <c r="AR873" s="38" t="s">
        <v>3792</v>
      </c>
      <c r="AS873" s="38"/>
      <c r="AT873" s="38"/>
      <c r="AU873" s="38"/>
      <c r="AV873" s="38"/>
      <c r="AW873" s="38"/>
      <c r="AX873" s="38"/>
      <c r="AY873" s="38"/>
      <c r="AZ873" s="38"/>
      <c r="BA873" s="38"/>
      <c r="BB873" s="38"/>
    </row>
    <row r="874" spans="1:54">
      <c r="A874" s="38" t="s">
        <v>4656</v>
      </c>
      <c r="B874" s="38" t="s">
        <v>3652</v>
      </c>
      <c r="C874" s="38" t="s">
        <v>4604</v>
      </c>
      <c r="D874" s="38" t="s">
        <v>3399</v>
      </c>
      <c r="E874" s="38"/>
      <c r="F874" s="38"/>
      <c r="G874" s="38" t="s">
        <v>3997</v>
      </c>
      <c r="H874" s="38" t="s">
        <v>3400</v>
      </c>
      <c r="I874" s="38" t="s">
        <v>4654</v>
      </c>
      <c r="J874" s="38">
        <v>1.6</v>
      </c>
      <c r="K874" s="38">
        <v>500</v>
      </c>
      <c r="L874" s="38">
        <v>8.1999999999999993</v>
      </c>
      <c r="M874" s="38"/>
      <c r="N874" s="38">
        <v>83.27</v>
      </c>
      <c r="O874" s="38">
        <v>0.78</v>
      </c>
      <c r="P874" s="38">
        <v>3.33</v>
      </c>
      <c r="Q874" s="38">
        <v>12.62</v>
      </c>
      <c r="R874" s="38">
        <v>9.3000000000000007</v>
      </c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38"/>
      <c r="AI874" s="38"/>
      <c r="AJ874" s="38"/>
      <c r="AK874" s="38"/>
      <c r="AL874" s="38"/>
      <c r="AM874" s="38"/>
      <c r="AN874" s="38"/>
      <c r="AO874" s="38"/>
      <c r="AP874" s="38">
        <v>8.6</v>
      </c>
      <c r="AQ874" s="38">
        <v>212.6</v>
      </c>
      <c r="AR874" s="38" t="s">
        <v>3792</v>
      </c>
      <c r="AS874" s="38"/>
      <c r="AT874" s="38"/>
      <c r="AU874" s="38"/>
      <c r="AV874" s="38"/>
      <c r="AW874" s="38"/>
      <c r="AX874" s="38"/>
      <c r="AY874" s="38"/>
      <c r="AZ874" s="38"/>
      <c r="BA874" s="38"/>
      <c r="BB874" s="38"/>
    </row>
    <row r="875" spans="1:54">
      <c r="A875" s="38" t="s">
        <v>4591</v>
      </c>
      <c r="B875" s="38" t="s">
        <v>3652</v>
      </c>
      <c r="C875" s="38" t="s">
        <v>4604</v>
      </c>
      <c r="D875" s="38" t="s">
        <v>3399</v>
      </c>
      <c r="E875" s="38"/>
      <c r="F875" s="38"/>
      <c r="G875" s="38" t="s">
        <v>3997</v>
      </c>
      <c r="H875" s="38" t="s">
        <v>3400</v>
      </c>
      <c r="I875" s="38" t="s">
        <v>4654</v>
      </c>
      <c r="J875" s="38">
        <v>1.7</v>
      </c>
      <c r="K875" s="38">
        <v>600</v>
      </c>
      <c r="L875" s="38">
        <v>8.6999999999999993</v>
      </c>
      <c r="M875" s="38"/>
      <c r="N875" s="38">
        <v>84.31</v>
      </c>
      <c r="O875" s="38">
        <v>0.76</v>
      </c>
      <c r="P875" s="38">
        <v>2.41</v>
      </c>
      <c r="Q875" s="38">
        <v>12.52</v>
      </c>
      <c r="R875" s="38">
        <v>10.4</v>
      </c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  <c r="AH875" s="38"/>
      <c r="AI875" s="38"/>
      <c r="AJ875" s="38"/>
      <c r="AK875" s="38"/>
      <c r="AL875" s="38"/>
      <c r="AM875" s="38"/>
      <c r="AN875" s="38"/>
      <c r="AO875" s="38"/>
      <c r="AP875" s="38">
        <v>7.2</v>
      </c>
      <c r="AQ875" s="38">
        <v>192.9</v>
      </c>
      <c r="AR875" s="38" t="s">
        <v>3792</v>
      </c>
      <c r="AS875" s="38"/>
      <c r="AT875" s="38"/>
      <c r="AU875" s="38"/>
      <c r="AV875" s="38"/>
      <c r="AW875" s="38"/>
      <c r="AX875" s="38"/>
      <c r="AY875" s="38"/>
      <c r="AZ875" s="38"/>
      <c r="BA875" s="38"/>
      <c r="BB875" s="38"/>
    </row>
    <row r="876" spans="1:54">
      <c r="A876" s="38" t="s">
        <v>4114</v>
      </c>
      <c r="B876" s="38" t="s">
        <v>3424</v>
      </c>
      <c r="C876" s="38"/>
      <c r="D876" s="38" t="s">
        <v>3399</v>
      </c>
      <c r="E876" s="38"/>
      <c r="F876" s="38"/>
      <c r="G876" s="38" t="s">
        <v>3997</v>
      </c>
      <c r="H876" s="38" t="s">
        <v>3400</v>
      </c>
      <c r="I876" s="38" t="s">
        <v>4654</v>
      </c>
      <c r="J876" s="38">
        <v>1.8</v>
      </c>
      <c r="K876" s="38">
        <v>500</v>
      </c>
      <c r="L876" s="38">
        <v>12.7</v>
      </c>
      <c r="M876" s="38"/>
      <c r="N876" s="38">
        <v>77.34</v>
      </c>
      <c r="O876" s="38">
        <v>2.79</v>
      </c>
      <c r="P876" s="38">
        <v>2.64</v>
      </c>
      <c r="Q876" s="38">
        <v>17.23</v>
      </c>
      <c r="R876" s="38">
        <v>10.1</v>
      </c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38"/>
      <c r="AI876" s="38"/>
      <c r="AJ876" s="38"/>
      <c r="AK876" s="38"/>
      <c r="AL876" s="38"/>
      <c r="AM876" s="38"/>
      <c r="AN876" s="38"/>
      <c r="AO876" s="38"/>
      <c r="AP876" s="38">
        <v>8.9</v>
      </c>
      <c r="AQ876" s="38">
        <v>201.3</v>
      </c>
      <c r="AR876" s="38" t="s">
        <v>3792</v>
      </c>
      <c r="AS876" s="38"/>
      <c r="AT876" s="38"/>
      <c r="AU876" s="38"/>
      <c r="AV876" s="38"/>
      <c r="AW876" s="38"/>
      <c r="AX876" s="38"/>
      <c r="AY876" s="38"/>
      <c r="AZ876" s="38"/>
      <c r="BA876" s="38"/>
      <c r="BB876" s="38"/>
    </row>
    <row r="877" spans="1:54">
      <c r="A877" s="38" t="s">
        <v>4027</v>
      </c>
      <c r="B877" s="38" t="s">
        <v>3652</v>
      </c>
      <c r="C877" s="38" t="s">
        <v>4657</v>
      </c>
      <c r="D877" s="38" t="s">
        <v>3399</v>
      </c>
      <c r="E877" s="38"/>
      <c r="F877" s="38"/>
      <c r="G877" s="38" t="s">
        <v>3997</v>
      </c>
      <c r="H877" s="38" t="s">
        <v>3400</v>
      </c>
      <c r="I877" s="38" t="s">
        <v>4654</v>
      </c>
      <c r="J877" s="38">
        <v>1.2</v>
      </c>
      <c r="K877" s="38">
        <v>500</v>
      </c>
      <c r="L877" s="38">
        <v>5.0999999999999996</v>
      </c>
      <c r="M877" s="38"/>
      <c r="N877" s="38">
        <v>87.61</v>
      </c>
      <c r="O877" s="38">
        <v>0.93</v>
      </c>
      <c r="P877" s="38">
        <v>2.15</v>
      </c>
      <c r="Q877" s="38">
        <v>9.31</v>
      </c>
      <c r="R877" s="38">
        <v>9.5</v>
      </c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  <c r="AH877" s="38"/>
      <c r="AI877" s="38"/>
      <c r="AJ877" s="38"/>
      <c r="AK877" s="38"/>
      <c r="AL877" s="38"/>
      <c r="AM877" s="38"/>
      <c r="AN877" s="38"/>
      <c r="AO877" s="38"/>
      <c r="AP877" s="38">
        <v>13.1</v>
      </c>
      <c r="AQ877" s="38">
        <v>243.1</v>
      </c>
      <c r="AR877" s="38" t="s">
        <v>3792</v>
      </c>
      <c r="AS877" s="38"/>
      <c r="AT877" s="38"/>
      <c r="AU877" s="38"/>
      <c r="AV877" s="38"/>
      <c r="AW877" s="38"/>
      <c r="AX877" s="38"/>
      <c r="AY877" s="38"/>
      <c r="AZ877" s="38"/>
      <c r="BA877" s="38"/>
      <c r="BB877" s="38"/>
    </row>
    <row r="878" spans="1:54">
      <c r="A878" s="38" t="s">
        <v>4658</v>
      </c>
      <c r="B878" s="38" t="s">
        <v>3455</v>
      </c>
      <c r="C878" s="38" t="s">
        <v>4659</v>
      </c>
      <c r="D878" s="38" t="s">
        <v>3399</v>
      </c>
      <c r="E878" s="38"/>
      <c r="F878" s="38"/>
      <c r="G878" s="38" t="s">
        <v>4660</v>
      </c>
      <c r="H878" s="38" t="s">
        <v>3400</v>
      </c>
      <c r="I878" s="38" t="s">
        <v>4661</v>
      </c>
      <c r="J878" s="38"/>
      <c r="K878" s="38">
        <v>400</v>
      </c>
      <c r="L878" s="38"/>
      <c r="M878" s="38"/>
      <c r="N878" s="38">
        <v>89</v>
      </c>
      <c r="O878" s="38">
        <v>0.26</v>
      </c>
      <c r="P878" s="38"/>
      <c r="Q878" s="38"/>
      <c r="R878" s="38">
        <v>8.1</v>
      </c>
      <c r="S878" s="38">
        <v>0.10299999999999999</v>
      </c>
      <c r="T878" s="38"/>
      <c r="U878" s="38"/>
      <c r="V878" s="38"/>
      <c r="W878" s="38"/>
      <c r="X878" s="38"/>
      <c r="Y878" s="38"/>
      <c r="Z878" s="38"/>
      <c r="AA878" s="38">
        <v>35</v>
      </c>
      <c r="AB878" s="38"/>
      <c r="AC878" s="38">
        <v>12</v>
      </c>
      <c r="AD878" s="38"/>
      <c r="AE878" s="38"/>
      <c r="AF878" s="38"/>
      <c r="AG878" s="38"/>
      <c r="AH878" s="38"/>
      <c r="AI878" s="38">
        <v>33</v>
      </c>
      <c r="AJ878" s="38"/>
      <c r="AK878" s="38"/>
      <c r="AL878" s="38"/>
      <c r="AM878" s="38"/>
      <c r="AN878" s="38"/>
      <c r="AO878" s="38"/>
      <c r="AP878" s="38"/>
      <c r="AQ878" s="38"/>
      <c r="AR878" s="38"/>
      <c r="AS878" s="38"/>
      <c r="AT878" s="38">
        <v>490</v>
      </c>
      <c r="AU878" s="38">
        <v>6700000</v>
      </c>
      <c r="AV878" s="38">
        <v>990000</v>
      </c>
      <c r="AW878" s="38">
        <v>3900000</v>
      </c>
      <c r="AX878" s="38"/>
      <c r="AY878" s="38">
        <v>3900</v>
      </c>
      <c r="AZ878" s="38"/>
      <c r="BA878" s="38"/>
      <c r="BB878" s="38"/>
    </row>
    <row r="879" spans="1:54">
      <c r="A879" s="38" t="s">
        <v>4662</v>
      </c>
      <c r="B879" s="38" t="s">
        <v>3471</v>
      </c>
      <c r="C879" s="38" t="s">
        <v>4663</v>
      </c>
      <c r="D879" s="38" t="s">
        <v>3399</v>
      </c>
      <c r="E879" s="38"/>
      <c r="F879" s="38"/>
      <c r="G879" s="38" t="s">
        <v>4660</v>
      </c>
      <c r="H879" s="38" t="s">
        <v>3400</v>
      </c>
      <c r="I879" s="38" t="s">
        <v>4661</v>
      </c>
      <c r="J879" s="38"/>
      <c r="K879" s="38">
        <v>400</v>
      </c>
      <c r="L879" s="38"/>
      <c r="M879" s="38"/>
      <c r="N879" s="38">
        <v>87</v>
      </c>
      <c r="O879" s="38">
        <v>0.62</v>
      </c>
      <c r="P879" s="38"/>
      <c r="Q879" s="38"/>
      <c r="R879" s="38">
        <v>7.9</v>
      </c>
      <c r="S879" s="38">
        <v>0.18</v>
      </c>
      <c r="T879" s="38"/>
      <c r="U879" s="38"/>
      <c r="V879" s="38"/>
      <c r="W879" s="38"/>
      <c r="X879" s="38"/>
      <c r="Y879" s="38"/>
      <c r="Z879" s="38"/>
      <c r="AA879" s="38">
        <v>91</v>
      </c>
      <c r="AB879" s="38"/>
      <c r="AC879" s="38">
        <v>40</v>
      </c>
      <c r="AD879" s="38"/>
      <c r="AE879" s="38"/>
      <c r="AF879" s="38"/>
      <c r="AG879" s="38"/>
      <c r="AH879" s="38"/>
      <c r="AI879" s="38">
        <v>65</v>
      </c>
      <c r="AJ879" s="38"/>
      <c r="AK879" s="38"/>
      <c r="AL879" s="38"/>
      <c r="AM879" s="38"/>
      <c r="AN879" s="38"/>
      <c r="AO879" s="38"/>
      <c r="AP879" s="38"/>
      <c r="AQ879" s="38"/>
      <c r="AR879" s="38"/>
      <c r="AS879" s="38"/>
      <c r="AT879" s="38">
        <v>880</v>
      </c>
      <c r="AU879" s="38">
        <v>35000000</v>
      </c>
      <c r="AV879" s="38">
        <v>2300000</v>
      </c>
      <c r="AW879" s="38">
        <v>8600000</v>
      </c>
      <c r="AX879" s="38"/>
      <c r="AY879" s="38">
        <v>13000</v>
      </c>
      <c r="AZ879" s="38"/>
      <c r="BA879" s="38"/>
      <c r="BB879" s="38"/>
    </row>
    <row r="880" spans="1:54">
      <c r="A880" s="38" t="s">
        <v>4664</v>
      </c>
      <c r="B880" s="38" t="s">
        <v>3652</v>
      </c>
      <c r="C880" s="38" t="s">
        <v>4665</v>
      </c>
      <c r="D880" s="38" t="s">
        <v>3399</v>
      </c>
      <c r="E880" s="38"/>
      <c r="F880" s="38"/>
      <c r="G880" s="38" t="s">
        <v>4660</v>
      </c>
      <c r="H880" s="38" t="s">
        <v>3400</v>
      </c>
      <c r="I880" s="38" t="s">
        <v>4661</v>
      </c>
      <c r="J880" s="38"/>
      <c r="K880" s="38">
        <v>400</v>
      </c>
      <c r="L880" s="38"/>
      <c r="M880" s="38"/>
      <c r="N880" s="38">
        <v>94</v>
      </c>
      <c r="O880" s="38">
        <v>1.1000000000000001</v>
      </c>
      <c r="P880" s="38"/>
      <c r="Q880" s="38"/>
      <c r="R880" s="38">
        <v>7.5</v>
      </c>
      <c r="S880" s="38">
        <v>0.23499999999999999</v>
      </c>
      <c r="T880" s="38"/>
      <c r="U880" s="38"/>
      <c r="V880" s="38"/>
      <c r="W880" s="38"/>
      <c r="X880" s="38"/>
      <c r="Y880" s="38"/>
      <c r="Z880" s="38"/>
      <c r="AA880" s="38">
        <v>46</v>
      </c>
      <c r="AB880" s="38"/>
      <c r="AC880" s="38">
        <v>29</v>
      </c>
      <c r="AD880" s="38"/>
      <c r="AE880" s="38"/>
      <c r="AF880" s="38"/>
      <c r="AG880" s="38"/>
      <c r="AH880" s="38"/>
      <c r="AI880" s="38">
        <v>91</v>
      </c>
      <c r="AJ880" s="38"/>
      <c r="AK880" s="38"/>
      <c r="AL880" s="38"/>
      <c r="AM880" s="38"/>
      <c r="AN880" s="38"/>
      <c r="AO880" s="38"/>
      <c r="AP880" s="38"/>
      <c r="AQ880" s="38"/>
      <c r="AR880" s="38"/>
      <c r="AS880" s="38"/>
      <c r="AT880" s="38">
        <v>1300</v>
      </c>
      <c r="AU880" s="38">
        <v>8000000</v>
      </c>
      <c r="AV880" s="38">
        <v>3100000</v>
      </c>
      <c r="AW880" s="38">
        <v>12000000</v>
      </c>
      <c r="AX880" s="38"/>
      <c r="AY880" s="38">
        <v>6000</v>
      </c>
      <c r="AZ880" s="38"/>
      <c r="BA880" s="38"/>
      <c r="BB880" s="38"/>
    </row>
    <row r="881" spans="1:54">
      <c r="A881" s="38" t="s">
        <v>4666</v>
      </c>
      <c r="B881" s="38" t="s">
        <v>3471</v>
      </c>
      <c r="C881" s="38" t="s">
        <v>4667</v>
      </c>
      <c r="D881" s="38" t="s">
        <v>3399</v>
      </c>
      <c r="E881" s="38"/>
      <c r="F881" s="38"/>
      <c r="G881" s="38" t="s">
        <v>4660</v>
      </c>
      <c r="H881" s="38" t="s">
        <v>3571</v>
      </c>
      <c r="I881" s="38" t="s">
        <v>4668</v>
      </c>
      <c r="J881" s="38"/>
      <c r="K881" s="38">
        <v>450</v>
      </c>
      <c r="L881" s="38"/>
      <c r="M881" s="38"/>
      <c r="N881" s="38">
        <v>74.599999999999994</v>
      </c>
      <c r="O881" s="38">
        <v>0.5</v>
      </c>
      <c r="P881" s="38">
        <v>3.6</v>
      </c>
      <c r="Q881" s="38">
        <v>21.3</v>
      </c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  <c r="AH881" s="38"/>
      <c r="AI881" s="38"/>
      <c r="AJ881" s="38"/>
      <c r="AK881" s="38"/>
      <c r="AL881" s="38"/>
      <c r="AM881" s="38"/>
      <c r="AN881" s="38"/>
      <c r="AO881" s="38"/>
      <c r="AP881" s="38"/>
      <c r="AQ881" s="38"/>
      <c r="AR881" s="38"/>
      <c r="AS881" s="38"/>
      <c r="AT881" s="38"/>
      <c r="AU881" s="38"/>
      <c r="AV881" s="38"/>
      <c r="AW881" s="38"/>
      <c r="AX881" s="38"/>
      <c r="AY881" s="38"/>
      <c r="AZ881" s="38"/>
      <c r="BA881" s="38"/>
      <c r="BB881" s="38"/>
    </row>
    <row r="882" spans="1:54">
      <c r="A882" s="38" t="s">
        <v>4669</v>
      </c>
      <c r="B882" s="38" t="s">
        <v>3471</v>
      </c>
      <c r="C882" s="38" t="s">
        <v>4670</v>
      </c>
      <c r="D882" s="38" t="s">
        <v>3399</v>
      </c>
      <c r="E882" s="38"/>
      <c r="F882" s="38"/>
      <c r="G882" s="38" t="s">
        <v>4660</v>
      </c>
      <c r="H882" s="38" t="s">
        <v>3400</v>
      </c>
      <c r="I882" s="38" t="s">
        <v>4668</v>
      </c>
      <c r="J882" s="38"/>
      <c r="K882" s="38">
        <v>500</v>
      </c>
      <c r="L882" s="38"/>
      <c r="M882" s="38"/>
      <c r="N882" s="38">
        <v>75.400000000000006</v>
      </c>
      <c r="O882" s="38">
        <v>0.5</v>
      </c>
      <c r="P882" s="38">
        <v>3.2</v>
      </c>
      <c r="Q882" s="38">
        <v>20.9</v>
      </c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  <c r="AH882" s="38"/>
      <c r="AI882" s="38"/>
      <c r="AJ882" s="38"/>
      <c r="AK882" s="38"/>
      <c r="AL882" s="38"/>
      <c r="AM882" s="38"/>
      <c r="AN882" s="38"/>
      <c r="AO882" s="38"/>
      <c r="AP882" s="38"/>
      <c r="AQ882" s="38"/>
      <c r="AR882" s="38"/>
      <c r="AS882" s="38"/>
      <c r="AT882" s="38"/>
      <c r="AU882" s="38"/>
      <c r="AV882" s="38"/>
      <c r="AW882" s="38"/>
      <c r="AX882" s="38"/>
      <c r="AY882" s="38"/>
      <c r="AZ882" s="38"/>
      <c r="BA882" s="38"/>
      <c r="BB882" s="38"/>
    </row>
    <row r="883" spans="1:54">
      <c r="A883" s="38" t="s">
        <v>4671</v>
      </c>
      <c r="B883" s="38" t="s">
        <v>3471</v>
      </c>
      <c r="C883" s="38" t="s">
        <v>4667</v>
      </c>
      <c r="D883" s="38" t="s">
        <v>3399</v>
      </c>
      <c r="E883" s="38"/>
      <c r="F883" s="38"/>
      <c r="G883" s="38" t="s">
        <v>4660</v>
      </c>
      <c r="H883" s="38" t="s">
        <v>3400</v>
      </c>
      <c r="I883" s="38" t="s">
        <v>4668</v>
      </c>
      <c r="J883" s="38"/>
      <c r="K883" s="38">
        <v>550</v>
      </c>
      <c r="L883" s="38"/>
      <c r="M883" s="38"/>
      <c r="N883" s="38">
        <v>80.3</v>
      </c>
      <c r="O883" s="38">
        <v>0.5</v>
      </c>
      <c r="P883" s="38">
        <v>3</v>
      </c>
      <c r="Q883" s="38">
        <v>16.2</v>
      </c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  <c r="AH883" s="38"/>
      <c r="AI883" s="38"/>
      <c r="AJ883" s="38"/>
      <c r="AK883" s="38"/>
      <c r="AL883" s="38"/>
      <c r="AM883" s="38"/>
      <c r="AN883" s="38"/>
      <c r="AO883" s="38"/>
      <c r="AP883" s="38"/>
      <c r="AQ883" s="38"/>
      <c r="AR883" s="38"/>
      <c r="AS883" s="38"/>
      <c r="AT883" s="38"/>
      <c r="AU883" s="38"/>
      <c r="AV883" s="38"/>
      <c r="AW883" s="38"/>
      <c r="AX883" s="38"/>
      <c r="AY883" s="38"/>
      <c r="AZ883" s="38"/>
      <c r="BA883" s="38"/>
      <c r="BB883" s="38"/>
    </row>
    <row r="884" spans="1:54">
      <c r="A884" s="38" t="s">
        <v>4672</v>
      </c>
      <c r="B884" s="38" t="s">
        <v>3652</v>
      </c>
      <c r="C884" s="38" t="s">
        <v>4673</v>
      </c>
      <c r="D884" s="38" t="s">
        <v>3399</v>
      </c>
      <c r="E884" s="38"/>
      <c r="F884" s="38"/>
      <c r="G884" s="38" t="s">
        <v>3997</v>
      </c>
      <c r="H884" s="38" t="s">
        <v>3400</v>
      </c>
      <c r="I884" s="38" t="s">
        <v>4674</v>
      </c>
      <c r="J884" s="38"/>
      <c r="K884" s="38">
        <v>450</v>
      </c>
      <c r="L884" s="38"/>
      <c r="M884" s="38">
        <v>1.48</v>
      </c>
      <c r="N884" s="38"/>
      <c r="O884" s="38">
        <v>0.16400000000000001</v>
      </c>
      <c r="P884" s="38"/>
      <c r="Q884" s="38"/>
      <c r="R884" s="38">
        <v>8.24</v>
      </c>
      <c r="S884" s="38">
        <v>0.18</v>
      </c>
      <c r="T884" s="38"/>
      <c r="U884" s="38"/>
      <c r="V884" s="38"/>
      <c r="W884" s="38"/>
      <c r="X884" s="38"/>
      <c r="Y884" s="38"/>
      <c r="Z884" s="38"/>
      <c r="AA884" s="38"/>
      <c r="AB884" s="38"/>
      <c r="AC884" s="38">
        <v>3.8</v>
      </c>
      <c r="AD884" s="38"/>
      <c r="AE884" s="38"/>
      <c r="AF884" s="38"/>
      <c r="AG884" s="38"/>
      <c r="AH884" s="38"/>
      <c r="AI884" s="38">
        <v>1</v>
      </c>
      <c r="AJ884" s="38"/>
      <c r="AK884" s="38"/>
      <c r="AL884" s="38"/>
      <c r="AM884" s="38"/>
      <c r="AN884" s="38"/>
      <c r="AO884" s="38"/>
      <c r="AP884" s="38"/>
      <c r="AQ884" s="38"/>
      <c r="AR884" s="38"/>
      <c r="AS884" s="38"/>
      <c r="AT884" s="38">
        <v>21</v>
      </c>
      <c r="AU884" s="38"/>
      <c r="AV884" s="38">
        <v>345.3</v>
      </c>
      <c r="AW884" s="38">
        <v>1004</v>
      </c>
      <c r="AX884" s="38"/>
      <c r="AY884" s="38">
        <v>26</v>
      </c>
      <c r="AZ884" s="38"/>
      <c r="BA884" s="38"/>
      <c r="BB884" s="38"/>
    </row>
    <row r="885" spans="1:54">
      <c r="A885" s="38" t="s">
        <v>4374</v>
      </c>
      <c r="B885" s="38" t="s">
        <v>3652</v>
      </c>
      <c r="C885" s="38" t="s">
        <v>4675</v>
      </c>
      <c r="D885" s="38" t="s">
        <v>3399</v>
      </c>
      <c r="E885" s="38"/>
      <c r="F885" s="38"/>
      <c r="G885" s="38" t="s">
        <v>3997</v>
      </c>
      <c r="H885" s="38" t="s">
        <v>3400</v>
      </c>
      <c r="I885" s="38" t="s">
        <v>4676</v>
      </c>
      <c r="J885" s="38"/>
      <c r="K885" s="38">
        <v>620</v>
      </c>
      <c r="L885" s="38">
        <v>10.6</v>
      </c>
      <c r="M885" s="38"/>
      <c r="N885" s="38">
        <v>75.7</v>
      </c>
      <c r="O885" s="38">
        <v>0.3</v>
      </c>
      <c r="P885" s="38">
        <v>1.8</v>
      </c>
      <c r="Q885" s="38">
        <v>11.6</v>
      </c>
      <c r="R885" s="38">
        <v>10.4</v>
      </c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  <c r="AG885" s="38"/>
      <c r="AH885" s="38"/>
      <c r="AI885" s="38"/>
      <c r="AJ885" s="38"/>
      <c r="AK885" s="38"/>
      <c r="AL885" s="38"/>
      <c r="AM885" s="38"/>
      <c r="AN885" s="38"/>
      <c r="AO885" s="38"/>
      <c r="AP885" s="38"/>
      <c r="AQ885" s="38">
        <v>402.7</v>
      </c>
      <c r="AR885" s="38" t="s">
        <v>3792</v>
      </c>
      <c r="AS885" s="38"/>
      <c r="AT885" s="38"/>
      <c r="AU885" s="38"/>
      <c r="AV885" s="38"/>
      <c r="AW885" s="38"/>
      <c r="AX885" s="38"/>
      <c r="AY885" s="38"/>
      <c r="AZ885" s="38"/>
      <c r="BA885" s="38"/>
      <c r="BB885" s="38"/>
    </row>
    <row r="886" spans="1:54">
      <c r="A886" s="38" t="s">
        <v>4030</v>
      </c>
      <c r="B886" s="38" t="s">
        <v>1948</v>
      </c>
      <c r="C886" s="38" t="s">
        <v>4550</v>
      </c>
      <c r="D886" s="38" t="s">
        <v>3399</v>
      </c>
      <c r="E886" s="38"/>
      <c r="F886" s="38"/>
      <c r="G886" s="38" t="s">
        <v>3997</v>
      </c>
      <c r="H886" s="38" t="s">
        <v>3400</v>
      </c>
      <c r="I886" s="38" t="s">
        <v>4676</v>
      </c>
      <c r="J886" s="38"/>
      <c r="K886" s="38">
        <v>500</v>
      </c>
      <c r="L886" s="38">
        <v>25.1</v>
      </c>
      <c r="M886" s="38"/>
      <c r="N886" s="38">
        <v>50.9</v>
      </c>
      <c r="O886" s="38">
        <v>1.4</v>
      </c>
      <c r="P886" s="38">
        <v>2</v>
      </c>
      <c r="Q886" s="38">
        <v>20.6</v>
      </c>
      <c r="R886" s="38">
        <v>10.4</v>
      </c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  <c r="AH886" s="38"/>
      <c r="AI886" s="38"/>
      <c r="AJ886" s="38"/>
      <c r="AK886" s="38"/>
      <c r="AL886" s="38"/>
      <c r="AM886" s="38"/>
      <c r="AN886" s="38"/>
      <c r="AO886" s="38"/>
      <c r="AP886" s="38"/>
      <c r="AQ886" s="38">
        <v>116.9</v>
      </c>
      <c r="AR886" s="38" t="s">
        <v>3792</v>
      </c>
      <c r="AS886" s="38"/>
      <c r="AT886" s="38"/>
      <c r="AU886" s="38"/>
      <c r="AV886" s="38"/>
      <c r="AW886" s="38"/>
      <c r="AX886" s="38"/>
      <c r="AY886" s="38"/>
      <c r="AZ886" s="38"/>
      <c r="BA886" s="38"/>
      <c r="BB886" s="38"/>
    </row>
    <row r="887" spans="1:54">
      <c r="A887" s="38" t="s">
        <v>4348</v>
      </c>
      <c r="B887" s="38" t="s">
        <v>1948</v>
      </c>
      <c r="C887" s="38" t="s">
        <v>2026</v>
      </c>
      <c r="D887" s="38" t="s">
        <v>3399</v>
      </c>
      <c r="E887" s="38"/>
      <c r="F887" s="38"/>
      <c r="G887" s="38" t="s">
        <v>3997</v>
      </c>
      <c r="H887" s="38" t="s">
        <v>3400</v>
      </c>
      <c r="I887" s="38" t="s">
        <v>4676</v>
      </c>
      <c r="J887" s="38"/>
      <c r="K887" s="38">
        <v>600</v>
      </c>
      <c r="L887" s="38">
        <v>69.5</v>
      </c>
      <c r="M887" s="38"/>
      <c r="N887" s="38">
        <v>17.899999999999999</v>
      </c>
      <c r="O887" s="38">
        <v>2</v>
      </c>
      <c r="P887" s="38">
        <v>1.5</v>
      </c>
      <c r="Q887" s="38">
        <v>9.1999999999999993</v>
      </c>
      <c r="R887" s="38">
        <v>6.7</v>
      </c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  <c r="AG887" s="38"/>
      <c r="AH887" s="38"/>
      <c r="AI887" s="38"/>
      <c r="AJ887" s="38"/>
      <c r="AK887" s="38"/>
      <c r="AL887" s="38"/>
      <c r="AM887" s="38"/>
      <c r="AN887" s="38"/>
      <c r="AO887" s="38"/>
      <c r="AP887" s="38"/>
      <c r="AQ887" s="38">
        <v>67.3</v>
      </c>
      <c r="AR887" s="38" t="s">
        <v>3792</v>
      </c>
      <c r="AS887" s="38"/>
      <c r="AT887" s="38"/>
      <c r="AU887" s="38"/>
      <c r="AV887" s="38"/>
      <c r="AW887" s="38"/>
      <c r="AX887" s="38"/>
      <c r="AY887" s="38"/>
      <c r="AZ887" s="38"/>
      <c r="BA887" s="38"/>
      <c r="BB887" s="38"/>
    </row>
    <row r="888" spans="1:54">
      <c r="A888" s="38" t="s">
        <v>4677</v>
      </c>
      <c r="B888" s="38" t="s">
        <v>3455</v>
      </c>
      <c r="C888" s="38" t="s">
        <v>4678</v>
      </c>
      <c r="D888" s="38" t="s">
        <v>3399</v>
      </c>
      <c r="E888" s="38"/>
      <c r="F888" s="38"/>
      <c r="G888" s="38" t="s">
        <v>3997</v>
      </c>
      <c r="H888" s="38" t="s">
        <v>3400</v>
      </c>
      <c r="I888" s="38" t="s">
        <v>4679</v>
      </c>
      <c r="J888" s="38"/>
      <c r="K888" s="38">
        <v>550</v>
      </c>
      <c r="L888" s="38"/>
      <c r="M888" s="38"/>
      <c r="N888" s="38"/>
      <c r="O888" s="38"/>
      <c r="P888" s="38"/>
      <c r="Q888" s="38"/>
      <c r="R888" s="38">
        <v>9.5</v>
      </c>
      <c r="S888" s="38"/>
      <c r="T888" s="38"/>
      <c r="U888" s="38"/>
      <c r="V888" s="38"/>
      <c r="W888" s="38"/>
      <c r="X888" s="38"/>
      <c r="Y888" s="38">
        <v>1.8</v>
      </c>
      <c r="Z888" s="38">
        <v>0.43</v>
      </c>
      <c r="AA888" s="38">
        <v>82.77</v>
      </c>
      <c r="AB888" s="38"/>
      <c r="AC888" s="38">
        <v>20.846</v>
      </c>
      <c r="AD888" s="38">
        <v>15.504</v>
      </c>
      <c r="AE888" s="38"/>
      <c r="AF888" s="38">
        <v>0.91800000000000004</v>
      </c>
      <c r="AG888" s="38">
        <v>82.31</v>
      </c>
      <c r="AH888" s="38"/>
      <c r="AI888" s="38">
        <v>76.599999999999994</v>
      </c>
      <c r="AJ888" s="38"/>
      <c r="AK888" s="38"/>
      <c r="AL888" s="38"/>
      <c r="AM888" s="38"/>
      <c r="AN888" s="38"/>
      <c r="AO888" s="38"/>
      <c r="AP888" s="38"/>
      <c r="AQ888" s="38"/>
      <c r="AR888" s="38"/>
      <c r="AS888" s="38"/>
      <c r="AT888" s="38"/>
      <c r="AU888" s="38"/>
      <c r="AV888" s="38"/>
      <c r="AW888" s="38"/>
      <c r="AX888" s="38"/>
      <c r="AY888" s="38"/>
      <c r="AZ888" s="38"/>
      <c r="BA888" s="38"/>
      <c r="BB888" s="38"/>
    </row>
    <row r="889" spans="1:54">
      <c r="A889" s="38" t="s">
        <v>4680</v>
      </c>
      <c r="B889" s="38" t="s">
        <v>3449</v>
      </c>
      <c r="C889" s="38"/>
      <c r="D889" s="38" t="s">
        <v>3399</v>
      </c>
      <c r="E889" s="38"/>
      <c r="F889" s="38"/>
      <c r="G889" s="38" t="s">
        <v>3997</v>
      </c>
      <c r="H889" s="38" t="s">
        <v>3400</v>
      </c>
      <c r="I889" s="38" t="s">
        <v>4681</v>
      </c>
      <c r="J889" s="38"/>
      <c r="K889" s="38">
        <v>600</v>
      </c>
      <c r="L889" s="38">
        <v>1.68</v>
      </c>
      <c r="M889" s="38"/>
      <c r="N889" s="38">
        <v>88.2</v>
      </c>
      <c r="O889" s="38">
        <v>0.31</v>
      </c>
      <c r="P889" s="38">
        <v>2.1</v>
      </c>
      <c r="Q889" s="38">
        <v>7.82</v>
      </c>
      <c r="R889" s="38">
        <v>8.6300000000000008</v>
      </c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  <c r="AG889" s="38"/>
      <c r="AH889" s="38"/>
      <c r="AI889" s="38"/>
      <c r="AJ889" s="38"/>
      <c r="AK889" s="38"/>
      <c r="AL889" s="38"/>
      <c r="AM889" s="38"/>
      <c r="AN889" s="38">
        <v>84.4</v>
      </c>
      <c r="AO889" s="38"/>
      <c r="AP889" s="38"/>
      <c r="AQ889" s="38">
        <v>465</v>
      </c>
      <c r="AR889" s="38" t="s">
        <v>3792</v>
      </c>
      <c r="AS889" s="38"/>
      <c r="AT889" s="38"/>
      <c r="AU889" s="38"/>
      <c r="AV889" s="38"/>
      <c r="AW889" s="38"/>
      <c r="AX889" s="38"/>
      <c r="AY889" s="38"/>
      <c r="AZ889" s="38"/>
      <c r="BA889" s="38"/>
      <c r="BB889" s="38"/>
    </row>
    <row r="890" spans="1:54">
      <c r="A890" s="38" t="s">
        <v>3991</v>
      </c>
      <c r="B890" s="38" t="s">
        <v>3409</v>
      </c>
      <c r="C890" s="38" t="s">
        <v>4381</v>
      </c>
      <c r="D890" s="38" t="s">
        <v>3399</v>
      </c>
      <c r="E890" s="38"/>
      <c r="F890" s="38"/>
      <c r="G890" s="38" t="s">
        <v>3997</v>
      </c>
      <c r="H890" s="38" t="s">
        <v>3400</v>
      </c>
      <c r="I890" s="38" t="s">
        <v>4681</v>
      </c>
      <c r="J890" s="38"/>
      <c r="K890" s="38">
        <v>600</v>
      </c>
      <c r="L890" s="38">
        <v>21.9</v>
      </c>
      <c r="M890" s="38"/>
      <c r="N890" s="38">
        <v>70.400000000000006</v>
      </c>
      <c r="O890" s="38">
        <v>0.97</v>
      </c>
      <c r="P890" s="38">
        <v>1.73</v>
      </c>
      <c r="Q890" s="38">
        <v>6.27</v>
      </c>
      <c r="R890" s="38">
        <v>9.86</v>
      </c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  <c r="AH890" s="38"/>
      <c r="AI890" s="38"/>
      <c r="AJ890" s="38"/>
      <c r="AK890" s="38"/>
      <c r="AL890" s="38"/>
      <c r="AM890" s="38"/>
      <c r="AN890" s="38">
        <v>334</v>
      </c>
      <c r="AO890" s="38"/>
      <c r="AP890" s="38"/>
      <c r="AQ890" s="38">
        <v>364</v>
      </c>
      <c r="AR890" s="38" t="s">
        <v>3792</v>
      </c>
      <c r="AS890" s="38"/>
      <c r="AT890" s="38"/>
      <c r="AU890" s="38"/>
      <c r="AV890" s="38"/>
      <c r="AW890" s="38"/>
      <c r="AX890" s="38"/>
      <c r="AY890" s="38"/>
      <c r="AZ890" s="38"/>
      <c r="BA890" s="38"/>
      <c r="BB890" s="38"/>
    </row>
    <row r="891" spans="1:54">
      <c r="A891" s="38" t="s">
        <v>4682</v>
      </c>
      <c r="B891" s="38" t="s">
        <v>3652</v>
      </c>
      <c r="C891" s="38" t="s">
        <v>4683</v>
      </c>
      <c r="D891" s="38" t="s">
        <v>3399</v>
      </c>
      <c r="E891" s="38"/>
      <c r="F891" s="38"/>
      <c r="G891" s="38" t="s">
        <v>3997</v>
      </c>
      <c r="H891" s="38" t="s">
        <v>3400</v>
      </c>
      <c r="I891" s="38" t="s">
        <v>4681</v>
      </c>
      <c r="J891" s="38"/>
      <c r="K891" s="38">
        <v>600</v>
      </c>
      <c r="L891" s="38">
        <v>16.100000000000001</v>
      </c>
      <c r="M891" s="38"/>
      <c r="N891" s="38">
        <v>70.2</v>
      </c>
      <c r="O891" s="38">
        <v>1.45</v>
      </c>
      <c r="P891" s="38">
        <v>1.7</v>
      </c>
      <c r="Q891" s="38">
        <v>12.5</v>
      </c>
      <c r="R891" s="38">
        <v>10</v>
      </c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  <c r="AH891" s="38"/>
      <c r="AI891" s="38"/>
      <c r="AJ891" s="38"/>
      <c r="AK891" s="38"/>
      <c r="AL891" s="38"/>
      <c r="AM891" s="38"/>
      <c r="AN891" s="38">
        <v>402</v>
      </c>
      <c r="AO891" s="38"/>
      <c r="AP891" s="38"/>
      <c r="AQ891" s="38">
        <v>72</v>
      </c>
      <c r="AR891" s="38" t="s">
        <v>3792</v>
      </c>
      <c r="AS891" s="38"/>
      <c r="AT891" s="38"/>
      <c r="AU891" s="38"/>
      <c r="AV891" s="38"/>
      <c r="AW891" s="38"/>
      <c r="AX891" s="38"/>
      <c r="AY891" s="38"/>
      <c r="AZ891" s="38"/>
      <c r="BA891" s="38"/>
      <c r="BB891" s="38"/>
    </row>
    <row r="892" spans="1:54">
      <c r="A892" s="38" t="s">
        <v>4684</v>
      </c>
      <c r="B892" s="38" t="s">
        <v>3431</v>
      </c>
      <c r="C892" s="38" t="s">
        <v>4685</v>
      </c>
      <c r="D892" s="38" t="s">
        <v>3399</v>
      </c>
      <c r="E892" s="38"/>
      <c r="F892" s="38"/>
      <c r="G892" s="38" t="s">
        <v>3997</v>
      </c>
      <c r="H892" s="38" t="s">
        <v>3400</v>
      </c>
      <c r="I892" s="38" t="s">
        <v>4681</v>
      </c>
      <c r="J892" s="38"/>
      <c r="K892" s="38">
        <v>600</v>
      </c>
      <c r="L892" s="38">
        <v>11.8</v>
      </c>
      <c r="M892" s="38"/>
      <c r="N892" s="38">
        <v>74.900000000000006</v>
      </c>
      <c r="O892" s="38">
        <v>1.93</v>
      </c>
      <c r="P892" s="38">
        <v>1.92</v>
      </c>
      <c r="Q892" s="38">
        <v>10.8</v>
      </c>
      <c r="R892" s="38">
        <v>9.98</v>
      </c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  <c r="AI892" s="38"/>
      <c r="AJ892" s="38"/>
      <c r="AK892" s="38"/>
      <c r="AL892" s="38"/>
      <c r="AM892" s="38"/>
      <c r="AN892" s="38">
        <v>187</v>
      </c>
      <c r="AO892" s="38"/>
      <c r="AP892" s="38"/>
      <c r="AQ892" s="38">
        <v>77</v>
      </c>
      <c r="AR892" s="38" t="s">
        <v>3792</v>
      </c>
      <c r="AS892" s="38"/>
      <c r="AT892" s="38"/>
      <c r="AU892" s="38"/>
      <c r="AV892" s="38"/>
      <c r="AW892" s="38"/>
      <c r="AX892" s="38"/>
      <c r="AY892" s="38"/>
      <c r="AZ892" s="38"/>
      <c r="BA892" s="38"/>
      <c r="BB892" s="38"/>
    </row>
    <row r="893" spans="1:54">
      <c r="A893" s="38" t="s">
        <v>4686</v>
      </c>
      <c r="B893" s="38" t="s">
        <v>3431</v>
      </c>
      <c r="C893" s="38" t="s">
        <v>4687</v>
      </c>
      <c r="D893" s="38" t="s">
        <v>3399</v>
      </c>
      <c r="E893" s="38"/>
      <c r="F893" s="38"/>
      <c r="G893" s="38" t="s">
        <v>3997</v>
      </c>
      <c r="H893" s="38" t="s">
        <v>3400</v>
      </c>
      <c r="I893" s="38" t="s">
        <v>4681</v>
      </c>
      <c r="J893" s="38"/>
      <c r="K893" s="38">
        <v>600</v>
      </c>
      <c r="L893" s="38">
        <v>5.33</v>
      </c>
      <c r="M893" s="38"/>
      <c r="N893" s="38">
        <v>81.8</v>
      </c>
      <c r="O893" s="38">
        <v>0.82</v>
      </c>
      <c r="P893" s="38">
        <v>2.0099999999999998</v>
      </c>
      <c r="Q893" s="38">
        <v>10.6</v>
      </c>
      <c r="R893" s="38">
        <v>7.36</v>
      </c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38"/>
      <c r="AI893" s="38"/>
      <c r="AJ893" s="38"/>
      <c r="AK893" s="38"/>
      <c r="AL893" s="38"/>
      <c r="AM893" s="38"/>
      <c r="AN893" s="38">
        <v>121</v>
      </c>
      <c r="AO893" s="38"/>
      <c r="AP893" s="38"/>
      <c r="AQ893" s="38">
        <v>443</v>
      </c>
      <c r="AR893" s="38" t="s">
        <v>3792</v>
      </c>
      <c r="AS893" s="38"/>
      <c r="AT893" s="38"/>
      <c r="AU893" s="38"/>
      <c r="AV893" s="38"/>
      <c r="AW893" s="38"/>
      <c r="AX893" s="38"/>
      <c r="AY893" s="38"/>
      <c r="AZ893" s="38"/>
      <c r="BA893" s="38"/>
      <c r="BB893" s="38"/>
    </row>
    <row r="894" spans="1:54">
      <c r="A894" s="38" t="s">
        <v>4053</v>
      </c>
      <c r="B894" s="38" t="s">
        <v>3471</v>
      </c>
      <c r="C894" s="38" t="s">
        <v>4688</v>
      </c>
      <c r="D894" s="38" t="s">
        <v>3399</v>
      </c>
      <c r="E894" s="38"/>
      <c r="F894" s="38"/>
      <c r="G894" s="38" t="s">
        <v>3997</v>
      </c>
      <c r="H894" s="38" t="s">
        <v>3400</v>
      </c>
      <c r="I894" s="38" t="s">
        <v>4689</v>
      </c>
      <c r="J894" s="38"/>
      <c r="K894" s="38">
        <v>600</v>
      </c>
      <c r="L894" s="38">
        <v>2</v>
      </c>
      <c r="M894" s="38"/>
      <c r="N894" s="38">
        <v>89</v>
      </c>
      <c r="O894" s="38">
        <v>0.7</v>
      </c>
      <c r="P894" s="38">
        <v>2.4</v>
      </c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  <c r="AH894" s="38"/>
      <c r="AI894" s="38"/>
      <c r="AJ894" s="38"/>
      <c r="AK894" s="38"/>
      <c r="AL894" s="38"/>
      <c r="AM894" s="38"/>
      <c r="AN894" s="38"/>
      <c r="AO894" s="38"/>
      <c r="AP894" s="38"/>
      <c r="AQ894" s="38"/>
      <c r="AR894" s="38"/>
      <c r="AS894" s="38"/>
      <c r="AT894" s="38"/>
      <c r="AU894" s="38"/>
      <c r="AV894" s="38"/>
      <c r="AW894" s="38"/>
      <c r="AX894" s="38"/>
      <c r="AY894" s="38"/>
      <c r="AZ894" s="38"/>
      <c r="BA894" s="38"/>
      <c r="BB894" s="38"/>
    </row>
    <row r="895" spans="1:54">
      <c r="A895" s="38" t="s">
        <v>4690</v>
      </c>
      <c r="B895" s="38" t="s">
        <v>3409</v>
      </c>
      <c r="C895" s="38" t="s">
        <v>4691</v>
      </c>
      <c r="D895" s="38" t="s">
        <v>3399</v>
      </c>
      <c r="E895" s="38"/>
      <c r="F895" s="38"/>
      <c r="G895" s="38" t="s">
        <v>3997</v>
      </c>
      <c r="H895" s="38" t="s">
        <v>3400</v>
      </c>
      <c r="I895" s="38" t="s">
        <v>4692</v>
      </c>
      <c r="J895" s="38"/>
      <c r="K895" s="38">
        <v>725</v>
      </c>
      <c r="L895" s="38">
        <v>9.5</v>
      </c>
      <c r="M895" s="38"/>
      <c r="N895" s="38">
        <v>84.47</v>
      </c>
      <c r="O895" s="38">
        <v>0.5</v>
      </c>
      <c r="P895" s="38">
        <v>2.198</v>
      </c>
      <c r="Q895" s="38">
        <v>2.8759999999999999</v>
      </c>
      <c r="R895" s="38">
        <v>8.9600000000000009</v>
      </c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  <c r="AG895" s="38"/>
      <c r="AH895" s="38"/>
      <c r="AI895" s="38"/>
      <c r="AJ895" s="38"/>
      <c r="AK895" s="38"/>
      <c r="AL895" s="38"/>
      <c r="AM895" s="38"/>
      <c r="AN895" s="38"/>
      <c r="AO895" s="38"/>
      <c r="AP895" s="38"/>
      <c r="AQ895" s="38">
        <v>2.9</v>
      </c>
      <c r="AR895" s="38" t="s">
        <v>3792</v>
      </c>
      <c r="AS895" s="38"/>
      <c r="AT895" s="38"/>
      <c r="AU895" s="38"/>
      <c r="AV895" s="38"/>
      <c r="AW895" s="38"/>
      <c r="AX895" s="38"/>
      <c r="AY895" s="38"/>
      <c r="AZ895" s="38"/>
      <c r="BA895" s="38"/>
      <c r="BB895" s="38"/>
    </row>
    <row r="896" spans="1:54">
      <c r="A896" s="38" t="s">
        <v>4693</v>
      </c>
      <c r="B896" s="38" t="s">
        <v>3652</v>
      </c>
      <c r="C896" s="38" t="s">
        <v>4694</v>
      </c>
      <c r="D896" s="38" t="s">
        <v>3399</v>
      </c>
      <c r="E896" s="38"/>
      <c r="F896" s="38"/>
      <c r="G896" s="38" t="s">
        <v>3997</v>
      </c>
      <c r="H896" s="38" t="s">
        <v>3400</v>
      </c>
      <c r="I896" s="38" t="s">
        <v>4692</v>
      </c>
      <c r="J896" s="38"/>
      <c r="K896" s="38">
        <v>725</v>
      </c>
      <c r="L896" s="38">
        <v>3.3</v>
      </c>
      <c r="M896" s="38"/>
      <c r="N896" s="38">
        <v>85.76</v>
      </c>
      <c r="O896" s="38">
        <v>0.28000000000000003</v>
      </c>
      <c r="P896" s="38">
        <v>2.456</v>
      </c>
      <c r="Q896" s="38">
        <v>2.4750000000000001</v>
      </c>
      <c r="R896" s="38">
        <v>7.39</v>
      </c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  <c r="AG896" s="38"/>
      <c r="AH896" s="38"/>
      <c r="AI896" s="38"/>
      <c r="AJ896" s="38"/>
      <c r="AK896" s="38"/>
      <c r="AL896" s="38"/>
      <c r="AM896" s="38"/>
      <c r="AN896" s="38"/>
      <c r="AO896" s="38"/>
      <c r="AP896" s="38"/>
      <c r="AQ896" s="38">
        <v>3.72</v>
      </c>
      <c r="AR896" s="38" t="s">
        <v>3792</v>
      </c>
      <c r="AS896" s="38"/>
      <c r="AT896" s="38"/>
      <c r="AU896" s="38"/>
      <c r="AV896" s="38"/>
      <c r="AW896" s="38"/>
      <c r="AX896" s="38"/>
      <c r="AY896" s="38"/>
      <c r="AZ896" s="38"/>
      <c r="BA896" s="38"/>
      <c r="BB896" s="38"/>
    </row>
    <row r="897" spans="1:54">
      <c r="A897" s="38" t="s">
        <v>4035</v>
      </c>
      <c r="B897" s="38" t="s">
        <v>3409</v>
      </c>
      <c r="C897" s="38" t="s">
        <v>4381</v>
      </c>
      <c r="D897" s="38" t="s">
        <v>3399</v>
      </c>
      <c r="E897" s="38"/>
      <c r="F897" s="38"/>
      <c r="G897" s="38" t="s">
        <v>3997</v>
      </c>
      <c r="H897" s="38" t="s">
        <v>3400</v>
      </c>
      <c r="I897" s="38" t="s">
        <v>4695</v>
      </c>
      <c r="J897" s="38"/>
      <c r="K897" s="38">
        <v>500</v>
      </c>
      <c r="L897" s="38">
        <v>37.200000000000003</v>
      </c>
      <c r="M897" s="38"/>
      <c r="N897" s="38">
        <v>41.83</v>
      </c>
      <c r="O897" s="38">
        <v>0.57999999999999996</v>
      </c>
      <c r="P897" s="38"/>
      <c r="Q897" s="38"/>
      <c r="R897" s="38">
        <v>9.3000000000000007</v>
      </c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  <c r="AG897" s="38"/>
      <c r="AH897" s="38"/>
      <c r="AI897" s="38"/>
      <c r="AJ897" s="38"/>
      <c r="AK897" s="38"/>
      <c r="AL897" s="38"/>
      <c r="AM897" s="38"/>
      <c r="AN897" s="38"/>
      <c r="AO897" s="38"/>
      <c r="AP897" s="38"/>
      <c r="AQ897" s="38"/>
      <c r="AR897" s="38"/>
      <c r="AS897" s="38"/>
      <c r="AT897" s="38">
        <v>580</v>
      </c>
      <c r="AU897" s="38"/>
      <c r="AV897" s="38"/>
      <c r="AW897" s="38">
        <v>9200</v>
      </c>
      <c r="AX897" s="38"/>
      <c r="AY897" s="38"/>
      <c r="AZ897" s="38"/>
      <c r="BA897" s="38"/>
      <c r="BB897" s="38"/>
    </row>
    <row r="898" spans="1:54">
      <c r="A898" s="38" t="s">
        <v>4696</v>
      </c>
      <c r="B898" s="38" t="s">
        <v>3471</v>
      </c>
      <c r="C898" s="38" t="s">
        <v>4697</v>
      </c>
      <c r="D898" s="38" t="s">
        <v>3399</v>
      </c>
      <c r="E898" s="38"/>
      <c r="F898" s="38"/>
      <c r="G898" s="38" t="s">
        <v>3997</v>
      </c>
      <c r="H898" s="38" t="s">
        <v>3400</v>
      </c>
      <c r="I898" s="38" t="s">
        <v>4698</v>
      </c>
      <c r="J898" s="38"/>
      <c r="K898" s="38">
        <v>200</v>
      </c>
      <c r="L898" s="38">
        <v>11</v>
      </c>
      <c r="M898" s="38">
        <v>47.7</v>
      </c>
      <c r="N898" s="38"/>
      <c r="O898" s="38">
        <v>4.3</v>
      </c>
      <c r="P898" s="38">
        <v>4.4000000000000004</v>
      </c>
      <c r="Q898" s="38">
        <v>32.5</v>
      </c>
      <c r="R898" s="38">
        <v>5.5</v>
      </c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  <c r="AG898" s="38"/>
      <c r="AH898" s="38"/>
      <c r="AI898" s="38"/>
      <c r="AJ898" s="38"/>
      <c r="AK898" s="38"/>
      <c r="AL898" s="38"/>
      <c r="AM898" s="38"/>
      <c r="AN898" s="38"/>
      <c r="AO898" s="38"/>
      <c r="AP898" s="38"/>
      <c r="AQ898" s="38"/>
      <c r="AR898" s="38"/>
      <c r="AS898" s="38"/>
      <c r="AT898" s="38"/>
      <c r="AU898" s="38"/>
      <c r="AV898" s="38"/>
      <c r="AW898" s="38"/>
      <c r="AX898" s="38"/>
      <c r="AY898" s="38"/>
      <c r="AZ898" s="38"/>
      <c r="BA898" s="38"/>
      <c r="BB898" s="38"/>
    </row>
    <row r="899" spans="1:54">
      <c r="A899" s="38" t="s">
        <v>4048</v>
      </c>
      <c r="B899" s="38" t="s">
        <v>3471</v>
      </c>
      <c r="C899" s="38" t="s">
        <v>4697</v>
      </c>
      <c r="D899" s="38" t="s">
        <v>3399</v>
      </c>
      <c r="E899" s="38"/>
      <c r="F899" s="38"/>
      <c r="G899" s="38" t="s">
        <v>3997</v>
      </c>
      <c r="H899" s="38" t="s">
        <v>3400</v>
      </c>
      <c r="I899" s="38" t="s">
        <v>4698</v>
      </c>
      <c r="J899" s="38"/>
      <c r="K899" s="38">
        <v>300</v>
      </c>
      <c r="L899" s="38">
        <v>15</v>
      </c>
      <c r="M899" s="38">
        <v>58.7</v>
      </c>
      <c r="N899" s="38"/>
      <c r="O899" s="38">
        <v>4.0999999999999996</v>
      </c>
      <c r="P899" s="38">
        <v>2.8</v>
      </c>
      <c r="Q899" s="38">
        <v>19.399999999999999</v>
      </c>
      <c r="R899" s="38">
        <v>7.1</v>
      </c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  <c r="AH899" s="38"/>
      <c r="AI899" s="38"/>
      <c r="AJ899" s="38"/>
      <c r="AK899" s="38"/>
      <c r="AL899" s="38"/>
      <c r="AM899" s="38"/>
      <c r="AN899" s="38"/>
      <c r="AO899" s="38"/>
      <c r="AP899" s="38"/>
      <c r="AQ899" s="38"/>
      <c r="AR899" s="38"/>
      <c r="AS899" s="38"/>
      <c r="AT899" s="38"/>
      <c r="AU899" s="38"/>
      <c r="AV899" s="38"/>
      <c r="AW899" s="38"/>
      <c r="AX899" s="38"/>
      <c r="AY899" s="38"/>
      <c r="AZ899" s="38"/>
      <c r="BA899" s="38"/>
      <c r="BB899" s="38"/>
    </row>
    <row r="900" spans="1:54">
      <c r="A900" s="38" t="s">
        <v>4699</v>
      </c>
      <c r="B900" s="38" t="s">
        <v>3471</v>
      </c>
      <c r="C900" s="38" t="s">
        <v>4697</v>
      </c>
      <c r="D900" s="38" t="s">
        <v>3399</v>
      </c>
      <c r="E900" s="38"/>
      <c r="F900" s="38"/>
      <c r="G900" s="38"/>
      <c r="H900" s="38" t="s">
        <v>3400</v>
      </c>
      <c r="I900" s="38" t="s">
        <v>4698</v>
      </c>
      <c r="J900" s="38"/>
      <c r="K900" s="38">
        <v>400</v>
      </c>
      <c r="L900" s="38">
        <v>19</v>
      </c>
      <c r="M900" s="38">
        <v>57.7</v>
      </c>
      <c r="N900" s="38"/>
      <c r="O900" s="38">
        <v>3.5</v>
      </c>
      <c r="P900" s="38">
        <v>1.6</v>
      </c>
      <c r="Q900" s="38">
        <v>18.2</v>
      </c>
      <c r="R900" s="38">
        <v>9</v>
      </c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  <c r="AH900" s="38"/>
      <c r="AI900" s="38"/>
      <c r="AJ900" s="38"/>
      <c r="AK900" s="38"/>
      <c r="AL900" s="38"/>
      <c r="AM900" s="38"/>
      <c r="AN900" s="38"/>
      <c r="AO900" s="38"/>
      <c r="AP900" s="38"/>
      <c r="AQ900" s="38"/>
      <c r="AR900" s="38"/>
      <c r="AS900" s="38"/>
      <c r="AT900" s="38"/>
      <c r="AU900" s="38"/>
      <c r="AV900" s="38"/>
      <c r="AW900" s="38"/>
      <c r="AX900" s="38"/>
      <c r="AY900" s="38"/>
      <c r="AZ900" s="38"/>
      <c r="BA900" s="38"/>
      <c r="BB900" s="38"/>
    </row>
    <row r="901" spans="1:54">
      <c r="A901" s="38" t="s">
        <v>3849</v>
      </c>
      <c r="B901" s="38" t="s">
        <v>3471</v>
      </c>
      <c r="C901" s="38" t="s">
        <v>4697</v>
      </c>
      <c r="D901" s="38" t="s">
        <v>3399</v>
      </c>
      <c r="E901" s="38"/>
      <c r="F901" s="38"/>
      <c r="G901" s="38" t="s">
        <v>3997</v>
      </c>
      <c r="H901" s="38" t="s">
        <v>3400</v>
      </c>
      <c r="I901" s="38" t="s">
        <v>4698</v>
      </c>
      <c r="J901" s="38"/>
      <c r="K901" s="38">
        <v>500</v>
      </c>
      <c r="L901" s="38">
        <v>25</v>
      </c>
      <c r="M901" s="38">
        <v>59.5</v>
      </c>
      <c r="N901" s="38"/>
      <c r="O901" s="38">
        <v>3.4</v>
      </c>
      <c r="P901" s="38">
        <v>0.8</v>
      </c>
      <c r="Q901" s="38">
        <v>11.3</v>
      </c>
      <c r="R901" s="38">
        <v>10.7</v>
      </c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  <c r="AH901" s="38"/>
      <c r="AI901" s="38"/>
      <c r="AJ901" s="38"/>
      <c r="AK901" s="38"/>
      <c r="AL901" s="38"/>
      <c r="AM901" s="38"/>
      <c r="AN901" s="38"/>
      <c r="AO901" s="38"/>
      <c r="AP901" s="38"/>
      <c r="AQ901" s="38"/>
      <c r="AR901" s="38"/>
      <c r="AS901" s="38"/>
      <c r="AT901" s="38"/>
      <c r="AU901" s="38"/>
      <c r="AV901" s="38"/>
      <c r="AW901" s="38"/>
      <c r="AX901" s="38"/>
      <c r="AY901" s="38"/>
      <c r="AZ901" s="38"/>
      <c r="BA901" s="38"/>
      <c r="BB901" s="38"/>
    </row>
    <row r="902" spans="1:54">
      <c r="A902" s="38" t="s">
        <v>4699</v>
      </c>
      <c r="B902" s="38" t="s">
        <v>3471</v>
      </c>
      <c r="C902" s="38"/>
      <c r="D902" s="38" t="s">
        <v>3399</v>
      </c>
      <c r="E902" s="38"/>
      <c r="F902" s="38"/>
      <c r="G902" s="38" t="s">
        <v>3997</v>
      </c>
      <c r="H902" s="38" t="s">
        <v>3400</v>
      </c>
      <c r="I902" s="38" t="s">
        <v>4700</v>
      </c>
      <c r="J902" s="38"/>
      <c r="K902" s="38">
        <v>400</v>
      </c>
      <c r="L902" s="38"/>
      <c r="M902" s="38"/>
      <c r="N902" s="38">
        <v>72.3</v>
      </c>
      <c r="O902" s="38">
        <v>0.17199999999999999</v>
      </c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  <c r="AH902" s="38"/>
      <c r="AI902" s="38"/>
      <c r="AJ902" s="38"/>
      <c r="AK902" s="38"/>
      <c r="AL902" s="38"/>
      <c r="AM902" s="38"/>
      <c r="AN902" s="38"/>
      <c r="AO902" s="38"/>
      <c r="AP902" s="38"/>
      <c r="AQ902" s="38"/>
      <c r="AR902" s="38"/>
      <c r="AS902" s="38"/>
      <c r="AT902" s="38"/>
      <c r="AU902" s="38"/>
      <c r="AV902" s="38"/>
      <c r="AW902" s="38"/>
      <c r="AX902" s="38"/>
      <c r="AY902" s="38"/>
      <c r="AZ902" s="38"/>
      <c r="BA902" s="38"/>
      <c r="BB902" s="38"/>
    </row>
    <row r="903" spans="1:54">
      <c r="A903" s="38" t="s">
        <v>4701</v>
      </c>
      <c r="B903" s="38" t="s">
        <v>1948</v>
      </c>
      <c r="C903" s="38" t="s">
        <v>4702</v>
      </c>
      <c r="D903" s="38" t="s">
        <v>3399</v>
      </c>
      <c r="E903" s="38"/>
      <c r="F903" s="38"/>
      <c r="G903" s="38" t="s">
        <v>3997</v>
      </c>
      <c r="H903" s="38" t="s">
        <v>3400</v>
      </c>
      <c r="I903" s="38" t="s">
        <v>4700</v>
      </c>
      <c r="J903" s="38"/>
      <c r="K903" s="38">
        <v>500</v>
      </c>
      <c r="L903" s="38"/>
      <c r="M903" s="38"/>
      <c r="N903" s="38">
        <v>42.5</v>
      </c>
      <c r="O903" s="38">
        <v>0.62</v>
      </c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  <c r="AH903" s="38"/>
      <c r="AI903" s="38"/>
      <c r="AJ903" s="38"/>
      <c r="AK903" s="38"/>
      <c r="AL903" s="38"/>
      <c r="AM903" s="38"/>
      <c r="AN903" s="38"/>
      <c r="AO903" s="38"/>
      <c r="AP903" s="38"/>
      <c r="AQ903" s="38"/>
      <c r="AR903" s="38"/>
      <c r="AS903" s="38"/>
      <c r="AT903" s="38"/>
      <c r="AU903" s="38"/>
      <c r="AV903" s="38"/>
      <c r="AW903" s="38"/>
      <c r="AX903" s="38"/>
      <c r="AY903" s="38"/>
      <c r="AZ903" s="38"/>
      <c r="BA903" s="38"/>
      <c r="BB903" s="38"/>
    </row>
    <row r="904" spans="1:54">
      <c r="A904" s="38" t="s">
        <v>3849</v>
      </c>
      <c r="B904" s="38" t="s">
        <v>3471</v>
      </c>
      <c r="C904" s="38" t="s">
        <v>4703</v>
      </c>
      <c r="D904" s="38" t="s">
        <v>3399</v>
      </c>
      <c r="E904" s="38"/>
      <c r="F904" s="38"/>
      <c r="G904" s="38" t="s">
        <v>3997</v>
      </c>
      <c r="H904" s="38" t="s">
        <v>3400</v>
      </c>
      <c r="I904" s="38" t="s">
        <v>4700</v>
      </c>
      <c r="J904" s="38"/>
      <c r="K904" s="38">
        <v>500</v>
      </c>
      <c r="L904" s="38"/>
      <c r="M904" s="38"/>
      <c r="N904" s="38">
        <v>81</v>
      </c>
      <c r="O904" s="38">
        <v>0.37</v>
      </c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38"/>
      <c r="AJ904" s="38"/>
      <c r="AK904" s="38"/>
      <c r="AL904" s="38"/>
      <c r="AM904" s="38"/>
      <c r="AN904" s="38"/>
      <c r="AO904" s="38"/>
      <c r="AP904" s="38"/>
      <c r="AQ904" s="38"/>
      <c r="AR904" s="38"/>
      <c r="AS904" s="38"/>
      <c r="AT904" s="38"/>
      <c r="AU904" s="38"/>
      <c r="AV904" s="38"/>
      <c r="AW904" s="38"/>
      <c r="AX904" s="38"/>
      <c r="AY904" s="38"/>
      <c r="AZ904" s="38"/>
      <c r="BA904" s="38"/>
      <c r="BB904" s="38"/>
    </row>
    <row r="905" spans="1:54">
      <c r="A905" s="38" t="s">
        <v>4704</v>
      </c>
      <c r="B905" s="38" t="s">
        <v>3652</v>
      </c>
      <c r="C905" s="38" t="s">
        <v>4705</v>
      </c>
      <c r="D905" s="38" t="s">
        <v>3399</v>
      </c>
      <c r="E905" s="38"/>
      <c r="F905" s="38"/>
      <c r="G905" s="38" t="s">
        <v>4706</v>
      </c>
      <c r="H905" s="38" t="s">
        <v>3400</v>
      </c>
      <c r="I905" s="38" t="s">
        <v>4707</v>
      </c>
      <c r="J905" s="38"/>
      <c r="K905" s="38">
        <v>430</v>
      </c>
      <c r="L905" s="38">
        <v>7.9</v>
      </c>
      <c r="M905" s="38"/>
      <c r="N905" s="38">
        <v>70.2</v>
      </c>
      <c r="O905" s="38">
        <v>1.02</v>
      </c>
      <c r="P905" s="38">
        <v>4.97</v>
      </c>
      <c r="Q905" s="38">
        <v>15.9</v>
      </c>
      <c r="R905" s="38">
        <v>9.6999999999999993</v>
      </c>
      <c r="S905" s="38">
        <v>0.28000000000000003</v>
      </c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  <c r="AK905" s="38"/>
      <c r="AL905" s="38"/>
      <c r="AM905" s="38"/>
      <c r="AN905" s="38"/>
      <c r="AO905" s="38"/>
      <c r="AP905" s="38"/>
      <c r="AQ905" s="38"/>
      <c r="AR905" s="38"/>
      <c r="AS905" s="38"/>
      <c r="AT905" s="38"/>
      <c r="AU905" s="38"/>
      <c r="AV905" s="38"/>
      <c r="AW905" s="38"/>
      <c r="AX905" s="38"/>
      <c r="AY905" s="38"/>
      <c r="AZ905" s="38"/>
      <c r="BA905" s="38"/>
      <c r="BB905" s="38"/>
    </row>
    <row r="906" spans="1:54">
      <c r="A906" s="38" t="s">
        <v>4708</v>
      </c>
      <c r="B906" s="38" t="s">
        <v>3652</v>
      </c>
      <c r="C906" s="38" t="s">
        <v>4705</v>
      </c>
      <c r="D906" s="38" t="s">
        <v>3399</v>
      </c>
      <c r="E906" s="38"/>
      <c r="F906" s="38"/>
      <c r="G906" s="38" t="s">
        <v>4709</v>
      </c>
      <c r="H906" s="38" t="s">
        <v>3400</v>
      </c>
      <c r="I906" s="38" t="s">
        <v>4707</v>
      </c>
      <c r="J906" s="38"/>
      <c r="K906" s="38">
        <v>430</v>
      </c>
      <c r="L906" s="38">
        <v>7.7</v>
      </c>
      <c r="M906" s="38"/>
      <c r="N906" s="38">
        <v>74.7</v>
      </c>
      <c r="O906" s="38">
        <v>0.94</v>
      </c>
      <c r="P906" s="38">
        <v>3.82</v>
      </c>
      <c r="Q906" s="38">
        <v>12.89</v>
      </c>
      <c r="R906" s="38">
        <v>9.1999999999999993</v>
      </c>
      <c r="S906" s="38">
        <v>0.28999999999999998</v>
      </c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38"/>
      <c r="AJ906" s="38"/>
      <c r="AK906" s="38"/>
      <c r="AL906" s="38"/>
      <c r="AM906" s="38"/>
      <c r="AN906" s="38"/>
      <c r="AO906" s="38"/>
      <c r="AP906" s="38"/>
      <c r="AQ906" s="38"/>
      <c r="AR906" s="38"/>
      <c r="AS906" s="38"/>
      <c r="AT906" s="38"/>
      <c r="AU906" s="38"/>
      <c r="AV906" s="38"/>
      <c r="AW906" s="38"/>
      <c r="AX906" s="38"/>
      <c r="AY906" s="38"/>
      <c r="AZ906" s="38"/>
      <c r="BA906" s="38"/>
      <c r="BB906" s="38"/>
    </row>
    <row r="907" spans="1:54">
      <c r="A907" s="38" t="s">
        <v>4710</v>
      </c>
      <c r="B907" s="38" t="s">
        <v>3652</v>
      </c>
      <c r="C907" s="38" t="s">
        <v>4705</v>
      </c>
      <c r="D907" s="38" t="s">
        <v>3399</v>
      </c>
      <c r="E907" s="38"/>
      <c r="F907" s="38"/>
      <c r="G907" s="38" t="s">
        <v>4711</v>
      </c>
      <c r="H907" s="38" t="s">
        <v>3400</v>
      </c>
      <c r="I907" s="38" t="s">
        <v>4707</v>
      </c>
      <c r="J907" s="38"/>
      <c r="K907" s="38">
        <v>430</v>
      </c>
      <c r="L907" s="38">
        <v>7.5</v>
      </c>
      <c r="M907" s="38"/>
      <c r="N907" s="38">
        <v>76.900000000000006</v>
      </c>
      <c r="O907" s="38">
        <v>0.9</v>
      </c>
      <c r="P907" s="38">
        <v>3.51</v>
      </c>
      <c r="Q907" s="38">
        <v>11.16</v>
      </c>
      <c r="R907" s="38">
        <v>9</v>
      </c>
      <c r="S907" s="38">
        <v>0.31</v>
      </c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  <c r="AK907" s="38"/>
      <c r="AL907" s="38"/>
      <c r="AM907" s="38"/>
      <c r="AN907" s="38"/>
      <c r="AO907" s="38"/>
      <c r="AP907" s="38"/>
      <c r="AQ907" s="38"/>
      <c r="AR907" s="38"/>
      <c r="AS907" s="38"/>
      <c r="AT907" s="38"/>
      <c r="AU907" s="38"/>
      <c r="AV907" s="38"/>
      <c r="AW907" s="38"/>
      <c r="AX907" s="38"/>
      <c r="AY907" s="38"/>
      <c r="AZ907" s="38"/>
      <c r="BA907" s="38"/>
      <c r="BB907" s="38"/>
    </row>
    <row r="908" spans="1:54">
      <c r="A908" s="38" t="s">
        <v>4712</v>
      </c>
      <c r="B908" s="38" t="s">
        <v>3652</v>
      </c>
      <c r="C908" s="38" t="s">
        <v>4705</v>
      </c>
      <c r="D908" s="38" t="s">
        <v>3399</v>
      </c>
      <c r="E908" s="38"/>
      <c r="F908" s="38"/>
      <c r="G908" s="38" t="s">
        <v>4713</v>
      </c>
      <c r="H908" s="38" t="s">
        <v>3400</v>
      </c>
      <c r="I908" s="38" t="s">
        <v>4707</v>
      </c>
      <c r="J908" s="38"/>
      <c r="K908" s="38">
        <v>480</v>
      </c>
      <c r="L908" s="38">
        <v>8.8000000000000007</v>
      </c>
      <c r="M908" s="38"/>
      <c r="N908" s="38">
        <v>75.3</v>
      </c>
      <c r="O908" s="38">
        <v>0.94</v>
      </c>
      <c r="P908" s="38">
        <v>3.64</v>
      </c>
      <c r="Q908" s="38">
        <v>11.29</v>
      </c>
      <c r="R908" s="38">
        <v>8.9</v>
      </c>
      <c r="S908" s="38">
        <v>0.34</v>
      </c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38"/>
      <c r="AJ908" s="38"/>
      <c r="AK908" s="38"/>
      <c r="AL908" s="38"/>
      <c r="AM908" s="38"/>
      <c r="AN908" s="38"/>
      <c r="AO908" s="38"/>
      <c r="AP908" s="38"/>
      <c r="AQ908" s="38"/>
      <c r="AR908" s="38"/>
      <c r="AS908" s="38"/>
      <c r="AT908" s="38"/>
      <c r="AU908" s="38"/>
      <c r="AV908" s="38"/>
      <c r="AW908" s="38"/>
      <c r="AX908" s="38"/>
      <c r="AY908" s="38"/>
      <c r="AZ908" s="38"/>
      <c r="BA908" s="38"/>
      <c r="BB908" s="38"/>
    </row>
    <row r="909" spans="1:54">
      <c r="A909" s="38" t="s">
        <v>4714</v>
      </c>
      <c r="B909" s="38" t="s">
        <v>3652</v>
      </c>
      <c r="C909" s="38" t="s">
        <v>4705</v>
      </c>
      <c r="D909" s="38" t="s">
        <v>3399</v>
      </c>
      <c r="E909" s="38"/>
      <c r="F909" s="38"/>
      <c r="G909" s="38" t="s">
        <v>4715</v>
      </c>
      <c r="H909" s="38" t="s">
        <v>3400</v>
      </c>
      <c r="I909" s="38" t="s">
        <v>4707</v>
      </c>
      <c r="J909" s="38"/>
      <c r="K909" s="38">
        <v>480</v>
      </c>
      <c r="L909" s="38">
        <v>8.6</v>
      </c>
      <c r="M909" s="38"/>
      <c r="N909" s="38">
        <v>79.8</v>
      </c>
      <c r="O909" s="38">
        <v>0.88</v>
      </c>
      <c r="P909" s="38">
        <v>3.08</v>
      </c>
      <c r="Q909" s="38">
        <v>7.67</v>
      </c>
      <c r="R909" s="38">
        <v>8.9</v>
      </c>
      <c r="S909" s="38">
        <v>0.38</v>
      </c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38"/>
      <c r="AJ909" s="38"/>
      <c r="AK909" s="38"/>
      <c r="AL909" s="38"/>
      <c r="AM909" s="38"/>
      <c r="AN909" s="38"/>
      <c r="AO909" s="38"/>
      <c r="AP909" s="38"/>
      <c r="AQ909" s="38"/>
      <c r="AR909" s="38"/>
      <c r="AS909" s="38"/>
      <c r="AT909" s="38"/>
      <c r="AU909" s="38"/>
      <c r="AV909" s="38"/>
      <c r="AW909" s="38"/>
      <c r="AX909" s="38"/>
      <c r="AY909" s="38"/>
      <c r="AZ909" s="38"/>
      <c r="BA909" s="38"/>
      <c r="BB909" s="38"/>
    </row>
    <row r="910" spans="1:54">
      <c r="A910" s="38" t="s">
        <v>4716</v>
      </c>
      <c r="B910" s="38" t="s">
        <v>3652</v>
      </c>
      <c r="C910" s="38" t="s">
        <v>4705</v>
      </c>
      <c r="D910" s="38" t="s">
        <v>3399</v>
      </c>
      <c r="E910" s="38"/>
      <c r="F910" s="38"/>
      <c r="G910" s="38" t="s">
        <v>4711</v>
      </c>
      <c r="H910" s="38" t="s">
        <v>3400</v>
      </c>
      <c r="I910" s="38" t="s">
        <v>4707</v>
      </c>
      <c r="J910" s="38"/>
      <c r="K910" s="38">
        <v>480</v>
      </c>
      <c r="L910" s="38">
        <v>8.5</v>
      </c>
      <c r="M910" s="38"/>
      <c r="N910" s="38">
        <v>80.5</v>
      </c>
      <c r="O910" s="38">
        <v>0.78</v>
      </c>
      <c r="P910" s="38">
        <v>2.82</v>
      </c>
      <c r="Q910" s="38">
        <v>7.44</v>
      </c>
      <c r="R910" s="38">
        <v>8.9</v>
      </c>
      <c r="S910" s="38">
        <v>0.36</v>
      </c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38"/>
      <c r="AJ910" s="38"/>
      <c r="AK910" s="38"/>
      <c r="AL910" s="38"/>
      <c r="AM910" s="38"/>
      <c r="AN910" s="38"/>
      <c r="AO910" s="38"/>
      <c r="AP910" s="38"/>
      <c r="AQ910" s="38"/>
      <c r="AR910" s="38"/>
      <c r="AS910" s="38"/>
      <c r="AT910" s="38"/>
      <c r="AU910" s="38"/>
      <c r="AV910" s="38"/>
      <c r="AW910" s="38"/>
      <c r="AX910" s="38"/>
      <c r="AY910" s="38"/>
      <c r="AZ910" s="38"/>
      <c r="BA910" s="38"/>
      <c r="BB910" s="38"/>
    </row>
    <row r="911" spans="1:54">
      <c r="A911" s="38" t="s">
        <v>4717</v>
      </c>
      <c r="B911" s="38" t="s">
        <v>3652</v>
      </c>
      <c r="C911" s="38" t="s">
        <v>4705</v>
      </c>
      <c r="D911" s="38" t="s">
        <v>3399</v>
      </c>
      <c r="E911" s="38"/>
      <c r="F911" s="38"/>
      <c r="G911" s="38" t="s">
        <v>3997</v>
      </c>
      <c r="H911" s="38" t="s">
        <v>3400</v>
      </c>
      <c r="I911" s="38" t="s">
        <v>4707</v>
      </c>
      <c r="J911" s="38"/>
      <c r="K911" s="38">
        <v>530</v>
      </c>
      <c r="L911" s="38">
        <v>9.6999999999999993</v>
      </c>
      <c r="M911" s="38"/>
      <c r="N911" s="38">
        <v>84.1</v>
      </c>
      <c r="O911" s="38">
        <v>0.73</v>
      </c>
      <c r="P911" s="38">
        <v>1.89</v>
      </c>
      <c r="Q911" s="38">
        <v>3.51</v>
      </c>
      <c r="R911" s="38">
        <v>9.1</v>
      </c>
      <c r="S911" s="38">
        <v>0.38</v>
      </c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/>
      <c r="AJ911" s="38"/>
      <c r="AK911" s="38"/>
      <c r="AL911" s="38"/>
      <c r="AM911" s="38"/>
      <c r="AN911" s="38"/>
      <c r="AO911" s="38"/>
      <c r="AP911" s="38"/>
      <c r="AQ911" s="38"/>
      <c r="AR911" s="38"/>
      <c r="AS911" s="38"/>
      <c r="AT911" s="38"/>
      <c r="AU911" s="38"/>
      <c r="AV911" s="38"/>
      <c r="AW911" s="38"/>
      <c r="AX911" s="38"/>
      <c r="AY911" s="38"/>
      <c r="AZ911" s="38"/>
      <c r="BA911" s="38"/>
      <c r="BB911" s="38"/>
    </row>
    <row r="912" spans="1:54">
      <c r="A912" s="38" t="s">
        <v>4718</v>
      </c>
      <c r="B912" s="38" t="s">
        <v>3652</v>
      </c>
      <c r="C912" s="38" t="s">
        <v>4705</v>
      </c>
      <c r="D912" s="38" t="s">
        <v>3399</v>
      </c>
      <c r="E912" s="38"/>
      <c r="F912" s="38"/>
      <c r="G912" s="38" t="s">
        <v>4715</v>
      </c>
      <c r="H912" s="38" t="s">
        <v>3400</v>
      </c>
      <c r="I912" s="38" t="s">
        <v>4707</v>
      </c>
      <c r="J912" s="38"/>
      <c r="K912" s="38">
        <v>530</v>
      </c>
      <c r="L912" s="38">
        <v>9.6999999999999993</v>
      </c>
      <c r="M912" s="38"/>
      <c r="N912" s="38">
        <v>77.5</v>
      </c>
      <c r="O912" s="38">
        <v>0.88</v>
      </c>
      <c r="P912" s="38">
        <v>3.25</v>
      </c>
      <c r="Q912" s="38">
        <v>8.7200000000000006</v>
      </c>
      <c r="R912" s="38">
        <v>9.3000000000000007</v>
      </c>
      <c r="S912" s="38">
        <v>0.4</v>
      </c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38"/>
      <c r="AJ912" s="38"/>
      <c r="AK912" s="38"/>
      <c r="AL912" s="38"/>
      <c r="AM912" s="38"/>
      <c r="AN912" s="38"/>
      <c r="AO912" s="38"/>
      <c r="AP912" s="38"/>
      <c r="AQ912" s="38"/>
      <c r="AR912" s="38"/>
      <c r="AS912" s="38"/>
      <c r="AT912" s="38"/>
      <c r="AU912" s="38"/>
      <c r="AV912" s="38"/>
      <c r="AW912" s="38"/>
      <c r="AX912" s="38"/>
      <c r="AY912" s="38"/>
      <c r="AZ912" s="38"/>
      <c r="BA912" s="38"/>
      <c r="BB912" s="38"/>
    </row>
    <row r="913" spans="1:54">
      <c r="A913" s="38" t="s">
        <v>4719</v>
      </c>
      <c r="B913" s="38" t="s">
        <v>3652</v>
      </c>
      <c r="C913" s="38" t="s">
        <v>4705</v>
      </c>
      <c r="D913" s="38" t="s">
        <v>3399</v>
      </c>
      <c r="E913" s="38"/>
      <c r="F913" s="38"/>
      <c r="G913" s="38" t="s">
        <v>4720</v>
      </c>
      <c r="H913" s="38" t="s">
        <v>3400</v>
      </c>
      <c r="I913" s="38" t="s">
        <v>4707</v>
      </c>
      <c r="J913" s="38"/>
      <c r="K913" s="38">
        <v>530</v>
      </c>
      <c r="L913" s="38">
        <v>9.5</v>
      </c>
      <c r="M913" s="38"/>
      <c r="N913" s="38">
        <v>77.8</v>
      </c>
      <c r="O913" s="38">
        <v>0.91</v>
      </c>
      <c r="P913" s="38">
        <v>3.1</v>
      </c>
      <c r="Q913" s="38">
        <v>8.68</v>
      </c>
      <c r="R913" s="38">
        <v>9.5</v>
      </c>
      <c r="S913" s="38">
        <v>0.47</v>
      </c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  <c r="AS913" s="38"/>
      <c r="AT913" s="38"/>
      <c r="AU913" s="38"/>
      <c r="AV913" s="38"/>
      <c r="AW913" s="38"/>
      <c r="AX913" s="38"/>
      <c r="AY913" s="38"/>
      <c r="AZ913" s="38"/>
      <c r="BA913" s="38"/>
      <c r="BB913" s="38"/>
    </row>
    <row r="914" spans="1:54">
      <c r="A914" s="38" t="s">
        <v>4721</v>
      </c>
      <c r="B914" s="38" t="s">
        <v>3409</v>
      </c>
      <c r="C914" s="38" t="s">
        <v>4722</v>
      </c>
      <c r="D914" s="38" t="s">
        <v>3399</v>
      </c>
      <c r="E914" s="38"/>
      <c r="F914" s="38"/>
      <c r="G914" s="38" t="s">
        <v>3997</v>
      </c>
      <c r="H914" s="38" t="s">
        <v>3400</v>
      </c>
      <c r="I914" s="38" t="s">
        <v>4723</v>
      </c>
      <c r="J914" s="38"/>
      <c r="K914" s="38">
        <v>500</v>
      </c>
      <c r="L914" s="38">
        <v>12</v>
      </c>
      <c r="M914" s="38"/>
      <c r="N914" s="38">
        <v>74</v>
      </c>
      <c r="O914" s="38">
        <v>1</v>
      </c>
      <c r="P914" s="38">
        <v>2.6</v>
      </c>
      <c r="Q914" s="38">
        <v>22</v>
      </c>
      <c r="R914" s="38">
        <v>9.6</v>
      </c>
      <c r="S914" s="38">
        <v>7.0000000000000007E-2</v>
      </c>
      <c r="T914" s="38"/>
      <c r="U914" s="38"/>
      <c r="V914" s="38"/>
      <c r="W914" s="38"/>
      <c r="X914" s="38"/>
      <c r="Y914" s="38">
        <v>0.1</v>
      </c>
      <c r="Z914" s="38"/>
      <c r="AA914" s="38"/>
      <c r="AB914" s="38"/>
      <c r="AC914" s="38">
        <v>7.2</v>
      </c>
      <c r="AD914" s="38"/>
      <c r="AE914" s="38"/>
      <c r="AF914" s="38"/>
      <c r="AG914" s="38"/>
      <c r="AH914" s="38"/>
      <c r="AI914" s="38">
        <v>164</v>
      </c>
      <c r="AJ914" s="38"/>
      <c r="AK914" s="38"/>
      <c r="AL914" s="38"/>
      <c r="AM914" s="38"/>
      <c r="AN914" s="38">
        <v>69.599999999999994</v>
      </c>
      <c r="AO914" s="38"/>
      <c r="AP914" s="38"/>
      <c r="AQ914" s="38">
        <v>92.3</v>
      </c>
      <c r="AR914" s="38" t="s">
        <v>3792</v>
      </c>
      <c r="AS914" s="38"/>
      <c r="AT914" s="38">
        <v>2000</v>
      </c>
      <c r="AU914" s="38">
        <v>2000</v>
      </c>
      <c r="AV914" s="38">
        <v>3000</v>
      </c>
      <c r="AW914" s="38">
        <v>20000</v>
      </c>
      <c r="AX914" s="38"/>
      <c r="AY914" s="38">
        <v>1034</v>
      </c>
      <c r="AZ914" s="38"/>
      <c r="BA914" s="38"/>
      <c r="BB914" s="38"/>
    </row>
    <row r="915" spans="1:54">
      <c r="A915" s="38" t="s">
        <v>4368</v>
      </c>
      <c r="B915" s="38" t="s">
        <v>3652</v>
      </c>
      <c r="C915" s="38" t="s">
        <v>4724</v>
      </c>
      <c r="D915" s="38" t="s">
        <v>3399</v>
      </c>
      <c r="E915" s="38"/>
      <c r="F915" s="38"/>
      <c r="G915" s="38" t="s">
        <v>3997</v>
      </c>
      <c r="H915" s="38" t="s">
        <v>3400</v>
      </c>
      <c r="I915" s="38" t="s">
        <v>4723</v>
      </c>
      <c r="J915" s="38"/>
      <c r="K915" s="38">
        <v>500</v>
      </c>
      <c r="L915" s="38">
        <v>11</v>
      </c>
      <c r="M915" s="38"/>
      <c r="N915" s="38">
        <v>66</v>
      </c>
      <c r="O915" s="38">
        <v>2.1</v>
      </c>
      <c r="P915" s="38">
        <v>3.6</v>
      </c>
      <c r="Q915" s="38">
        <v>28</v>
      </c>
      <c r="R915" s="38">
        <v>8.8000000000000007</v>
      </c>
      <c r="S915" s="38">
        <v>0.06</v>
      </c>
      <c r="T915" s="38"/>
      <c r="U915" s="38"/>
      <c r="V915" s="38"/>
      <c r="W915" s="38"/>
      <c r="X915" s="38"/>
      <c r="Y915" s="38">
        <v>0.2</v>
      </c>
      <c r="Z915" s="38"/>
      <c r="AA915" s="38"/>
      <c r="AB915" s="38"/>
      <c r="AC915" s="38">
        <v>1.9</v>
      </c>
      <c r="AD915" s="38"/>
      <c r="AE915" s="38"/>
      <c r="AF915" s="38"/>
      <c r="AG915" s="38"/>
      <c r="AH915" s="38"/>
      <c r="AI915" s="38">
        <v>6</v>
      </c>
      <c r="AJ915" s="38"/>
      <c r="AK915" s="38"/>
      <c r="AL915" s="38"/>
      <c r="AM915" s="38"/>
      <c r="AN915" s="38">
        <v>68.28</v>
      </c>
      <c r="AO915" s="38"/>
      <c r="AP915" s="38"/>
      <c r="AQ915" s="38">
        <v>0.21</v>
      </c>
      <c r="AR915" s="38" t="s">
        <v>3792</v>
      </c>
      <c r="AS915" s="38"/>
      <c r="AT915" s="38">
        <v>3000</v>
      </c>
      <c r="AU915" s="38">
        <v>10000</v>
      </c>
      <c r="AV915" s="38">
        <v>3000</v>
      </c>
      <c r="AW915" s="38">
        <v>19000</v>
      </c>
      <c r="AX915" s="38"/>
      <c r="AY915" s="38">
        <v>210</v>
      </c>
      <c r="AZ915" s="38"/>
      <c r="BA915" s="38"/>
      <c r="BB915" s="38"/>
    </row>
    <row r="916" spans="1:54">
      <c r="A916" s="38" t="s">
        <v>4725</v>
      </c>
      <c r="B916" s="38" t="s">
        <v>1948</v>
      </c>
      <c r="C916" s="38"/>
      <c r="D916" s="38" t="s">
        <v>3399</v>
      </c>
      <c r="E916" s="38"/>
      <c r="F916" s="38"/>
      <c r="G916" s="38" t="s">
        <v>3997</v>
      </c>
      <c r="H916" s="38" t="s">
        <v>3400</v>
      </c>
      <c r="I916" s="38" t="s">
        <v>4726</v>
      </c>
      <c r="J916" s="38"/>
      <c r="K916" s="38">
        <v>330</v>
      </c>
      <c r="L916" s="38"/>
      <c r="M916" s="38">
        <v>31.72</v>
      </c>
      <c r="N916" s="38"/>
      <c r="O916" s="38">
        <v>3.4</v>
      </c>
      <c r="P916" s="38">
        <v>2.5</v>
      </c>
      <c r="Q916" s="38"/>
      <c r="R916" s="38">
        <v>8.81</v>
      </c>
      <c r="S916" s="38">
        <v>3.86</v>
      </c>
      <c r="T916" s="38"/>
      <c r="U916" s="38"/>
      <c r="V916" s="38"/>
      <c r="W916" s="38"/>
      <c r="X916" s="38"/>
      <c r="Y916" s="38">
        <v>0.5</v>
      </c>
      <c r="Z916" s="38">
        <v>0.4</v>
      </c>
      <c r="AA916" s="38">
        <v>3.7</v>
      </c>
      <c r="AB916" s="38"/>
      <c r="AC916" s="38">
        <v>76</v>
      </c>
      <c r="AD916" s="38">
        <v>2.5</v>
      </c>
      <c r="AE916" s="38">
        <v>0.02</v>
      </c>
      <c r="AF916" s="38">
        <v>0.1</v>
      </c>
      <c r="AG916" s="38">
        <v>2.1</v>
      </c>
      <c r="AH916" s="38"/>
      <c r="AI916" s="38">
        <v>317</v>
      </c>
      <c r="AJ916" s="38">
        <v>5</v>
      </c>
      <c r="AK916" s="38">
        <v>10</v>
      </c>
      <c r="AL916" s="38">
        <v>25</v>
      </c>
      <c r="AM916" s="38"/>
      <c r="AN916" s="38"/>
      <c r="AO916" s="38"/>
      <c r="AP916" s="38"/>
      <c r="AQ916" s="38"/>
      <c r="AR916" s="38"/>
      <c r="AS916" s="38"/>
      <c r="AT916" s="38"/>
      <c r="AU916" s="38"/>
      <c r="AV916" s="38">
        <v>22000</v>
      </c>
      <c r="AW916" s="38"/>
      <c r="AX916" s="38"/>
      <c r="AY916" s="38"/>
      <c r="AZ916" s="38"/>
      <c r="BA916" s="38"/>
      <c r="BB916" s="38"/>
    </row>
    <row r="917" spans="1:54">
      <c r="A917" s="38" t="s">
        <v>3599</v>
      </c>
      <c r="B917" s="38" t="s">
        <v>3455</v>
      </c>
      <c r="C917" s="38"/>
      <c r="D917" s="38" t="s">
        <v>3399</v>
      </c>
      <c r="E917" s="38"/>
      <c r="F917" s="38"/>
      <c r="G917" s="38" t="s">
        <v>3997</v>
      </c>
      <c r="H917" s="38" t="s">
        <v>3400</v>
      </c>
      <c r="I917" s="38" t="s">
        <v>4727</v>
      </c>
      <c r="J917" s="38"/>
      <c r="K917" s="38">
        <v>300</v>
      </c>
      <c r="L917" s="38">
        <v>4.93</v>
      </c>
      <c r="M917" s="38"/>
      <c r="N917" s="38">
        <v>74.17</v>
      </c>
      <c r="O917" s="38"/>
      <c r="P917" s="38">
        <v>3.76</v>
      </c>
      <c r="Q917" s="38">
        <v>14.54</v>
      </c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  <c r="AK917" s="38"/>
      <c r="AL917" s="38"/>
      <c r="AM917" s="38"/>
      <c r="AN917" s="38"/>
      <c r="AO917" s="38"/>
      <c r="AP917" s="38">
        <v>27.89</v>
      </c>
      <c r="AQ917" s="38"/>
      <c r="AR917" s="38"/>
      <c r="AS917" s="38"/>
      <c r="AT917" s="38"/>
      <c r="AU917" s="38"/>
      <c r="AV917" s="38"/>
      <c r="AW917" s="38"/>
      <c r="AX917" s="38"/>
      <c r="AY917" s="38"/>
      <c r="AZ917" s="38"/>
      <c r="BA917" s="38"/>
      <c r="BB917" s="38"/>
    </row>
    <row r="918" spans="1:54">
      <c r="A918" s="38" t="s">
        <v>3601</v>
      </c>
      <c r="B918" s="38" t="s">
        <v>3455</v>
      </c>
      <c r="C918" s="38"/>
      <c r="D918" s="38" t="s">
        <v>3399</v>
      </c>
      <c r="E918" s="38"/>
      <c r="F918" s="38"/>
      <c r="G918" s="38" t="s">
        <v>3997</v>
      </c>
      <c r="H918" s="38" t="s">
        <v>3400</v>
      </c>
      <c r="I918" s="38" t="s">
        <v>4727</v>
      </c>
      <c r="J918" s="38"/>
      <c r="K918" s="38">
        <v>400</v>
      </c>
      <c r="L918" s="38">
        <v>3.99</v>
      </c>
      <c r="M918" s="38"/>
      <c r="N918" s="38">
        <v>81.64</v>
      </c>
      <c r="O918" s="38"/>
      <c r="P918" s="38">
        <v>2.69</v>
      </c>
      <c r="Q918" s="38">
        <v>5.26</v>
      </c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38"/>
      <c r="AJ918" s="38"/>
      <c r="AK918" s="38"/>
      <c r="AL918" s="38"/>
      <c r="AM918" s="38"/>
      <c r="AN918" s="38"/>
      <c r="AO918" s="38"/>
      <c r="AP918" s="38">
        <v>19.57</v>
      </c>
      <c r="AQ918" s="38"/>
      <c r="AR918" s="38"/>
      <c r="AS918" s="38"/>
      <c r="AT918" s="38"/>
      <c r="AU918" s="38"/>
      <c r="AV918" s="38"/>
      <c r="AW918" s="38"/>
      <c r="AX918" s="38"/>
      <c r="AY918" s="38"/>
      <c r="AZ918" s="38"/>
      <c r="BA918" s="38"/>
      <c r="BB918" s="38"/>
    </row>
    <row r="919" spans="1:54">
      <c r="A919" s="38" t="s">
        <v>3603</v>
      </c>
      <c r="B919" s="38" t="s">
        <v>3455</v>
      </c>
      <c r="C919" s="38"/>
      <c r="D919" s="38" t="s">
        <v>3399</v>
      </c>
      <c r="E919" s="38"/>
      <c r="F919" s="38"/>
      <c r="G919" s="38" t="s">
        <v>3997</v>
      </c>
      <c r="H919" s="38" t="s">
        <v>3400</v>
      </c>
      <c r="I919" s="38" t="s">
        <v>4727</v>
      </c>
      <c r="J919" s="38"/>
      <c r="K919" s="38">
        <v>500</v>
      </c>
      <c r="L919" s="38">
        <v>2.37</v>
      </c>
      <c r="M919" s="38"/>
      <c r="N919" s="38">
        <v>83.2</v>
      </c>
      <c r="O919" s="38"/>
      <c r="P919" s="38">
        <v>2.74</v>
      </c>
      <c r="Q919" s="38">
        <v>4.05</v>
      </c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  <c r="AL919" s="38"/>
      <c r="AM919" s="38"/>
      <c r="AN919" s="38"/>
      <c r="AO919" s="38"/>
      <c r="AP919" s="38">
        <v>11.67</v>
      </c>
      <c r="AQ919" s="38"/>
      <c r="AR919" s="38"/>
      <c r="AS919" s="38"/>
      <c r="AT919" s="38"/>
      <c r="AU919" s="38"/>
      <c r="AV919" s="38"/>
      <c r="AW919" s="38"/>
      <c r="AX919" s="38"/>
      <c r="AY919" s="38"/>
      <c r="AZ919" s="38"/>
      <c r="BA919" s="38"/>
      <c r="BB919" s="38"/>
    </row>
    <row r="920" spans="1:54">
      <c r="A920" s="38" t="s">
        <v>4686</v>
      </c>
      <c r="B920" s="38" t="s">
        <v>3449</v>
      </c>
      <c r="C920" s="38" t="s">
        <v>4728</v>
      </c>
      <c r="D920" s="38" t="s">
        <v>3399</v>
      </c>
      <c r="E920" s="38"/>
      <c r="F920" s="38"/>
      <c r="G920" s="38" t="s">
        <v>3997</v>
      </c>
      <c r="H920" s="38" t="s">
        <v>3400</v>
      </c>
      <c r="I920" s="38" t="s">
        <v>4729</v>
      </c>
      <c r="J920" s="38">
        <v>2.2000000000000002</v>
      </c>
      <c r="K920" s="38">
        <v>600</v>
      </c>
      <c r="L920" s="38">
        <v>6.7</v>
      </c>
      <c r="M920" s="38"/>
      <c r="N920" s="38">
        <v>90.6</v>
      </c>
      <c r="O920" s="38">
        <v>0.9</v>
      </c>
      <c r="P920" s="38">
        <v>2.8</v>
      </c>
      <c r="Q920" s="38">
        <v>7.9</v>
      </c>
      <c r="R920" s="38">
        <v>6.1</v>
      </c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38"/>
      <c r="AJ920" s="38"/>
      <c r="AK920" s="38"/>
      <c r="AL920" s="38"/>
      <c r="AM920" s="38"/>
      <c r="AN920" s="38"/>
      <c r="AO920" s="38"/>
      <c r="AP920" s="38">
        <v>11.5</v>
      </c>
      <c r="AQ920" s="38">
        <v>220</v>
      </c>
      <c r="AR920" s="38"/>
      <c r="AS920" s="38"/>
      <c r="AT920" s="38"/>
      <c r="AU920" s="38"/>
      <c r="AV920" s="38"/>
      <c r="AW920" s="38"/>
      <c r="AX920" s="38"/>
      <c r="AY920" s="38"/>
      <c r="AZ920" s="38"/>
      <c r="BA920" s="38"/>
      <c r="BB920" s="38"/>
    </row>
    <row r="921" spans="1:54">
      <c r="A921" s="38" t="s">
        <v>4730</v>
      </c>
      <c r="B921" s="38" t="s">
        <v>3409</v>
      </c>
      <c r="C921" s="38" t="s">
        <v>4731</v>
      </c>
      <c r="D921" s="38" t="s">
        <v>3399</v>
      </c>
      <c r="E921" s="38"/>
      <c r="F921" s="38"/>
      <c r="G921" s="38" t="s">
        <v>3997</v>
      </c>
      <c r="H921" s="38" t="s">
        <v>3400</v>
      </c>
      <c r="I921" s="38" t="s">
        <v>4729</v>
      </c>
      <c r="J921" s="38">
        <v>3.7</v>
      </c>
      <c r="K921" s="38">
        <v>600</v>
      </c>
      <c r="L921" s="38">
        <v>13</v>
      </c>
      <c r="M921" s="38"/>
      <c r="N921" s="38">
        <v>88.6</v>
      </c>
      <c r="O921" s="38">
        <v>1.3</v>
      </c>
      <c r="P921" s="38">
        <v>2.8</v>
      </c>
      <c r="Q921" s="38">
        <v>13.7</v>
      </c>
      <c r="R921" s="38">
        <v>8.6</v>
      </c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38"/>
      <c r="AJ921" s="38"/>
      <c r="AK921" s="38"/>
      <c r="AL921" s="38"/>
      <c r="AM921" s="38"/>
      <c r="AN921" s="38"/>
      <c r="AO921" s="38"/>
      <c r="AP921" s="38">
        <v>30.1</v>
      </c>
      <c r="AQ921" s="38">
        <v>149.1</v>
      </c>
      <c r="AR921" s="38"/>
      <c r="AS921" s="38"/>
      <c r="AT921" s="38"/>
      <c r="AU921" s="38"/>
      <c r="AV921" s="38"/>
      <c r="AW921" s="38"/>
      <c r="AX921" s="38"/>
      <c r="AY921" s="38"/>
      <c r="AZ921" s="38"/>
      <c r="BA921" s="38"/>
      <c r="BB921" s="38"/>
    </row>
    <row r="922" spans="1:54">
      <c r="A922" s="38" t="s">
        <v>4359</v>
      </c>
      <c r="B922" s="38" t="s">
        <v>3431</v>
      </c>
      <c r="C922" s="38" t="s">
        <v>4620</v>
      </c>
      <c r="D922" s="38" t="s">
        <v>3399</v>
      </c>
      <c r="E922" s="38"/>
      <c r="F922" s="38"/>
      <c r="G922" s="38" t="s">
        <v>3997</v>
      </c>
      <c r="H922" s="38" t="s">
        <v>3400</v>
      </c>
      <c r="I922" s="38" t="s">
        <v>4729</v>
      </c>
      <c r="J922" s="38">
        <v>5.7</v>
      </c>
      <c r="K922" s="38">
        <v>600</v>
      </c>
      <c r="L922" s="38">
        <v>47</v>
      </c>
      <c r="M922" s="38"/>
      <c r="N922" s="38">
        <v>54.5</v>
      </c>
      <c r="O922" s="38">
        <v>1.1000000000000001</v>
      </c>
      <c r="P922" s="38">
        <v>2.1</v>
      </c>
      <c r="Q922" s="38">
        <v>5.4</v>
      </c>
      <c r="R922" s="38">
        <v>9.9</v>
      </c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38"/>
      <c r="AJ922" s="38"/>
      <c r="AK922" s="38"/>
      <c r="AL922" s="38"/>
      <c r="AM922" s="38"/>
      <c r="AN922" s="38"/>
      <c r="AO922" s="38"/>
      <c r="AP922" s="38">
        <v>13.9</v>
      </c>
      <c r="AQ922" s="38">
        <v>114.9</v>
      </c>
      <c r="AR922" s="38"/>
      <c r="AS922" s="38"/>
      <c r="AT922" s="38"/>
      <c r="AU922" s="38"/>
      <c r="AV922" s="38"/>
      <c r="AW922" s="38"/>
      <c r="AX922" s="38"/>
      <c r="AY922" s="38"/>
      <c r="AZ922" s="38"/>
      <c r="BA922" s="38"/>
      <c r="BB922" s="38"/>
    </row>
    <row r="923" spans="1:54">
      <c r="A923" s="38" t="s">
        <v>4091</v>
      </c>
      <c r="B923" s="38" t="s">
        <v>3652</v>
      </c>
      <c r="C923" s="38" t="s">
        <v>4732</v>
      </c>
      <c r="D923" s="38" t="s">
        <v>3399</v>
      </c>
      <c r="E923" s="38"/>
      <c r="F923" s="38"/>
      <c r="G923" s="38" t="s">
        <v>3997</v>
      </c>
      <c r="H923" s="38" t="s">
        <v>3400</v>
      </c>
      <c r="I923" s="38" t="s">
        <v>4729</v>
      </c>
      <c r="J923" s="38">
        <v>7.1</v>
      </c>
      <c r="K923" s="38">
        <v>600</v>
      </c>
      <c r="L923" s="38">
        <v>4.0999999999999996</v>
      </c>
      <c r="M923" s="38"/>
      <c r="N923" s="38">
        <v>93.9</v>
      </c>
      <c r="O923" s="38">
        <v>0.4</v>
      </c>
      <c r="P923" s="38">
        <v>3</v>
      </c>
      <c r="Q923" s="38">
        <v>2.6</v>
      </c>
      <c r="R923" s="38">
        <v>8.5</v>
      </c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  <c r="AK923" s="38"/>
      <c r="AL923" s="38"/>
      <c r="AM923" s="38"/>
      <c r="AN923" s="38"/>
      <c r="AO923" s="38"/>
      <c r="AP923" s="38">
        <v>8.1</v>
      </c>
      <c r="AQ923" s="38">
        <v>222.5</v>
      </c>
      <c r="AR923" s="38"/>
      <c r="AS923" s="38"/>
      <c r="AT923" s="38"/>
      <c r="AU923" s="38"/>
      <c r="AV923" s="38"/>
      <c r="AW923" s="38"/>
      <c r="AX923" s="38"/>
      <c r="AY923" s="38"/>
      <c r="AZ923" s="38"/>
      <c r="BA923" s="38"/>
      <c r="BB923" s="38"/>
    </row>
    <row r="924" spans="1:54">
      <c r="A924" s="38" t="s">
        <v>3991</v>
      </c>
      <c r="B924" s="38" t="s">
        <v>3409</v>
      </c>
      <c r="C924" s="38" t="s">
        <v>4381</v>
      </c>
      <c r="D924" s="38" t="s">
        <v>3399</v>
      </c>
      <c r="E924" s="38"/>
      <c r="F924" s="38"/>
      <c r="G924" s="38" t="s">
        <v>3997</v>
      </c>
      <c r="H924" s="38" t="s">
        <v>3400</v>
      </c>
      <c r="I924" s="38" t="s">
        <v>4729</v>
      </c>
      <c r="J924" s="38">
        <v>8.1</v>
      </c>
      <c r="K924" s="38">
        <v>600</v>
      </c>
      <c r="L924" s="38">
        <v>23.4</v>
      </c>
      <c r="M924" s="38"/>
      <c r="N924" s="38">
        <v>75.3</v>
      </c>
      <c r="O924" s="38">
        <v>1</v>
      </c>
      <c r="P924" s="38">
        <v>2.6</v>
      </c>
      <c r="Q924" s="38">
        <v>4.5</v>
      </c>
      <c r="R924" s="38">
        <v>11.6</v>
      </c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38"/>
      <c r="AJ924" s="38"/>
      <c r="AK924" s="38"/>
      <c r="AL924" s="38"/>
      <c r="AM924" s="38"/>
      <c r="AN924" s="38"/>
      <c r="AO924" s="38"/>
      <c r="AP924" s="38">
        <v>21.2</v>
      </c>
      <c r="AQ924" s="38">
        <v>6.3</v>
      </c>
      <c r="AR924" s="38"/>
      <c r="AS924" s="38"/>
      <c r="AT924" s="38"/>
      <c r="AU924" s="38"/>
      <c r="AV924" s="38"/>
      <c r="AW924" s="38"/>
      <c r="AX924" s="38"/>
      <c r="AY924" s="38"/>
      <c r="AZ924" s="38"/>
      <c r="BA924" s="38"/>
      <c r="BB924" s="38"/>
    </row>
    <row r="925" spans="1:54">
      <c r="A925" s="38" t="s">
        <v>4733</v>
      </c>
      <c r="B925" s="38" t="s">
        <v>3652</v>
      </c>
      <c r="C925" s="38" t="s">
        <v>4734</v>
      </c>
      <c r="D925" s="38" t="s">
        <v>3399</v>
      </c>
      <c r="E925" s="38"/>
      <c r="F925" s="38"/>
      <c r="G925" s="38" t="s">
        <v>3997</v>
      </c>
      <c r="H925" s="38" t="s">
        <v>3400</v>
      </c>
      <c r="I925" s="38" t="s">
        <v>4729</v>
      </c>
      <c r="J925" s="38">
        <v>8.5</v>
      </c>
      <c r="K925" s="38">
        <v>600</v>
      </c>
      <c r="L925" s="38">
        <v>9.5</v>
      </c>
      <c r="M925" s="38"/>
      <c r="N925" s="38">
        <v>83.2</v>
      </c>
      <c r="O925" s="38">
        <v>4.8</v>
      </c>
      <c r="P925" s="38">
        <v>3.2</v>
      </c>
      <c r="Q925" s="38">
        <v>14.2</v>
      </c>
      <c r="R925" s="38">
        <v>10.3</v>
      </c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38"/>
      <c r="AJ925" s="38"/>
      <c r="AK925" s="38"/>
      <c r="AL925" s="38"/>
      <c r="AM925" s="38"/>
      <c r="AN925" s="38"/>
      <c r="AO925" s="38"/>
      <c r="AP925" s="38">
        <v>28.8</v>
      </c>
      <c r="AQ925" s="38">
        <v>121.12</v>
      </c>
      <c r="AR925" s="38"/>
      <c r="AS925" s="38"/>
      <c r="AT925" s="38"/>
      <c r="AU925" s="38"/>
      <c r="AV925" s="38"/>
      <c r="AW925" s="38"/>
      <c r="AX925" s="38"/>
      <c r="AY925" s="38"/>
      <c r="AZ925" s="38"/>
      <c r="BA925" s="38"/>
      <c r="BB925" s="38"/>
    </row>
    <row r="926" spans="1:54">
      <c r="A926" s="38" t="s">
        <v>4735</v>
      </c>
      <c r="B926" s="38" t="s">
        <v>3487</v>
      </c>
      <c r="C926" s="38" t="s">
        <v>4736</v>
      </c>
      <c r="D926" s="38" t="s">
        <v>3399</v>
      </c>
      <c r="E926" s="38"/>
      <c r="F926" s="38"/>
      <c r="G926" s="38" t="s">
        <v>3997</v>
      </c>
      <c r="H926" s="38" t="s">
        <v>3400</v>
      </c>
      <c r="I926" s="38" t="s">
        <v>4729</v>
      </c>
      <c r="J926" s="38">
        <v>10</v>
      </c>
      <c r="K926" s="38">
        <v>600</v>
      </c>
      <c r="L926" s="38">
        <v>18.100000000000001</v>
      </c>
      <c r="M926" s="38"/>
      <c r="N926" s="38">
        <v>71.8</v>
      </c>
      <c r="O926" s="38">
        <v>1.9</v>
      </c>
      <c r="P926" s="38">
        <v>2.8</v>
      </c>
      <c r="Q926" s="38">
        <v>11.6</v>
      </c>
      <c r="R926" s="38">
        <v>10.5</v>
      </c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38"/>
      <c r="AJ926" s="38"/>
      <c r="AK926" s="38"/>
      <c r="AL926" s="38"/>
      <c r="AM926" s="38"/>
      <c r="AN926" s="38"/>
      <c r="AO926" s="38"/>
      <c r="AP926" s="38">
        <v>20.9</v>
      </c>
      <c r="AQ926" s="38">
        <v>1.2</v>
      </c>
      <c r="AR926" s="38"/>
      <c r="AS926" s="38"/>
      <c r="AT926" s="38"/>
      <c r="AU926" s="38"/>
      <c r="AV926" s="38"/>
      <c r="AW926" s="38"/>
      <c r="AX926" s="38"/>
      <c r="AY926" s="38"/>
      <c r="AZ926" s="38"/>
      <c r="BA926" s="38"/>
      <c r="BB926" s="38"/>
    </row>
    <row r="927" spans="1:54">
      <c r="A927" s="38" t="s">
        <v>4737</v>
      </c>
      <c r="B927" s="38" t="s">
        <v>3431</v>
      </c>
      <c r="C927" s="38" t="s">
        <v>4738</v>
      </c>
      <c r="D927" s="38" t="s">
        <v>3399</v>
      </c>
      <c r="E927" s="38"/>
      <c r="F927" s="38"/>
      <c r="G927" s="38" t="s">
        <v>3997</v>
      </c>
      <c r="H927" s="38" t="s">
        <v>3400</v>
      </c>
      <c r="I927" s="38" t="s">
        <v>4729</v>
      </c>
      <c r="J927" s="38">
        <v>10.4</v>
      </c>
      <c r="K927" s="38">
        <v>600</v>
      </c>
      <c r="L927" s="38">
        <v>13.5</v>
      </c>
      <c r="M927" s="38"/>
      <c r="N927" s="38">
        <v>82.6</v>
      </c>
      <c r="O927" s="38">
        <v>2.4</v>
      </c>
      <c r="P927" s="38">
        <v>2.7</v>
      </c>
      <c r="Q927" s="38">
        <v>12.8</v>
      </c>
      <c r="R927" s="38">
        <v>9.6</v>
      </c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  <c r="AK927" s="38"/>
      <c r="AL927" s="38"/>
      <c r="AM927" s="38"/>
      <c r="AN927" s="38"/>
      <c r="AO927" s="38"/>
      <c r="AP927" s="38">
        <v>25.1</v>
      </c>
      <c r="AQ927" s="38">
        <v>23.2</v>
      </c>
      <c r="AR927" s="38"/>
      <c r="AS927" s="38"/>
      <c r="AT927" s="38"/>
      <c r="AU927" s="38"/>
      <c r="AV927" s="38"/>
      <c r="AW927" s="38"/>
      <c r="AX927" s="38"/>
      <c r="AY927" s="38"/>
      <c r="AZ927" s="38"/>
      <c r="BA927" s="38"/>
      <c r="BB927" s="38"/>
    </row>
    <row r="928" spans="1:54">
      <c r="A928" s="38" t="s">
        <v>4739</v>
      </c>
      <c r="B928" s="38" t="s">
        <v>3471</v>
      </c>
      <c r="C928" s="38"/>
      <c r="D928" s="38" t="s">
        <v>3399</v>
      </c>
      <c r="E928" s="38"/>
      <c r="F928" s="38"/>
      <c r="G928" s="38" t="s">
        <v>3997</v>
      </c>
      <c r="H928" s="38" t="s">
        <v>3400</v>
      </c>
      <c r="I928" s="38" t="s">
        <v>4740</v>
      </c>
      <c r="J928" s="38"/>
      <c r="K928" s="38">
        <v>550</v>
      </c>
      <c r="L928" s="38"/>
      <c r="M928" s="38"/>
      <c r="N928" s="38">
        <v>87.5</v>
      </c>
      <c r="O928" s="38">
        <v>0.32</v>
      </c>
      <c r="P928" s="38">
        <v>2.63</v>
      </c>
      <c r="Q928" s="38">
        <v>9.5500000000000007</v>
      </c>
      <c r="R928" s="38">
        <v>8.4</v>
      </c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  <c r="AK928" s="38"/>
      <c r="AL928" s="38"/>
      <c r="AM928" s="38"/>
      <c r="AN928" s="38">
        <v>6.3</v>
      </c>
      <c r="AO928" s="38"/>
      <c r="AP928" s="38"/>
      <c r="AQ928" s="38">
        <v>85</v>
      </c>
      <c r="AR928" s="38" t="s">
        <v>3792</v>
      </c>
      <c r="AS928" s="38"/>
      <c r="AT928" s="38">
        <v>49.8</v>
      </c>
      <c r="AU928" s="38"/>
      <c r="AV928" s="38">
        <v>21.8</v>
      </c>
      <c r="AW928" s="38">
        <v>177.1</v>
      </c>
      <c r="AX928" s="38"/>
      <c r="AY928" s="38"/>
      <c r="AZ928" s="38"/>
      <c r="BA928" s="38"/>
      <c r="BB928" s="38"/>
    </row>
    <row r="929" spans="1:54">
      <c r="A929" s="38" t="s">
        <v>4741</v>
      </c>
      <c r="B929" s="38" t="s">
        <v>3455</v>
      </c>
      <c r="C929" s="38"/>
      <c r="D929" s="38" t="s">
        <v>3399</v>
      </c>
      <c r="E929" s="38"/>
      <c r="F929" s="38"/>
      <c r="G929" s="38" t="s">
        <v>4742</v>
      </c>
      <c r="H929" s="38" t="s">
        <v>3400</v>
      </c>
      <c r="I929" s="38" t="s">
        <v>4740</v>
      </c>
      <c r="J929" s="38"/>
      <c r="K929" s="38">
        <v>500</v>
      </c>
      <c r="L929" s="38"/>
      <c r="M929" s="38"/>
      <c r="N929" s="38">
        <v>79.5</v>
      </c>
      <c r="O929" s="38">
        <v>0.2</v>
      </c>
      <c r="P929" s="38">
        <v>3.89</v>
      </c>
      <c r="Q929" s="38">
        <v>13.3</v>
      </c>
      <c r="R929" s="38">
        <v>4.2</v>
      </c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  <c r="AL929" s="38"/>
      <c r="AM929" s="38"/>
      <c r="AN929" s="38">
        <v>17.8</v>
      </c>
      <c r="AO929" s="38"/>
      <c r="AP929" s="38"/>
      <c r="AQ929" s="38"/>
      <c r="AR929" s="38"/>
      <c r="AS929" s="38"/>
      <c r="AT929" s="38">
        <v>8.4</v>
      </c>
      <c r="AU929" s="38"/>
      <c r="AV929" s="38">
        <v>9</v>
      </c>
      <c r="AW929" s="38">
        <v>70.5</v>
      </c>
      <c r="AX929" s="38"/>
      <c r="AY929" s="38"/>
      <c r="AZ929" s="38"/>
      <c r="BA929" s="38"/>
      <c r="BB929" s="38"/>
    </row>
    <row r="930" spans="1:54">
      <c r="A930" s="38" t="s">
        <v>3985</v>
      </c>
      <c r="B930" s="38" t="s">
        <v>3409</v>
      </c>
      <c r="C930" s="38" t="s">
        <v>4440</v>
      </c>
      <c r="D930" s="38" t="s">
        <v>3399</v>
      </c>
      <c r="E930" s="38"/>
      <c r="F930" s="38"/>
      <c r="G930" s="38" t="s">
        <v>3997</v>
      </c>
      <c r="H930" s="38" t="s">
        <v>3400</v>
      </c>
      <c r="I930" s="38" t="s">
        <v>4743</v>
      </c>
      <c r="J930" s="38"/>
      <c r="K930" s="38">
        <v>450</v>
      </c>
      <c r="L930" s="38">
        <v>41</v>
      </c>
      <c r="M930" s="38"/>
      <c r="N930" s="38">
        <v>44.2</v>
      </c>
      <c r="O930" s="38">
        <v>1.44</v>
      </c>
      <c r="P930" s="38">
        <v>2.2400000000000002</v>
      </c>
      <c r="Q930" s="38"/>
      <c r="R930" s="38">
        <v>10.37</v>
      </c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38"/>
      <c r="AJ930" s="38"/>
      <c r="AK930" s="38"/>
      <c r="AL930" s="38"/>
      <c r="AM930" s="38"/>
      <c r="AN930" s="38"/>
      <c r="AO930" s="38"/>
      <c r="AP930" s="38"/>
      <c r="AQ930" s="38">
        <v>522.5</v>
      </c>
      <c r="AR930" s="38" t="s">
        <v>3792</v>
      </c>
      <c r="AS930" s="38"/>
      <c r="AT930" s="38"/>
      <c r="AU930" s="38"/>
      <c r="AV930" s="38"/>
      <c r="AW930" s="38"/>
      <c r="AX930" s="38"/>
      <c r="AY930" s="38"/>
      <c r="AZ930" s="38"/>
      <c r="BA930" s="38"/>
      <c r="BB930" s="38"/>
    </row>
    <row r="931" spans="1:54">
      <c r="A931" s="38" t="s">
        <v>4744</v>
      </c>
      <c r="B931" s="38" t="s">
        <v>3424</v>
      </c>
      <c r="C931" s="38"/>
      <c r="D931" s="38" t="s">
        <v>3399</v>
      </c>
      <c r="E931" s="38"/>
      <c r="F931" s="38"/>
      <c r="G931" s="38" t="s">
        <v>3997</v>
      </c>
      <c r="H931" s="38" t="s">
        <v>3400</v>
      </c>
      <c r="I931" s="38" t="s">
        <v>4743</v>
      </c>
      <c r="J931" s="38"/>
      <c r="K931" s="38">
        <v>450</v>
      </c>
      <c r="L931" s="38">
        <v>27.5</v>
      </c>
      <c r="M931" s="38"/>
      <c r="N931" s="38">
        <v>63.59</v>
      </c>
      <c r="O931" s="38">
        <v>1.35</v>
      </c>
      <c r="P931" s="38">
        <v>2.75</v>
      </c>
      <c r="Q931" s="38"/>
      <c r="R931" s="38">
        <v>10.16</v>
      </c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  <c r="AK931" s="38"/>
      <c r="AL931" s="38"/>
      <c r="AM931" s="38"/>
      <c r="AN931" s="38"/>
      <c r="AO931" s="38"/>
      <c r="AP931" s="38"/>
      <c r="AQ931" s="38">
        <v>551.70000000000005</v>
      </c>
      <c r="AR931" s="38" t="s">
        <v>3792</v>
      </c>
      <c r="AS931" s="38"/>
      <c r="AT931" s="38"/>
      <c r="AU931" s="38"/>
      <c r="AV931" s="38"/>
      <c r="AW931" s="38"/>
      <c r="AX931" s="38"/>
      <c r="AY931" s="38"/>
      <c r="AZ931" s="38"/>
      <c r="BA931" s="38"/>
      <c r="BB931" s="38"/>
    </row>
    <row r="932" spans="1:54">
      <c r="A932" s="38" t="s">
        <v>4745</v>
      </c>
      <c r="B932" s="38" t="s">
        <v>3471</v>
      </c>
      <c r="C932" s="38" t="s">
        <v>4746</v>
      </c>
      <c r="D932" s="38" t="s">
        <v>3399</v>
      </c>
      <c r="E932" s="38"/>
      <c r="F932" s="38"/>
      <c r="G932" s="38" t="s">
        <v>3997</v>
      </c>
      <c r="H932" s="38" t="s">
        <v>3400</v>
      </c>
      <c r="I932" s="38" t="s">
        <v>4747</v>
      </c>
      <c r="J932" s="38"/>
      <c r="K932" s="38">
        <v>400</v>
      </c>
      <c r="L932" s="38"/>
      <c r="M932" s="38"/>
      <c r="N932" s="38">
        <v>70.180000000000007</v>
      </c>
      <c r="O932" s="38">
        <v>0.76</v>
      </c>
      <c r="P932" s="38">
        <v>4.13</v>
      </c>
      <c r="Q932" s="38">
        <v>20.56</v>
      </c>
      <c r="R932" s="38">
        <v>7.02</v>
      </c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38"/>
      <c r="AJ932" s="38"/>
      <c r="AK932" s="38"/>
      <c r="AL932" s="38"/>
      <c r="AM932" s="38"/>
      <c r="AN932" s="38"/>
      <c r="AO932" s="38"/>
      <c r="AP932" s="38">
        <v>32.36</v>
      </c>
      <c r="AQ932" s="38">
        <v>11.9</v>
      </c>
      <c r="AR932" s="38" t="s">
        <v>3792</v>
      </c>
      <c r="AS932" s="38"/>
      <c r="AT932" s="38"/>
      <c r="AU932" s="38"/>
      <c r="AV932" s="38"/>
      <c r="AW932" s="38"/>
      <c r="AX932" s="38"/>
      <c r="AY932" s="38"/>
      <c r="AZ932" s="38"/>
      <c r="BA932" s="38"/>
      <c r="BB932" s="38"/>
    </row>
    <row r="933" spans="1:54">
      <c r="A933" s="38" t="s">
        <v>4748</v>
      </c>
      <c r="B933" s="38" t="s">
        <v>3471</v>
      </c>
      <c r="C933" s="38" t="s">
        <v>4746</v>
      </c>
      <c r="D933" s="38" t="s">
        <v>3399</v>
      </c>
      <c r="E933" s="38"/>
      <c r="F933" s="38"/>
      <c r="G933" s="38" t="s">
        <v>3997</v>
      </c>
      <c r="H933" s="38" t="s">
        <v>3400</v>
      </c>
      <c r="I933" s="38" t="s">
        <v>4747</v>
      </c>
      <c r="J933" s="38"/>
      <c r="K933" s="38">
        <v>500</v>
      </c>
      <c r="L933" s="38"/>
      <c r="M933" s="38"/>
      <c r="N933" s="38">
        <v>79.12</v>
      </c>
      <c r="O933" s="38">
        <v>0.34</v>
      </c>
      <c r="P933" s="38">
        <v>2.65</v>
      </c>
      <c r="Q933" s="38">
        <v>11.98</v>
      </c>
      <c r="R933" s="38">
        <v>9.64</v>
      </c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38"/>
      <c r="AJ933" s="38"/>
      <c r="AK933" s="38"/>
      <c r="AL933" s="38"/>
      <c r="AM933" s="38"/>
      <c r="AN933" s="38"/>
      <c r="AO933" s="38"/>
      <c r="AP933" s="38">
        <v>18.27</v>
      </c>
      <c r="AQ933" s="38">
        <v>58.6</v>
      </c>
      <c r="AR933" s="38" t="s">
        <v>3792</v>
      </c>
      <c r="AS933" s="38"/>
      <c r="AT933" s="38"/>
      <c r="AU933" s="38"/>
      <c r="AV933" s="38"/>
      <c r="AW933" s="38"/>
      <c r="AX933" s="38"/>
      <c r="AY933" s="38"/>
      <c r="AZ933" s="38"/>
      <c r="BA933" s="38"/>
      <c r="BB933" s="38"/>
    </row>
    <row r="934" spans="1:54">
      <c r="A934" s="38" t="s">
        <v>4749</v>
      </c>
      <c r="B934" s="38" t="s">
        <v>3471</v>
      </c>
      <c r="C934" s="38" t="s">
        <v>4746</v>
      </c>
      <c r="D934" s="38" t="s">
        <v>3399</v>
      </c>
      <c r="E934" s="38"/>
      <c r="F934" s="38"/>
      <c r="G934" s="38" t="s">
        <v>3997</v>
      </c>
      <c r="H934" s="38" t="s">
        <v>3400</v>
      </c>
      <c r="I934" s="38" t="s">
        <v>4747</v>
      </c>
      <c r="J934" s="38"/>
      <c r="K934" s="38">
        <v>600</v>
      </c>
      <c r="L934" s="38"/>
      <c r="M934" s="38"/>
      <c r="N934" s="38">
        <v>81.459999999999994</v>
      </c>
      <c r="O934" s="38">
        <v>0.46</v>
      </c>
      <c r="P934" s="38">
        <v>1.96</v>
      </c>
      <c r="Q934" s="38">
        <v>13.63</v>
      </c>
      <c r="R934" s="38">
        <v>10.039999999999999</v>
      </c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38"/>
      <c r="AJ934" s="38"/>
      <c r="AK934" s="38"/>
      <c r="AL934" s="38"/>
      <c r="AM934" s="38"/>
      <c r="AN934" s="38"/>
      <c r="AO934" s="38"/>
      <c r="AP934" s="38">
        <v>11.07</v>
      </c>
      <c r="AQ934" s="38">
        <v>208.69</v>
      </c>
      <c r="AR934" s="38" t="s">
        <v>3792</v>
      </c>
      <c r="AS934" s="38"/>
      <c r="AT934" s="38"/>
      <c r="AU934" s="38"/>
      <c r="AV934" s="38"/>
      <c r="AW934" s="38"/>
      <c r="AX934" s="38"/>
      <c r="AY934" s="38"/>
      <c r="AZ934" s="38"/>
      <c r="BA934" s="38"/>
      <c r="BB934" s="38"/>
    </row>
    <row r="935" spans="1:54">
      <c r="A935" s="38" t="s">
        <v>4750</v>
      </c>
      <c r="B935" s="38" t="s">
        <v>3471</v>
      </c>
      <c r="C935" s="38" t="s">
        <v>4746</v>
      </c>
      <c r="D935" s="38" t="s">
        <v>3399</v>
      </c>
      <c r="E935" s="38"/>
      <c r="F935" s="38"/>
      <c r="G935" s="38" t="s">
        <v>3997</v>
      </c>
      <c r="H935" s="38" t="s">
        <v>3400</v>
      </c>
      <c r="I935" s="38" t="s">
        <v>4747</v>
      </c>
      <c r="J935" s="38"/>
      <c r="K935" s="38">
        <v>700</v>
      </c>
      <c r="L935" s="38"/>
      <c r="M935" s="38"/>
      <c r="N935" s="38">
        <v>82.26</v>
      </c>
      <c r="O935" s="38">
        <v>0.41</v>
      </c>
      <c r="P935" s="38">
        <v>1.21</v>
      </c>
      <c r="Q935" s="38">
        <v>16.34</v>
      </c>
      <c r="R935" s="38">
        <v>10.029999999999999</v>
      </c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38"/>
      <c r="AJ935" s="38"/>
      <c r="AK935" s="38"/>
      <c r="AL935" s="38"/>
      <c r="AM935" s="38"/>
      <c r="AN935" s="38"/>
      <c r="AO935" s="38"/>
      <c r="AP935" s="38">
        <v>7.72</v>
      </c>
      <c r="AQ935" s="38">
        <v>418.66</v>
      </c>
      <c r="AR935" s="38" t="s">
        <v>3792</v>
      </c>
      <c r="AS935" s="38"/>
      <c r="AT935" s="38"/>
      <c r="AU935" s="38"/>
      <c r="AV935" s="38"/>
      <c r="AW935" s="38"/>
      <c r="AX935" s="38"/>
      <c r="AY935" s="38"/>
      <c r="AZ935" s="38"/>
      <c r="BA935" s="38"/>
      <c r="BB935" s="38"/>
    </row>
    <row r="936" spans="1:54">
      <c r="A936" s="38" t="s">
        <v>4751</v>
      </c>
      <c r="B936" s="38" t="s">
        <v>3471</v>
      </c>
      <c r="C936" s="38" t="s">
        <v>4746</v>
      </c>
      <c r="D936" s="38" t="s">
        <v>3399</v>
      </c>
      <c r="E936" s="38"/>
      <c r="F936" s="38"/>
      <c r="G936" s="38" t="s">
        <v>3997</v>
      </c>
      <c r="H936" s="38" t="s">
        <v>3400</v>
      </c>
      <c r="I936" s="38" t="s">
        <v>4747</v>
      </c>
      <c r="J936" s="38"/>
      <c r="K936" s="38">
        <v>800</v>
      </c>
      <c r="L936" s="38"/>
      <c r="M936" s="38"/>
      <c r="N936" s="38">
        <v>84.84</v>
      </c>
      <c r="O936" s="38">
        <v>0.34</v>
      </c>
      <c r="P936" s="38">
        <v>0.6</v>
      </c>
      <c r="Q936" s="38">
        <v>5.81</v>
      </c>
      <c r="R936" s="38">
        <v>10.02</v>
      </c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38"/>
      <c r="AJ936" s="38"/>
      <c r="AK936" s="38"/>
      <c r="AL936" s="38"/>
      <c r="AM936" s="38"/>
      <c r="AN936" s="38"/>
      <c r="AO936" s="38"/>
      <c r="AP936" s="38">
        <v>6.82</v>
      </c>
      <c r="AQ936" s="38">
        <v>545.42999999999995</v>
      </c>
      <c r="AR936" s="38" t="s">
        <v>3792</v>
      </c>
      <c r="AS936" s="38"/>
      <c r="AT936" s="38"/>
      <c r="AU936" s="38"/>
      <c r="AV936" s="38"/>
      <c r="AW936" s="38"/>
      <c r="AX936" s="38"/>
      <c r="AY936" s="38"/>
      <c r="AZ936" s="38"/>
      <c r="BA936" s="38"/>
      <c r="BB936" s="38"/>
    </row>
    <row r="937" spans="1:54">
      <c r="A937" s="38" t="s">
        <v>4752</v>
      </c>
      <c r="B937" s="38" t="s">
        <v>3471</v>
      </c>
      <c r="C937" s="38" t="s">
        <v>4753</v>
      </c>
      <c r="D937" s="38" t="s">
        <v>3399</v>
      </c>
      <c r="E937" s="38"/>
      <c r="F937" s="38"/>
      <c r="G937" s="38" t="s">
        <v>3997</v>
      </c>
      <c r="H937" s="38" t="s">
        <v>3400</v>
      </c>
      <c r="I937" s="38" t="s">
        <v>4747</v>
      </c>
      <c r="J937" s="38"/>
      <c r="K937" s="38">
        <v>400</v>
      </c>
      <c r="L937" s="38"/>
      <c r="M937" s="38"/>
      <c r="N937" s="38">
        <v>70.52</v>
      </c>
      <c r="O937" s="38">
        <v>0.69</v>
      </c>
      <c r="P937" s="38">
        <v>3.7</v>
      </c>
      <c r="Q937" s="38">
        <v>21.47</v>
      </c>
      <c r="R937" s="38">
        <v>6.43</v>
      </c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38"/>
      <c r="AJ937" s="38"/>
      <c r="AK937" s="38"/>
      <c r="AL937" s="38"/>
      <c r="AM937" s="38"/>
      <c r="AN937" s="38"/>
      <c r="AO937" s="38"/>
      <c r="AP937" s="38">
        <v>32.06</v>
      </c>
      <c r="AQ937" s="38">
        <v>5.6</v>
      </c>
      <c r="AR937" s="38" t="s">
        <v>3792</v>
      </c>
      <c r="AS937" s="38"/>
      <c r="AT937" s="38"/>
      <c r="AU937" s="38"/>
      <c r="AV937" s="38"/>
      <c r="AW937" s="38"/>
      <c r="AX937" s="38"/>
      <c r="AY937" s="38"/>
      <c r="AZ937" s="38"/>
      <c r="BA937" s="38"/>
      <c r="BB937" s="38"/>
    </row>
    <row r="938" spans="1:54">
      <c r="A938" s="38" t="s">
        <v>4754</v>
      </c>
      <c r="B938" s="38" t="s">
        <v>3471</v>
      </c>
      <c r="C938" s="38" t="s">
        <v>4753</v>
      </c>
      <c r="D938" s="38" t="s">
        <v>3399</v>
      </c>
      <c r="E938" s="38"/>
      <c r="F938" s="38"/>
      <c r="G938" s="38" t="s">
        <v>3997</v>
      </c>
      <c r="H938" s="38" t="s">
        <v>3400</v>
      </c>
      <c r="I938" s="38" t="s">
        <v>4747</v>
      </c>
      <c r="J938" s="38"/>
      <c r="K938" s="38">
        <v>500</v>
      </c>
      <c r="L938" s="38"/>
      <c r="M938" s="38"/>
      <c r="N938" s="38">
        <v>77.569999999999993</v>
      </c>
      <c r="O938" s="38">
        <v>0.51</v>
      </c>
      <c r="P938" s="38">
        <v>2.5099999999999998</v>
      </c>
      <c r="Q938" s="38">
        <v>17.73</v>
      </c>
      <c r="R938" s="38">
        <v>8.1</v>
      </c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38"/>
      <c r="AJ938" s="38"/>
      <c r="AK938" s="38"/>
      <c r="AL938" s="38"/>
      <c r="AM938" s="38"/>
      <c r="AN938" s="38"/>
      <c r="AO938" s="38"/>
      <c r="AP938" s="38">
        <v>19.420000000000002</v>
      </c>
      <c r="AQ938" s="38">
        <v>103.17</v>
      </c>
      <c r="AR938" s="38" t="s">
        <v>3792</v>
      </c>
      <c r="AS938" s="38"/>
      <c r="AT938" s="38"/>
      <c r="AU938" s="38"/>
      <c r="AV938" s="38"/>
      <c r="AW938" s="38"/>
      <c r="AX938" s="38"/>
      <c r="AY938" s="38"/>
      <c r="AZ938" s="38"/>
      <c r="BA938" s="38"/>
      <c r="BB938" s="38"/>
    </row>
    <row r="939" spans="1:54">
      <c r="A939" s="38" t="s">
        <v>4755</v>
      </c>
      <c r="B939" s="38" t="s">
        <v>3471</v>
      </c>
      <c r="C939" s="38" t="s">
        <v>4753</v>
      </c>
      <c r="D939" s="38" t="s">
        <v>3399</v>
      </c>
      <c r="E939" s="38"/>
      <c r="F939" s="38"/>
      <c r="G939" s="38" t="s">
        <v>3997</v>
      </c>
      <c r="H939" s="38" t="s">
        <v>3400</v>
      </c>
      <c r="I939" s="38" t="s">
        <v>4747</v>
      </c>
      <c r="J939" s="38"/>
      <c r="K939" s="38">
        <v>600</v>
      </c>
      <c r="L939" s="38"/>
      <c r="M939" s="38"/>
      <c r="N939" s="38">
        <v>81.22</v>
      </c>
      <c r="O939" s="38">
        <v>0.48</v>
      </c>
      <c r="P939" s="38">
        <v>1.92</v>
      </c>
      <c r="Q939" s="38">
        <v>15.96</v>
      </c>
      <c r="R939" s="38">
        <v>8.85</v>
      </c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38"/>
      <c r="AJ939" s="38"/>
      <c r="AK939" s="38"/>
      <c r="AL939" s="38"/>
      <c r="AM939" s="38"/>
      <c r="AN939" s="38"/>
      <c r="AO939" s="38"/>
      <c r="AP939" s="38">
        <v>12.3</v>
      </c>
      <c r="AQ939" s="38">
        <v>288.58</v>
      </c>
      <c r="AR939" s="38" t="s">
        <v>3792</v>
      </c>
      <c r="AS939" s="38"/>
      <c r="AT939" s="38"/>
      <c r="AU939" s="38"/>
      <c r="AV939" s="38"/>
      <c r="AW939" s="38"/>
      <c r="AX939" s="38"/>
      <c r="AY939" s="38"/>
      <c r="AZ939" s="38"/>
      <c r="BA939" s="38"/>
      <c r="BB939" s="38"/>
    </row>
    <row r="940" spans="1:54">
      <c r="A940" s="38" t="s">
        <v>4756</v>
      </c>
      <c r="B940" s="38" t="s">
        <v>3471</v>
      </c>
      <c r="C940" s="38" t="s">
        <v>4753</v>
      </c>
      <c r="D940" s="38" t="s">
        <v>3399</v>
      </c>
      <c r="E940" s="38"/>
      <c r="F940" s="38"/>
      <c r="G940" s="38" t="s">
        <v>3997</v>
      </c>
      <c r="H940" s="38" t="s">
        <v>3400</v>
      </c>
      <c r="I940" s="38" t="s">
        <v>4747</v>
      </c>
      <c r="J940" s="38"/>
      <c r="K940" s="38">
        <v>700</v>
      </c>
      <c r="L940" s="38"/>
      <c r="M940" s="38"/>
      <c r="N940" s="38">
        <v>83.22</v>
      </c>
      <c r="O940" s="38">
        <v>0.31</v>
      </c>
      <c r="P940" s="38">
        <v>1.1599999999999999</v>
      </c>
      <c r="Q940" s="38">
        <v>14.97</v>
      </c>
      <c r="R940" s="38">
        <v>9.5399999999999991</v>
      </c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38"/>
      <c r="AJ940" s="38"/>
      <c r="AK940" s="38"/>
      <c r="AL940" s="38"/>
      <c r="AM940" s="38"/>
      <c r="AN940" s="38"/>
      <c r="AO940" s="38"/>
      <c r="AP940" s="38">
        <v>8.2799999999999994</v>
      </c>
      <c r="AQ940" s="38">
        <v>335.61</v>
      </c>
      <c r="AR940" s="38" t="s">
        <v>3792</v>
      </c>
      <c r="AS940" s="38"/>
      <c r="AT940" s="38"/>
      <c r="AU940" s="38"/>
      <c r="AV940" s="38"/>
      <c r="AW940" s="38"/>
      <c r="AX940" s="38"/>
      <c r="AY940" s="38"/>
      <c r="AZ940" s="38"/>
      <c r="BA940" s="38"/>
      <c r="BB940" s="38"/>
    </row>
    <row r="941" spans="1:54">
      <c r="A941" s="38" t="s">
        <v>4757</v>
      </c>
      <c r="B941" s="38" t="s">
        <v>3471</v>
      </c>
      <c r="C941" s="38" t="s">
        <v>4753</v>
      </c>
      <c r="D941" s="38" t="s">
        <v>3399</v>
      </c>
      <c r="E941" s="38"/>
      <c r="F941" s="38"/>
      <c r="G941" s="38" t="s">
        <v>3997</v>
      </c>
      <c r="H941" s="38" t="s">
        <v>3400</v>
      </c>
      <c r="I941" s="38" t="s">
        <v>4747</v>
      </c>
      <c r="J941" s="38"/>
      <c r="K941" s="38">
        <v>800</v>
      </c>
      <c r="L941" s="38"/>
      <c r="M941" s="38"/>
      <c r="N941" s="38">
        <v>82.85</v>
      </c>
      <c r="O941" s="38">
        <v>0.32</v>
      </c>
      <c r="P941" s="38">
        <v>0.69</v>
      </c>
      <c r="Q941" s="38">
        <v>17.29</v>
      </c>
      <c r="R941" s="38">
        <v>9.68</v>
      </c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38"/>
      <c r="AJ941" s="38"/>
      <c r="AK941" s="38"/>
      <c r="AL941" s="38"/>
      <c r="AM941" s="38"/>
      <c r="AN941" s="38"/>
      <c r="AO941" s="38"/>
      <c r="AP941" s="38">
        <v>7.87</v>
      </c>
      <c r="AQ941" s="38">
        <v>398.15</v>
      </c>
      <c r="AR941" s="38" t="s">
        <v>3792</v>
      </c>
      <c r="AS941" s="38"/>
      <c r="AT941" s="38"/>
      <c r="AU941" s="38"/>
      <c r="AV941" s="38"/>
      <c r="AW941" s="38"/>
      <c r="AX941" s="38"/>
      <c r="AY941" s="38"/>
      <c r="AZ941" s="38"/>
      <c r="BA941" s="38"/>
      <c r="BB941" s="38"/>
    </row>
    <row r="942" spans="1:54">
      <c r="A942" s="38" t="s">
        <v>4040</v>
      </c>
      <c r="B942" s="38" t="s">
        <v>3431</v>
      </c>
      <c r="C942" s="38" t="s">
        <v>4620</v>
      </c>
      <c r="D942" s="38" t="s">
        <v>3399</v>
      </c>
      <c r="E942" s="38"/>
      <c r="F942" s="38"/>
      <c r="G942" s="38" t="s">
        <v>3997</v>
      </c>
      <c r="H942" s="38" t="s">
        <v>3400</v>
      </c>
      <c r="I942" s="38" t="s">
        <v>4747</v>
      </c>
      <c r="J942" s="38"/>
      <c r="K942" s="38">
        <v>400</v>
      </c>
      <c r="L942" s="38"/>
      <c r="M942" s="38"/>
      <c r="N942" s="38">
        <v>44.59</v>
      </c>
      <c r="O942" s="38">
        <v>0.69</v>
      </c>
      <c r="P942" s="38">
        <v>2.5</v>
      </c>
      <c r="Q942" s="38">
        <v>16.32</v>
      </c>
      <c r="R942" s="38">
        <v>6.84</v>
      </c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38"/>
      <c r="AJ942" s="38"/>
      <c r="AK942" s="38"/>
      <c r="AL942" s="38"/>
      <c r="AM942" s="38"/>
      <c r="AN942" s="38"/>
      <c r="AO942" s="38"/>
      <c r="AP942" s="38">
        <v>22</v>
      </c>
      <c r="AQ942" s="38">
        <v>193.7</v>
      </c>
      <c r="AR942" s="38" t="s">
        <v>3792</v>
      </c>
      <c r="AS942" s="38"/>
      <c r="AT942" s="38"/>
      <c r="AU942" s="38"/>
      <c r="AV942" s="38"/>
      <c r="AW942" s="38"/>
      <c r="AX942" s="38"/>
      <c r="AY942" s="38"/>
      <c r="AZ942" s="38"/>
      <c r="BA942" s="38"/>
      <c r="BB942" s="38"/>
    </row>
    <row r="943" spans="1:54">
      <c r="A943" s="38" t="s">
        <v>4112</v>
      </c>
      <c r="B943" s="38" t="s">
        <v>3431</v>
      </c>
      <c r="C943" s="38" t="s">
        <v>4620</v>
      </c>
      <c r="D943" s="38" t="s">
        <v>3399</v>
      </c>
      <c r="E943" s="38"/>
      <c r="F943" s="38"/>
      <c r="G943" s="38" t="s">
        <v>3997</v>
      </c>
      <c r="H943" s="38" t="s">
        <v>3400</v>
      </c>
      <c r="I943" s="38" t="s">
        <v>4747</v>
      </c>
      <c r="J943" s="38"/>
      <c r="K943" s="38">
        <v>500</v>
      </c>
      <c r="L943" s="38"/>
      <c r="M943" s="38"/>
      <c r="N943" s="38">
        <v>45.15</v>
      </c>
      <c r="O943" s="38">
        <v>0.47</v>
      </c>
      <c r="P943" s="38">
        <v>1.27</v>
      </c>
      <c r="Q943" s="38">
        <v>7.12</v>
      </c>
      <c r="R943" s="38">
        <v>8.99</v>
      </c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38"/>
      <c r="AJ943" s="38"/>
      <c r="AK943" s="38"/>
      <c r="AL943" s="38"/>
      <c r="AM943" s="38"/>
      <c r="AN943" s="38"/>
      <c r="AO943" s="38"/>
      <c r="AP943" s="38">
        <v>10.56</v>
      </c>
      <c r="AQ943" s="38">
        <v>262</v>
      </c>
      <c r="AR943" s="38" t="s">
        <v>3792</v>
      </c>
      <c r="AS943" s="38"/>
      <c r="AT943" s="38"/>
      <c r="AU943" s="38"/>
      <c r="AV943" s="38"/>
      <c r="AW943" s="38"/>
      <c r="AX943" s="38"/>
      <c r="AY943" s="38"/>
      <c r="AZ943" s="38"/>
      <c r="BA943" s="38"/>
      <c r="BB943" s="38"/>
    </row>
    <row r="944" spans="1:54">
      <c r="A944" s="38" t="s">
        <v>4359</v>
      </c>
      <c r="B944" s="38" t="s">
        <v>3431</v>
      </c>
      <c r="C944" s="38" t="s">
        <v>4620</v>
      </c>
      <c r="D944" s="38" t="s">
        <v>3399</v>
      </c>
      <c r="E944" s="38"/>
      <c r="F944" s="38"/>
      <c r="G944" s="38" t="s">
        <v>3997</v>
      </c>
      <c r="H944" s="38" t="s">
        <v>3400</v>
      </c>
      <c r="I944" s="38" t="s">
        <v>4747</v>
      </c>
      <c r="J944" s="38"/>
      <c r="K944" s="38">
        <v>600</v>
      </c>
      <c r="L944" s="38"/>
      <c r="M944" s="38"/>
      <c r="N944" s="38">
        <v>40.53</v>
      </c>
      <c r="O944" s="38">
        <v>0.37</v>
      </c>
      <c r="P944" s="38">
        <v>0.85</v>
      </c>
      <c r="Q944" s="38">
        <v>9.23</v>
      </c>
      <c r="R944" s="38">
        <v>9.41</v>
      </c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38"/>
      <c r="AJ944" s="38"/>
      <c r="AK944" s="38"/>
      <c r="AL944" s="38"/>
      <c r="AM944" s="38"/>
      <c r="AN944" s="38"/>
      <c r="AO944" s="38"/>
      <c r="AP944" s="38">
        <v>6.02</v>
      </c>
      <c r="AQ944" s="38">
        <v>243</v>
      </c>
      <c r="AR944" s="38" t="s">
        <v>3792</v>
      </c>
      <c r="AS944" s="38"/>
      <c r="AT944" s="38"/>
      <c r="AU944" s="38"/>
      <c r="AV944" s="38"/>
      <c r="AW944" s="38"/>
      <c r="AX944" s="38"/>
      <c r="AY944" s="38"/>
      <c r="AZ944" s="38"/>
      <c r="BA944" s="38"/>
      <c r="BB944" s="38"/>
    </row>
    <row r="945" spans="1:54">
      <c r="A945" s="38" t="s">
        <v>4113</v>
      </c>
      <c r="B945" s="38" t="s">
        <v>3431</v>
      </c>
      <c r="C945" s="38" t="s">
        <v>4620</v>
      </c>
      <c r="D945" s="38" t="s">
        <v>3399</v>
      </c>
      <c r="E945" s="38"/>
      <c r="F945" s="38"/>
      <c r="G945" s="38" t="s">
        <v>3997</v>
      </c>
      <c r="H945" s="38" t="s">
        <v>3400</v>
      </c>
      <c r="I945" s="38" t="s">
        <v>4747</v>
      </c>
      <c r="J945" s="38"/>
      <c r="K945" s="38">
        <v>700</v>
      </c>
      <c r="L945" s="38"/>
      <c r="M945" s="38"/>
      <c r="N945" s="38">
        <v>38.81</v>
      </c>
      <c r="O945" s="38">
        <v>0.26</v>
      </c>
      <c r="P945" s="38">
        <v>0.46</v>
      </c>
      <c r="Q945" s="38">
        <v>12.69</v>
      </c>
      <c r="R945" s="38">
        <v>9.52</v>
      </c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38"/>
      <c r="AJ945" s="38"/>
      <c r="AK945" s="38"/>
      <c r="AL945" s="38"/>
      <c r="AM945" s="38"/>
      <c r="AN945" s="38"/>
      <c r="AO945" s="38"/>
      <c r="AP945" s="38">
        <v>3.85</v>
      </c>
      <c r="AQ945" s="38">
        <v>256</v>
      </c>
      <c r="AR945" s="38" t="s">
        <v>3792</v>
      </c>
      <c r="AS945" s="38"/>
      <c r="AT945" s="38"/>
      <c r="AU945" s="38"/>
      <c r="AV945" s="38"/>
      <c r="AW945" s="38"/>
      <c r="AX945" s="38"/>
      <c r="AY945" s="38"/>
      <c r="AZ945" s="38"/>
      <c r="BA945" s="38"/>
      <c r="BB945" s="38"/>
    </row>
    <row r="946" spans="1:54">
      <c r="A946" s="38" t="s">
        <v>4758</v>
      </c>
      <c r="B946" s="38" t="s">
        <v>3431</v>
      </c>
      <c r="C946" s="38" t="s">
        <v>4620</v>
      </c>
      <c r="D946" s="38" t="s">
        <v>3399</v>
      </c>
      <c r="E946" s="38"/>
      <c r="F946" s="38"/>
      <c r="G946" s="38" t="s">
        <v>3997</v>
      </c>
      <c r="H946" s="38" t="s">
        <v>3400</v>
      </c>
      <c r="I946" s="38" t="s">
        <v>4747</v>
      </c>
      <c r="J946" s="38"/>
      <c r="K946" s="38">
        <v>800</v>
      </c>
      <c r="L946" s="38"/>
      <c r="M946" s="38"/>
      <c r="N946" s="38">
        <v>40.409999999999997</v>
      </c>
      <c r="O946" s="38">
        <v>0.22</v>
      </c>
      <c r="P946" s="38">
        <v>0.28000000000000003</v>
      </c>
      <c r="Q946" s="38">
        <v>2.69</v>
      </c>
      <c r="R946" s="38">
        <v>9.6199999999999992</v>
      </c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38"/>
      <c r="AJ946" s="38"/>
      <c r="AK946" s="38"/>
      <c r="AL946" s="38"/>
      <c r="AM946" s="38"/>
      <c r="AN946" s="38"/>
      <c r="AO946" s="38"/>
      <c r="AP946" s="38">
        <v>3.17</v>
      </c>
      <c r="AQ946" s="38">
        <v>295.57</v>
      </c>
      <c r="AR946" s="38" t="s">
        <v>3792</v>
      </c>
      <c r="AS946" s="38"/>
      <c r="AT946" s="38"/>
      <c r="AU946" s="38"/>
      <c r="AV946" s="38"/>
      <c r="AW946" s="38"/>
      <c r="AX946" s="38"/>
      <c r="AY946" s="38"/>
      <c r="AZ946" s="38"/>
      <c r="BA946" s="38"/>
      <c r="BB946" s="38"/>
    </row>
    <row r="947" spans="1:54">
      <c r="A947" s="38" t="s">
        <v>4215</v>
      </c>
      <c r="B947" s="38" t="s">
        <v>3409</v>
      </c>
      <c r="C947" s="38" t="s">
        <v>4440</v>
      </c>
      <c r="D947" s="38" t="s">
        <v>3399</v>
      </c>
      <c r="E947" s="38"/>
      <c r="F947" s="38"/>
      <c r="G947" s="38" t="s">
        <v>3997</v>
      </c>
      <c r="H947" s="38" t="s">
        <v>3400</v>
      </c>
      <c r="I947" s="38" t="s">
        <v>4747</v>
      </c>
      <c r="J947" s="38"/>
      <c r="K947" s="38">
        <v>400</v>
      </c>
      <c r="L947" s="38"/>
      <c r="M947" s="38"/>
      <c r="N947" s="38">
        <v>49.92</v>
      </c>
      <c r="O947" s="38">
        <v>1.22</v>
      </c>
      <c r="P947" s="38">
        <v>2.8</v>
      </c>
      <c r="Q947" s="38">
        <v>12.02</v>
      </c>
      <c r="R947" s="38">
        <v>8.6199999999999992</v>
      </c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38"/>
      <c r="AJ947" s="38"/>
      <c r="AK947" s="38"/>
      <c r="AL947" s="38"/>
      <c r="AM947" s="38"/>
      <c r="AN947" s="38"/>
      <c r="AO947" s="38"/>
      <c r="AP947" s="38">
        <v>22.42</v>
      </c>
      <c r="AQ947" s="38">
        <v>46.6</v>
      </c>
      <c r="AR947" s="38" t="s">
        <v>3792</v>
      </c>
      <c r="AS947" s="38"/>
      <c r="AT947" s="38"/>
      <c r="AU947" s="38"/>
      <c r="AV947" s="38"/>
      <c r="AW947" s="38"/>
      <c r="AX947" s="38"/>
      <c r="AY947" s="38"/>
      <c r="AZ947" s="38"/>
      <c r="BA947" s="38"/>
      <c r="BB947" s="38"/>
    </row>
    <row r="948" spans="1:54">
      <c r="A948" s="38" t="s">
        <v>4002</v>
      </c>
      <c r="B948" s="38" t="s">
        <v>3409</v>
      </c>
      <c r="C948" s="38" t="s">
        <v>4440</v>
      </c>
      <c r="D948" s="38" t="s">
        <v>3399</v>
      </c>
      <c r="E948" s="38"/>
      <c r="F948" s="38"/>
      <c r="G948" s="38" t="s">
        <v>3997</v>
      </c>
      <c r="H948" s="38" t="s">
        <v>3400</v>
      </c>
      <c r="I948" s="38" t="s">
        <v>4747</v>
      </c>
      <c r="J948" s="38"/>
      <c r="K948" s="38">
        <v>500</v>
      </c>
      <c r="L948" s="38"/>
      <c r="M948" s="38"/>
      <c r="N948" s="38">
        <v>37.479999999999997</v>
      </c>
      <c r="O948" s="38">
        <v>0.61</v>
      </c>
      <c r="P948" s="38">
        <v>0.93</v>
      </c>
      <c r="Q948" s="38">
        <v>8.64</v>
      </c>
      <c r="R948" s="38">
        <v>9.82</v>
      </c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38"/>
      <c r="AJ948" s="38"/>
      <c r="AK948" s="38"/>
      <c r="AL948" s="38"/>
      <c r="AM948" s="38"/>
      <c r="AN948" s="38"/>
      <c r="AO948" s="38"/>
      <c r="AP948" s="38">
        <v>12.8</v>
      </c>
      <c r="AQ948" s="38">
        <v>59.91</v>
      </c>
      <c r="AR948" s="38" t="s">
        <v>3792</v>
      </c>
      <c r="AS948" s="38"/>
      <c r="AT948" s="38"/>
      <c r="AU948" s="38"/>
      <c r="AV948" s="38"/>
      <c r="AW948" s="38"/>
      <c r="AX948" s="38"/>
      <c r="AY948" s="38"/>
      <c r="AZ948" s="38"/>
      <c r="BA948" s="38"/>
      <c r="BB948" s="38"/>
    </row>
    <row r="949" spans="1:54">
      <c r="A949" s="38" t="s">
        <v>3988</v>
      </c>
      <c r="B949" s="38" t="s">
        <v>3409</v>
      </c>
      <c r="C949" s="38" t="s">
        <v>4440</v>
      </c>
      <c r="D949" s="38" t="s">
        <v>3399</v>
      </c>
      <c r="E949" s="38"/>
      <c r="F949" s="38"/>
      <c r="G949" s="38" t="s">
        <v>3997</v>
      </c>
      <c r="H949" s="38" t="s">
        <v>3400</v>
      </c>
      <c r="I949" s="38" t="s">
        <v>4747</v>
      </c>
      <c r="J949" s="38"/>
      <c r="K949" s="38">
        <v>600</v>
      </c>
      <c r="L949" s="38"/>
      <c r="M949" s="38"/>
      <c r="N949" s="38">
        <v>33.78</v>
      </c>
      <c r="O949" s="38">
        <v>0.41</v>
      </c>
      <c r="P949" s="38">
        <v>0.6</v>
      </c>
      <c r="Q949" s="38">
        <v>13.68</v>
      </c>
      <c r="R949" s="38">
        <v>10.19</v>
      </c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38"/>
      <c r="AJ949" s="38"/>
      <c r="AK949" s="38"/>
      <c r="AL949" s="38"/>
      <c r="AM949" s="38"/>
      <c r="AN949" s="38"/>
      <c r="AO949" s="38"/>
      <c r="AP949" s="38">
        <v>8.36</v>
      </c>
      <c r="AQ949" s="38">
        <v>129</v>
      </c>
      <c r="AR949" s="38" t="s">
        <v>3792</v>
      </c>
      <c r="AS949" s="38"/>
      <c r="AT949" s="38"/>
      <c r="AU949" s="38"/>
      <c r="AV949" s="38"/>
      <c r="AW949" s="38"/>
      <c r="AX949" s="38"/>
      <c r="AY949" s="38"/>
      <c r="AZ949" s="38"/>
      <c r="BA949" s="38"/>
      <c r="BB949" s="38"/>
    </row>
    <row r="950" spans="1:54">
      <c r="A950" s="38" t="s">
        <v>4108</v>
      </c>
      <c r="B950" s="38" t="s">
        <v>3409</v>
      </c>
      <c r="C950" s="38" t="s">
        <v>4440</v>
      </c>
      <c r="D950" s="38" t="s">
        <v>3399</v>
      </c>
      <c r="E950" s="38"/>
      <c r="F950" s="38"/>
      <c r="G950" s="38" t="s">
        <v>3997</v>
      </c>
      <c r="H950" s="38" t="s">
        <v>3400</v>
      </c>
      <c r="I950" s="38" t="s">
        <v>4747</v>
      </c>
      <c r="J950" s="38"/>
      <c r="K950" s="38">
        <v>700</v>
      </c>
      <c r="L950" s="38"/>
      <c r="M950" s="38"/>
      <c r="N950" s="38">
        <v>36.26</v>
      </c>
      <c r="O950" s="38">
        <v>0.34</v>
      </c>
      <c r="P950" s="38">
        <v>0.51</v>
      </c>
      <c r="Q950" s="38">
        <v>17.38</v>
      </c>
      <c r="R950" s="38">
        <v>10.39</v>
      </c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38"/>
      <c r="AJ950" s="38"/>
      <c r="AK950" s="38"/>
      <c r="AL950" s="38"/>
      <c r="AM950" s="38"/>
      <c r="AN950" s="38"/>
      <c r="AO950" s="38"/>
      <c r="AP950" s="38">
        <v>5.33</v>
      </c>
      <c r="AQ950" s="38">
        <v>149</v>
      </c>
      <c r="AR950" s="38" t="s">
        <v>3792</v>
      </c>
      <c r="AS950" s="38"/>
      <c r="AT950" s="38"/>
      <c r="AU950" s="38"/>
      <c r="AV950" s="38"/>
      <c r="AW950" s="38"/>
      <c r="AX950" s="38"/>
      <c r="AY950" s="38"/>
      <c r="AZ950" s="38"/>
      <c r="BA950" s="38"/>
      <c r="BB950" s="38"/>
    </row>
    <row r="951" spans="1:54">
      <c r="A951" s="38" t="s">
        <v>4759</v>
      </c>
      <c r="B951" s="38" t="s">
        <v>3409</v>
      </c>
      <c r="C951" s="38" t="s">
        <v>4440</v>
      </c>
      <c r="D951" s="38" t="s">
        <v>3399</v>
      </c>
      <c r="E951" s="38"/>
      <c r="F951" s="38"/>
      <c r="G951" s="38" t="s">
        <v>3997</v>
      </c>
      <c r="H951" s="38" t="s">
        <v>3400</v>
      </c>
      <c r="I951" s="38" t="s">
        <v>4747</v>
      </c>
      <c r="J951" s="38"/>
      <c r="K951" s="38">
        <v>800</v>
      </c>
      <c r="L951" s="38"/>
      <c r="M951" s="38"/>
      <c r="N951" s="38">
        <v>29.17</v>
      </c>
      <c r="O951" s="38">
        <v>0.25</v>
      </c>
      <c r="P951" s="38">
        <v>0.25</v>
      </c>
      <c r="Q951" s="38">
        <v>17.38</v>
      </c>
      <c r="R951" s="38">
        <v>10.47</v>
      </c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38"/>
      <c r="AJ951" s="38"/>
      <c r="AK951" s="38"/>
      <c r="AL951" s="38"/>
      <c r="AM951" s="38"/>
      <c r="AN951" s="38"/>
      <c r="AO951" s="38"/>
      <c r="AP951" s="38">
        <v>4.47</v>
      </c>
      <c r="AQ951" s="38">
        <v>256.95999999999998</v>
      </c>
      <c r="AR951" s="38" t="s">
        <v>3792</v>
      </c>
      <c r="AS951" s="38"/>
      <c r="AT951" s="38"/>
      <c r="AU951" s="38"/>
      <c r="AV951" s="38"/>
      <c r="AW951" s="38"/>
      <c r="AX951" s="38"/>
      <c r="AY951" s="38"/>
      <c r="AZ951" s="38"/>
      <c r="BA951" s="38"/>
      <c r="BB951" s="38"/>
    </row>
    <row r="952" spans="1:54">
      <c r="A952" s="38" t="s">
        <v>4063</v>
      </c>
      <c r="B952" s="38" t="s">
        <v>1700</v>
      </c>
      <c r="C952" s="38" t="s">
        <v>4437</v>
      </c>
      <c r="D952" s="38" t="s">
        <v>3399</v>
      </c>
      <c r="E952" s="38"/>
      <c r="F952" s="38"/>
      <c r="G952" s="38" t="s">
        <v>3997</v>
      </c>
      <c r="H952" s="38" t="s">
        <v>3400</v>
      </c>
      <c r="I952" s="38" t="s">
        <v>4760</v>
      </c>
      <c r="J952" s="38"/>
      <c r="K952" s="38">
        <v>500</v>
      </c>
      <c r="L952" s="38"/>
      <c r="M952" s="38"/>
      <c r="N952" s="38">
        <v>44.7</v>
      </c>
      <c r="O952" s="38">
        <v>1.99</v>
      </c>
      <c r="P952" s="38"/>
      <c r="Q952" s="38"/>
      <c r="R952" s="38">
        <v>10.199999999999999</v>
      </c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38"/>
      <c r="AJ952" s="38"/>
      <c r="AK952" s="38">
        <v>17100</v>
      </c>
      <c r="AL952" s="38"/>
      <c r="AM952" s="38"/>
      <c r="AN952" s="38"/>
      <c r="AO952" s="38"/>
      <c r="AP952" s="38"/>
      <c r="AQ952" s="38">
        <v>150</v>
      </c>
      <c r="AR952" s="38"/>
      <c r="AS952" s="38"/>
      <c r="AT952" s="38"/>
      <c r="AU952" s="38">
        <v>21700</v>
      </c>
      <c r="AV952" s="38">
        <v>7600</v>
      </c>
      <c r="AW952" s="38"/>
      <c r="AX952" s="38"/>
      <c r="AY952" s="38"/>
      <c r="AZ952" s="38"/>
      <c r="BA952" s="38"/>
      <c r="BB952" s="38"/>
    </row>
    <row r="953" spans="1:54">
      <c r="A953" s="38" t="s">
        <v>4002</v>
      </c>
      <c r="B953" s="38" t="s">
        <v>3409</v>
      </c>
      <c r="C953" s="38" t="s">
        <v>4440</v>
      </c>
      <c r="D953" s="38" t="s">
        <v>3399</v>
      </c>
      <c r="E953" s="38"/>
      <c r="F953" s="38"/>
      <c r="G953" s="38" t="s">
        <v>3997</v>
      </c>
      <c r="H953" s="38" t="s">
        <v>3400</v>
      </c>
      <c r="I953" s="38" t="s">
        <v>4760</v>
      </c>
      <c r="J953" s="38"/>
      <c r="K953" s="38">
        <v>500</v>
      </c>
      <c r="L953" s="38"/>
      <c r="M953" s="38"/>
      <c r="N953" s="38">
        <v>57.2</v>
      </c>
      <c r="O953" s="38">
        <v>1.58</v>
      </c>
      <c r="P953" s="38"/>
      <c r="Q953" s="38"/>
      <c r="R953" s="38">
        <v>9.7799999999999994</v>
      </c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38"/>
      <c r="AJ953" s="38"/>
      <c r="AK953" s="38">
        <v>16060</v>
      </c>
      <c r="AL953" s="38"/>
      <c r="AM953" s="38"/>
      <c r="AN953" s="38"/>
      <c r="AO953" s="38"/>
      <c r="AP953" s="38"/>
      <c r="AQ953" s="38">
        <v>128</v>
      </c>
      <c r="AR953" s="38"/>
      <c r="AS953" s="38"/>
      <c r="AT953" s="38"/>
      <c r="AU953" s="38">
        <v>9590</v>
      </c>
      <c r="AV953" s="38">
        <v>2290</v>
      </c>
      <c r="AW953" s="38"/>
      <c r="AX953" s="38"/>
      <c r="AY953" s="38"/>
      <c r="AZ953" s="38"/>
      <c r="BA953" s="38"/>
      <c r="BB953" s="38"/>
    </row>
    <row r="954" spans="1:54">
      <c r="A954" s="38" t="s">
        <v>4157</v>
      </c>
      <c r="B954" s="38" t="s">
        <v>3652</v>
      </c>
      <c r="C954" s="38" t="s">
        <v>4761</v>
      </c>
      <c r="D954" s="38" t="s">
        <v>3351</v>
      </c>
      <c r="E954" s="38"/>
      <c r="F954" s="38" t="s">
        <v>4762</v>
      </c>
      <c r="G954" s="38" t="s">
        <v>3997</v>
      </c>
      <c r="H954" s="38" t="s">
        <v>3400</v>
      </c>
      <c r="I954" s="38" t="s">
        <v>4763</v>
      </c>
      <c r="J954" s="38"/>
      <c r="K954" s="38">
        <v>620</v>
      </c>
      <c r="L954" s="38">
        <v>7.87</v>
      </c>
      <c r="M954" s="38"/>
      <c r="N954" s="38">
        <v>82</v>
      </c>
      <c r="O954" s="38">
        <v>0.33</v>
      </c>
      <c r="P954" s="38">
        <v>1.49</v>
      </c>
      <c r="Q954" s="38">
        <v>5.76</v>
      </c>
      <c r="R954" s="38">
        <v>10.19</v>
      </c>
      <c r="S954" s="38">
        <v>1776</v>
      </c>
      <c r="T954" s="38"/>
      <c r="U954" s="38"/>
      <c r="V954" s="38"/>
      <c r="W954" s="38"/>
      <c r="X954" s="38"/>
      <c r="Y954" s="38"/>
      <c r="Z954" s="38">
        <v>0.43</v>
      </c>
      <c r="AA954" s="38">
        <v>21</v>
      </c>
      <c r="AB954" s="38"/>
      <c r="AC954" s="38">
        <v>61</v>
      </c>
      <c r="AD954" s="38">
        <v>4</v>
      </c>
      <c r="AE954" s="38"/>
      <c r="AF954" s="38"/>
      <c r="AG954" s="38">
        <v>18</v>
      </c>
      <c r="AH954" s="38"/>
      <c r="AI954" s="38">
        <v>47</v>
      </c>
      <c r="AJ954" s="38"/>
      <c r="AK954" s="38"/>
      <c r="AL954" s="38"/>
      <c r="AM954" s="38"/>
      <c r="AN954" s="38">
        <v>23.77</v>
      </c>
      <c r="AO954" s="38"/>
      <c r="AP954" s="38">
        <v>14.88</v>
      </c>
      <c r="AQ954" s="38">
        <v>332.13799999999998</v>
      </c>
      <c r="AR954" s="38" t="s">
        <v>3792</v>
      </c>
      <c r="AS954" s="38"/>
      <c r="AT954" s="38"/>
      <c r="AU954" s="38"/>
      <c r="AV954" s="38"/>
      <c r="AW954" s="38"/>
      <c r="AX954" s="38"/>
      <c r="AY954" s="38"/>
      <c r="AZ954" s="38"/>
      <c r="BA954" s="38"/>
      <c r="BB954" s="38"/>
    </row>
    <row r="955" spans="1:54">
      <c r="A955" s="38" t="s">
        <v>4217</v>
      </c>
      <c r="B955" s="38" t="s">
        <v>3652</v>
      </c>
      <c r="C955" s="38" t="s">
        <v>4378</v>
      </c>
      <c r="D955" s="38" t="s">
        <v>3351</v>
      </c>
      <c r="E955" s="38"/>
      <c r="F955" s="38" t="s">
        <v>4379</v>
      </c>
      <c r="G955" s="38" t="s">
        <v>3997</v>
      </c>
      <c r="H955" s="38" t="s">
        <v>3400</v>
      </c>
      <c r="I955" s="38" t="s">
        <v>4763</v>
      </c>
      <c r="J955" s="38"/>
      <c r="K955" s="38">
        <v>500</v>
      </c>
      <c r="L955" s="38">
        <v>34.85</v>
      </c>
      <c r="M955" s="38"/>
      <c r="N955" s="38">
        <v>50.75</v>
      </c>
      <c r="O955" s="38">
        <v>1.36</v>
      </c>
      <c r="P955" s="38">
        <v>1.73</v>
      </c>
      <c r="Q955" s="38">
        <v>12.08</v>
      </c>
      <c r="R955" s="38">
        <v>9.4</v>
      </c>
      <c r="S955" s="38">
        <v>2330</v>
      </c>
      <c r="T955" s="38"/>
      <c r="U955" s="38"/>
      <c r="V955" s="38"/>
      <c r="W955" s="38"/>
      <c r="X955" s="38"/>
      <c r="Y955" s="38"/>
      <c r="Z955" s="38">
        <v>0.72</v>
      </c>
      <c r="AA955" s="38">
        <v>32</v>
      </c>
      <c r="AB955" s="38"/>
      <c r="AC955" s="38">
        <v>37</v>
      </c>
      <c r="AD955" s="38">
        <v>24</v>
      </c>
      <c r="AE955" s="38"/>
      <c r="AF955" s="38"/>
      <c r="AG955" s="38">
        <v>30</v>
      </c>
      <c r="AH955" s="38"/>
      <c r="AI955" s="38">
        <v>134</v>
      </c>
      <c r="AJ955" s="38"/>
      <c r="AK955" s="38"/>
      <c r="AL955" s="38"/>
      <c r="AM955" s="38"/>
      <c r="AN955" s="38">
        <v>20.97</v>
      </c>
      <c r="AO955" s="38"/>
      <c r="AP955" s="38">
        <v>22.43</v>
      </c>
      <c r="AQ955" s="38">
        <v>92.611500000000007</v>
      </c>
      <c r="AR955" s="38" t="s">
        <v>3792</v>
      </c>
      <c r="AS955" s="38"/>
      <c r="AT955" s="38"/>
      <c r="AU955" s="38"/>
      <c r="AV955" s="38"/>
      <c r="AW955" s="38"/>
      <c r="AX955" s="38"/>
      <c r="AY955" s="38"/>
      <c r="AZ955" s="38"/>
      <c r="BA955" s="38"/>
      <c r="BB955" s="38"/>
    </row>
    <row r="956" spans="1:54">
      <c r="A956" s="38" t="s">
        <v>4348</v>
      </c>
      <c r="B956" s="38" t="s">
        <v>1948</v>
      </c>
      <c r="C956" s="38" t="s">
        <v>2026</v>
      </c>
      <c r="D956" s="38" t="s">
        <v>3351</v>
      </c>
      <c r="E956" s="38" t="s">
        <v>4380</v>
      </c>
      <c r="F956" s="38"/>
      <c r="G956" s="38" t="s">
        <v>3997</v>
      </c>
      <c r="H956" s="38" t="s">
        <v>3400</v>
      </c>
      <c r="I956" s="38" t="s">
        <v>4763</v>
      </c>
      <c r="J956" s="38"/>
      <c r="K956" s="38">
        <v>600</v>
      </c>
      <c r="L956" s="38">
        <v>73.55</v>
      </c>
      <c r="M956" s="38"/>
      <c r="N956" s="38">
        <v>18.45</v>
      </c>
      <c r="O956" s="38">
        <v>2.1</v>
      </c>
      <c r="P956" s="38">
        <v>1.19</v>
      </c>
      <c r="Q956" s="38">
        <v>7.69</v>
      </c>
      <c r="R956" s="38">
        <v>7.66</v>
      </c>
      <c r="S956" s="38">
        <v>3700</v>
      </c>
      <c r="T956" s="38"/>
      <c r="U956" s="38"/>
      <c r="V956" s="38"/>
      <c r="W956" s="38"/>
      <c r="X956" s="38"/>
      <c r="Y956" s="38"/>
      <c r="Z956" s="38">
        <v>4.9800000000000004</v>
      </c>
      <c r="AA956" s="38">
        <v>76</v>
      </c>
      <c r="AB956" s="38"/>
      <c r="AC956" s="38">
        <v>406</v>
      </c>
      <c r="AD956" s="38">
        <v>141</v>
      </c>
      <c r="AE956" s="38"/>
      <c r="AF956" s="38"/>
      <c r="AG956" s="38">
        <v>78</v>
      </c>
      <c r="AH956" s="38"/>
      <c r="AI956" s="38">
        <v>1350</v>
      </c>
      <c r="AJ956" s="38"/>
      <c r="AK956" s="38"/>
      <c r="AL956" s="38"/>
      <c r="AM956" s="38"/>
      <c r="AN956" s="38">
        <v>24.19</v>
      </c>
      <c r="AO956" s="38"/>
      <c r="AP956" s="38">
        <v>13.68</v>
      </c>
      <c r="AQ956" s="38">
        <v>59.157200000000003</v>
      </c>
      <c r="AR956" s="38" t="s">
        <v>3792</v>
      </c>
      <c r="AS956" s="38"/>
      <c r="AT956" s="38"/>
      <c r="AU956" s="38"/>
      <c r="AV956" s="38"/>
      <c r="AW956" s="38"/>
      <c r="AX956" s="38"/>
      <c r="AY956" s="38"/>
      <c r="AZ956" s="38"/>
      <c r="BA956" s="38"/>
      <c r="BB956" s="38"/>
    </row>
    <row r="957" spans="1:54">
      <c r="A957" s="38" t="s">
        <v>4764</v>
      </c>
      <c r="B957" s="38" t="s">
        <v>1700</v>
      </c>
      <c r="C957" s="38" t="s">
        <v>4765</v>
      </c>
      <c r="D957" s="38" t="s">
        <v>3399</v>
      </c>
      <c r="E957" s="38"/>
      <c r="F957" s="38"/>
      <c r="G957" s="38" t="s">
        <v>3997</v>
      </c>
      <c r="H957" s="38" t="s">
        <v>3400</v>
      </c>
      <c r="I957" s="38" t="s">
        <v>4766</v>
      </c>
      <c r="J957" s="38">
        <v>3.2</v>
      </c>
      <c r="K957" s="38">
        <v>300</v>
      </c>
      <c r="L957" s="38">
        <v>26.3</v>
      </c>
      <c r="M957" s="38"/>
      <c r="N957" s="38">
        <v>42.9</v>
      </c>
      <c r="O957" s="38">
        <v>4.8</v>
      </c>
      <c r="P957" s="38">
        <v>6.7</v>
      </c>
      <c r="Q957" s="38">
        <v>44.4</v>
      </c>
      <c r="R957" s="38">
        <v>7.3</v>
      </c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38"/>
      <c r="AJ957" s="38"/>
      <c r="AK957" s="38"/>
      <c r="AL957" s="38"/>
      <c r="AM957" s="38"/>
      <c r="AN957" s="38"/>
      <c r="AO957" s="38"/>
      <c r="AP957" s="38">
        <v>60.5</v>
      </c>
      <c r="AQ957" s="38"/>
      <c r="AR957" s="38"/>
      <c r="AS957" s="38"/>
      <c r="AT957" s="38">
        <v>54000</v>
      </c>
      <c r="AU957" s="38"/>
      <c r="AV957" s="38"/>
      <c r="AW957" s="38">
        <v>19000</v>
      </c>
      <c r="AX957" s="38"/>
      <c r="AY957" s="38"/>
      <c r="AZ957" s="38"/>
      <c r="BA957" s="38"/>
      <c r="BB957" s="38"/>
    </row>
    <row r="958" spans="1:54">
      <c r="A958" s="38" t="s">
        <v>4767</v>
      </c>
      <c r="B958" s="38" t="s">
        <v>1700</v>
      </c>
      <c r="C958" s="38" t="s">
        <v>4765</v>
      </c>
      <c r="D958" s="38" t="s">
        <v>3399</v>
      </c>
      <c r="E958" s="38"/>
      <c r="F958" s="38"/>
      <c r="G958" s="38" t="s">
        <v>3997</v>
      </c>
      <c r="H958" s="38" t="s">
        <v>3400</v>
      </c>
      <c r="I958" s="38" t="s">
        <v>4766</v>
      </c>
      <c r="J958" s="38">
        <v>4.2</v>
      </c>
      <c r="K958" s="38">
        <v>400</v>
      </c>
      <c r="L958" s="38">
        <v>31.3</v>
      </c>
      <c r="M958" s="38"/>
      <c r="N958" s="38">
        <v>42</v>
      </c>
      <c r="O958" s="38">
        <v>3.4</v>
      </c>
      <c r="P958" s="38">
        <v>3.5</v>
      </c>
      <c r="Q958" s="38">
        <v>50.1</v>
      </c>
      <c r="R958" s="38">
        <v>7.5</v>
      </c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38"/>
      <c r="AJ958" s="38"/>
      <c r="AK958" s="38"/>
      <c r="AL958" s="38"/>
      <c r="AM958" s="38"/>
      <c r="AN958" s="38"/>
      <c r="AO958" s="38"/>
      <c r="AP958" s="38">
        <v>53.1</v>
      </c>
      <c r="AQ958" s="38"/>
      <c r="AR958" s="38"/>
      <c r="AS958" s="38"/>
      <c r="AT958" s="38">
        <v>63000</v>
      </c>
      <c r="AU958" s="38"/>
      <c r="AV958" s="38"/>
      <c r="AW958" s="38">
        <v>21000</v>
      </c>
      <c r="AX958" s="38"/>
      <c r="AY958" s="38"/>
      <c r="AZ958" s="38"/>
      <c r="BA958" s="38"/>
      <c r="BB958" s="38"/>
    </row>
    <row r="959" spans="1:54">
      <c r="A959" s="38" t="s">
        <v>4768</v>
      </c>
      <c r="B959" s="38" t="s">
        <v>1700</v>
      </c>
      <c r="C959" s="38" t="s">
        <v>4765</v>
      </c>
      <c r="D959" s="38" t="s">
        <v>3399</v>
      </c>
      <c r="E959" s="38"/>
      <c r="F959" s="38"/>
      <c r="G959" s="38" t="s">
        <v>3997</v>
      </c>
      <c r="H959" s="38" t="s">
        <v>3400</v>
      </c>
      <c r="I959" s="38" t="s">
        <v>4766</v>
      </c>
      <c r="J959" s="38">
        <v>4.7</v>
      </c>
      <c r="K959" s="38">
        <v>500</v>
      </c>
      <c r="L959" s="38">
        <v>45.5</v>
      </c>
      <c r="M959" s="38"/>
      <c r="N959" s="38">
        <v>35.700000000000003</v>
      </c>
      <c r="O959" s="38">
        <v>2.9</v>
      </c>
      <c r="P959" s="38">
        <v>1.9</v>
      </c>
      <c r="Q959" s="38">
        <v>58.4</v>
      </c>
      <c r="R959" s="38">
        <v>10.3</v>
      </c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38"/>
      <c r="AJ959" s="38"/>
      <c r="AK959" s="38"/>
      <c r="AL959" s="38"/>
      <c r="AM959" s="38"/>
      <c r="AN959" s="38"/>
      <c r="AO959" s="38"/>
      <c r="AP959" s="38">
        <v>31.8</v>
      </c>
      <c r="AQ959" s="38"/>
      <c r="AR959" s="38"/>
      <c r="AS959" s="38"/>
      <c r="AT959" s="38">
        <v>79000</v>
      </c>
      <c r="AU959" s="38"/>
      <c r="AV959" s="38"/>
      <c r="AW959" s="38">
        <v>28000</v>
      </c>
      <c r="AX959" s="38"/>
      <c r="AY959" s="38"/>
      <c r="AZ959" s="38"/>
      <c r="BA959" s="38"/>
      <c r="BB959" s="38"/>
    </row>
    <row r="960" spans="1:54">
      <c r="A960" s="38" t="s">
        <v>4769</v>
      </c>
      <c r="B960" s="38" t="s">
        <v>1700</v>
      </c>
      <c r="C960" s="38" t="s">
        <v>4765</v>
      </c>
      <c r="D960" s="38" t="s">
        <v>3399</v>
      </c>
      <c r="E960" s="38"/>
      <c r="F960" s="38"/>
      <c r="G960" s="38" t="s">
        <v>3997</v>
      </c>
      <c r="H960" s="38" t="s">
        <v>3400</v>
      </c>
      <c r="I960" s="38" t="s">
        <v>4766</v>
      </c>
      <c r="J960" s="38">
        <v>2.4</v>
      </c>
      <c r="K960" s="38">
        <v>500</v>
      </c>
      <c r="L960" s="38">
        <v>58.8</v>
      </c>
      <c r="M960" s="38"/>
      <c r="N960" s="38">
        <v>37.9</v>
      </c>
      <c r="O960" s="38">
        <v>2.9</v>
      </c>
      <c r="P960" s="38">
        <v>1.8</v>
      </c>
      <c r="Q960" s="38">
        <v>56.4</v>
      </c>
      <c r="R960" s="38">
        <v>10.7</v>
      </c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38"/>
      <c r="AJ960" s="38"/>
      <c r="AK960" s="38"/>
      <c r="AL960" s="38"/>
      <c r="AM960" s="38"/>
      <c r="AN960" s="38"/>
      <c r="AO960" s="38"/>
      <c r="AP960" s="38"/>
      <c r="AQ960" s="38"/>
      <c r="AR960" s="38"/>
      <c r="AS960" s="38"/>
      <c r="AT960" s="38">
        <v>81000</v>
      </c>
      <c r="AU960" s="38"/>
      <c r="AV960" s="38"/>
      <c r="AW960" s="38">
        <v>27000</v>
      </c>
      <c r="AX960" s="38"/>
      <c r="AY960" s="38"/>
      <c r="AZ960" s="38"/>
      <c r="BA960" s="38"/>
      <c r="BB960" s="38"/>
    </row>
    <row r="961" spans="1:54">
      <c r="A961" s="38" t="s">
        <v>4770</v>
      </c>
      <c r="B961" s="38" t="s">
        <v>1700</v>
      </c>
      <c r="C961" s="38" t="s">
        <v>4765</v>
      </c>
      <c r="D961" s="38" t="s">
        <v>3399</v>
      </c>
      <c r="E961" s="38"/>
      <c r="F961" s="38"/>
      <c r="G961" s="38" t="s">
        <v>3997</v>
      </c>
      <c r="H961" s="38" t="s">
        <v>3400</v>
      </c>
      <c r="I961" s="38" t="s">
        <v>4766</v>
      </c>
      <c r="J961" s="38">
        <v>2.9</v>
      </c>
      <c r="K961" s="38">
        <v>700</v>
      </c>
      <c r="L961" s="38">
        <v>62.5</v>
      </c>
      <c r="M961" s="38"/>
      <c r="N961" s="38">
        <v>36.4</v>
      </c>
      <c r="O961" s="38">
        <v>2.4</v>
      </c>
      <c r="P961" s="38">
        <v>1.8</v>
      </c>
      <c r="Q961" s="38">
        <v>58.3</v>
      </c>
      <c r="R961" s="38">
        <v>11.1</v>
      </c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38"/>
      <c r="AJ961" s="38"/>
      <c r="AK961" s="38"/>
      <c r="AL961" s="38"/>
      <c r="AM961" s="38"/>
      <c r="AN961" s="38"/>
      <c r="AO961" s="38"/>
      <c r="AP961" s="38">
        <v>6.3</v>
      </c>
      <c r="AQ961" s="38"/>
      <c r="AR961" s="38"/>
      <c r="AS961" s="38"/>
      <c r="AT961" s="38">
        <v>78000</v>
      </c>
      <c r="AU961" s="38"/>
      <c r="AV961" s="38"/>
      <c r="AW961" s="38">
        <v>26000</v>
      </c>
      <c r="AX961" s="38"/>
      <c r="AY961" s="38"/>
      <c r="AZ961" s="38"/>
      <c r="BA961" s="38"/>
      <c r="BB961" s="38"/>
    </row>
    <row r="962" spans="1:54">
      <c r="A962" s="38" t="s">
        <v>4189</v>
      </c>
      <c r="B962" s="38" t="s">
        <v>3409</v>
      </c>
      <c r="C962" s="38" t="s">
        <v>4492</v>
      </c>
      <c r="D962" s="38" t="s">
        <v>3399</v>
      </c>
      <c r="E962" s="38"/>
      <c r="F962" s="38"/>
      <c r="G962" s="38" t="s">
        <v>3997</v>
      </c>
      <c r="H962" s="38" t="s">
        <v>3400</v>
      </c>
      <c r="I962" s="38" t="s">
        <v>4771</v>
      </c>
      <c r="J962" s="38"/>
      <c r="K962" s="38">
        <v>350</v>
      </c>
      <c r="L962" s="38">
        <v>3.21</v>
      </c>
      <c r="M962" s="38"/>
      <c r="N962" s="38">
        <v>75.53</v>
      </c>
      <c r="O962" s="38">
        <v>0.52</v>
      </c>
      <c r="P962" s="38">
        <v>4.55</v>
      </c>
      <c r="Q962" s="38"/>
      <c r="R962" s="38">
        <v>7.4</v>
      </c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38"/>
      <c r="AJ962" s="38"/>
      <c r="AK962" s="38"/>
      <c r="AL962" s="38"/>
      <c r="AM962" s="38"/>
      <c r="AN962" s="38"/>
      <c r="AO962" s="38"/>
      <c r="AP962" s="38">
        <v>41.4</v>
      </c>
      <c r="AQ962" s="38"/>
      <c r="AR962" s="38"/>
      <c r="AS962" s="38"/>
      <c r="AT962" s="38"/>
      <c r="AU962" s="38"/>
      <c r="AV962" s="38"/>
      <c r="AW962" s="38"/>
      <c r="AX962" s="38"/>
      <c r="AY962" s="38"/>
      <c r="AZ962" s="38"/>
      <c r="BA962" s="38"/>
      <c r="BB962" s="38"/>
    </row>
    <row r="963" spans="1:54">
      <c r="A963" s="38" t="s">
        <v>4021</v>
      </c>
      <c r="B963" s="38" t="s">
        <v>1700</v>
      </c>
      <c r="C963" s="38"/>
      <c r="D963" s="38" t="s">
        <v>3399</v>
      </c>
      <c r="E963" s="38" t="s">
        <v>4772</v>
      </c>
      <c r="F963" s="38"/>
      <c r="G963" s="38" t="s">
        <v>3997</v>
      </c>
      <c r="H963" s="38" t="s">
        <v>3400</v>
      </c>
      <c r="I963" s="38" t="s">
        <v>4771</v>
      </c>
      <c r="J963" s="38"/>
      <c r="K963" s="38">
        <v>350</v>
      </c>
      <c r="L963" s="38">
        <v>34.97</v>
      </c>
      <c r="M963" s="38"/>
      <c r="N963" s="38">
        <v>51.02</v>
      </c>
      <c r="O963" s="38">
        <v>5.94</v>
      </c>
      <c r="P963" s="38">
        <v>3.68</v>
      </c>
      <c r="Q963" s="38"/>
      <c r="R963" s="38">
        <v>6.5</v>
      </c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38"/>
      <c r="AJ963" s="38"/>
      <c r="AK963" s="38"/>
      <c r="AL963" s="38"/>
      <c r="AM963" s="38"/>
      <c r="AN963" s="38"/>
      <c r="AO963" s="38"/>
      <c r="AP963" s="38">
        <v>37.61</v>
      </c>
      <c r="AQ963" s="38"/>
      <c r="AR963" s="38"/>
      <c r="AS963" s="38"/>
      <c r="AT963" s="38"/>
      <c r="AU963" s="38"/>
      <c r="AV963" s="38"/>
      <c r="AW963" s="38"/>
      <c r="AX963" s="38"/>
      <c r="AY963" s="38"/>
      <c r="AZ963" s="38"/>
      <c r="BA963" s="38"/>
      <c r="BB963" s="38"/>
    </row>
    <row r="964" spans="1:54">
      <c r="A964" s="38" t="s">
        <v>4308</v>
      </c>
      <c r="B964" s="38" t="s">
        <v>3652</v>
      </c>
      <c r="C964" s="38" t="s">
        <v>4511</v>
      </c>
      <c r="D964" s="38" t="s">
        <v>3399</v>
      </c>
      <c r="E964" s="38"/>
      <c r="F964" s="38"/>
      <c r="G964" s="38" t="s">
        <v>3997</v>
      </c>
      <c r="H964" s="38" t="s">
        <v>3400</v>
      </c>
      <c r="I964" s="38" t="s">
        <v>4771</v>
      </c>
      <c r="J964" s="38"/>
      <c r="K964" s="38">
        <v>350</v>
      </c>
      <c r="L964" s="38">
        <v>32.06</v>
      </c>
      <c r="M964" s="38"/>
      <c r="N964" s="38">
        <v>51.5</v>
      </c>
      <c r="O964" s="38">
        <v>5.13</v>
      </c>
      <c r="P964" s="38">
        <v>3.56</v>
      </c>
      <c r="Q964" s="38"/>
      <c r="R964" s="38">
        <v>9.4</v>
      </c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38"/>
      <c r="AJ964" s="38"/>
      <c r="AK964" s="38"/>
      <c r="AL964" s="38"/>
      <c r="AM964" s="38"/>
      <c r="AN964" s="38"/>
      <c r="AO964" s="38"/>
      <c r="AP964" s="38">
        <v>36.15</v>
      </c>
      <c r="AQ964" s="38"/>
      <c r="AR964" s="38"/>
      <c r="AS964" s="38"/>
      <c r="AT964" s="38"/>
      <c r="AU964" s="38"/>
      <c r="AV964" s="38"/>
      <c r="AW964" s="38"/>
      <c r="AX964" s="38"/>
      <c r="AY964" s="38"/>
      <c r="AZ964" s="38"/>
      <c r="BA964" s="38"/>
      <c r="BB964" s="38"/>
    </row>
    <row r="965" spans="1:54">
      <c r="A965" s="38" t="s">
        <v>4528</v>
      </c>
      <c r="B965" s="38" t="s">
        <v>3455</v>
      </c>
      <c r="C965" s="38" t="s">
        <v>4485</v>
      </c>
      <c r="D965" s="38" t="s">
        <v>3399</v>
      </c>
      <c r="E965" s="38"/>
      <c r="F965" s="38"/>
      <c r="G965" s="38" t="s">
        <v>3997</v>
      </c>
      <c r="H965" s="38" t="s">
        <v>3400</v>
      </c>
      <c r="I965" s="38" t="s">
        <v>4771</v>
      </c>
      <c r="J965" s="38"/>
      <c r="K965" s="38">
        <v>350</v>
      </c>
      <c r="L965" s="38">
        <v>1.79</v>
      </c>
      <c r="M965" s="38"/>
      <c r="N965" s="38">
        <v>78.680000000000007</v>
      </c>
      <c r="O965" s="38">
        <v>0.37</v>
      </c>
      <c r="P965" s="38">
        <v>4.87</v>
      </c>
      <c r="Q965" s="38"/>
      <c r="R965" s="38">
        <v>7.1</v>
      </c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38"/>
      <c r="AJ965" s="38"/>
      <c r="AK965" s="38"/>
      <c r="AL965" s="38"/>
      <c r="AM965" s="38"/>
      <c r="AN965" s="38"/>
      <c r="AO965" s="38"/>
      <c r="AP965" s="38">
        <v>40.409999999999997</v>
      </c>
      <c r="AQ965" s="38"/>
      <c r="AR965" s="38"/>
      <c r="AS965" s="38"/>
      <c r="AT965" s="38"/>
      <c r="AU965" s="38"/>
      <c r="AV965" s="38"/>
      <c r="AW965" s="38"/>
      <c r="AX965" s="38"/>
      <c r="AY965" s="38"/>
      <c r="AZ965" s="38"/>
      <c r="BA965" s="38"/>
      <c r="BB965" s="38"/>
    </row>
    <row r="966" spans="1:54">
      <c r="A966" s="38" t="s">
        <v>4590</v>
      </c>
      <c r="B966" s="38">
        <v>5</v>
      </c>
      <c r="C966" s="38" t="s">
        <v>3409</v>
      </c>
      <c r="D966" s="38" t="s">
        <v>4773</v>
      </c>
      <c r="E966" s="38" t="s">
        <v>3399</v>
      </c>
      <c r="F966" s="38"/>
      <c r="G966" s="38"/>
      <c r="H966" s="38" t="s">
        <v>4774</v>
      </c>
      <c r="I966" s="38" t="s">
        <v>3400</v>
      </c>
      <c r="J966" s="38" t="s">
        <v>4775</v>
      </c>
      <c r="K966" s="38"/>
      <c r="L966" s="38">
        <v>700</v>
      </c>
      <c r="M966" s="38">
        <v>4.92</v>
      </c>
      <c r="N966" s="38"/>
      <c r="O966" s="38">
        <v>88.12</v>
      </c>
      <c r="P966" s="38">
        <v>1.03</v>
      </c>
      <c r="Q966" s="38">
        <v>1.17</v>
      </c>
      <c r="R966" s="38">
        <v>9.5399999999999991</v>
      </c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38"/>
      <c r="AJ966" s="38"/>
      <c r="AK966" s="38"/>
      <c r="AL966" s="38"/>
      <c r="AM966" s="38"/>
      <c r="AN966" s="38"/>
      <c r="AO966" s="38"/>
      <c r="AP966" s="38"/>
      <c r="AQ966" s="38">
        <v>6.56</v>
      </c>
      <c r="AR966" s="38">
        <v>64.319999999999993</v>
      </c>
      <c r="AS966" s="38"/>
      <c r="AT966" s="38"/>
      <c r="AU966" s="38"/>
      <c r="AV966" s="38"/>
      <c r="AW966" s="38"/>
      <c r="AX966" s="38"/>
      <c r="AY966" s="38"/>
      <c r="AZ966" s="38"/>
      <c r="BA966" s="38"/>
      <c r="BB966" s="38"/>
    </row>
    <row r="967" spans="1:54">
      <c r="A967" s="38" t="s">
        <v>4590</v>
      </c>
      <c r="B967" s="38">
        <v>10</v>
      </c>
      <c r="C967" s="38" t="s">
        <v>3409</v>
      </c>
      <c r="D967" s="38" t="s">
        <v>4773</v>
      </c>
      <c r="E967" s="38" t="s">
        <v>3399</v>
      </c>
      <c r="F967" s="38"/>
      <c r="G967" s="38"/>
      <c r="H967" s="38" t="s">
        <v>4776</v>
      </c>
      <c r="I967" s="38" t="s">
        <v>3400</v>
      </c>
      <c r="J967" s="38" t="s">
        <v>4775</v>
      </c>
      <c r="K967" s="38"/>
      <c r="L967" s="38">
        <v>700</v>
      </c>
      <c r="M967" s="38">
        <v>4.8899999999999997</v>
      </c>
      <c r="N967" s="38"/>
      <c r="O967" s="38">
        <v>89.71</v>
      </c>
      <c r="P967" s="38">
        <v>1.05</v>
      </c>
      <c r="Q967" s="38">
        <v>1.19</v>
      </c>
      <c r="R967" s="38">
        <v>7.91</v>
      </c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38"/>
      <c r="AJ967" s="38"/>
      <c r="AK967" s="38"/>
      <c r="AL967" s="38"/>
      <c r="AM967" s="38"/>
      <c r="AN967" s="38"/>
      <c r="AO967" s="38"/>
      <c r="AP967" s="38"/>
      <c r="AQ967" s="38">
        <v>5.27</v>
      </c>
      <c r="AR967" s="38">
        <v>64.78</v>
      </c>
      <c r="AS967" s="38"/>
      <c r="AT967" s="38"/>
      <c r="AU967" s="38"/>
      <c r="AV967" s="38"/>
      <c r="AW967" s="38"/>
      <c r="AX967" s="38"/>
      <c r="AY967" s="38"/>
      <c r="AZ967" s="38"/>
      <c r="BA967" s="38"/>
      <c r="BB967" s="38"/>
    </row>
    <row r="968" spans="1:54">
      <c r="A968" s="38" t="s">
        <v>4590</v>
      </c>
      <c r="B968" s="38">
        <v>20</v>
      </c>
      <c r="C968" s="38" t="s">
        <v>3409</v>
      </c>
      <c r="D968" s="38" t="s">
        <v>4773</v>
      </c>
      <c r="E968" s="38" t="s">
        <v>3399</v>
      </c>
      <c r="F968" s="38"/>
      <c r="G968" s="38"/>
      <c r="H968" s="38" t="s">
        <v>4777</v>
      </c>
      <c r="I968" s="38" t="s">
        <v>3400</v>
      </c>
      <c r="J968" s="38" t="s">
        <v>4775</v>
      </c>
      <c r="K968" s="38"/>
      <c r="L968" s="38">
        <v>700</v>
      </c>
      <c r="M968" s="38">
        <v>6.51</v>
      </c>
      <c r="N968" s="38"/>
      <c r="O968" s="38">
        <v>87.23</v>
      </c>
      <c r="P968" s="38">
        <v>1.1599999999999999</v>
      </c>
      <c r="Q968" s="38">
        <v>1.1299999999999999</v>
      </c>
      <c r="R968" s="38">
        <v>10.34</v>
      </c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38"/>
      <c r="AJ968" s="38"/>
      <c r="AK968" s="38"/>
      <c r="AL968" s="38"/>
      <c r="AM968" s="38"/>
      <c r="AN968" s="38"/>
      <c r="AO968" s="38"/>
      <c r="AP968" s="38"/>
      <c r="AQ968" s="38">
        <v>4.45</v>
      </c>
      <c r="AR968" s="38">
        <v>69.56</v>
      </c>
      <c r="AS968" s="38"/>
      <c r="AT968" s="38"/>
      <c r="AU968" s="38"/>
      <c r="AV968" s="38"/>
      <c r="AW968" s="38"/>
      <c r="AX968" s="38"/>
      <c r="AY968" s="38"/>
      <c r="AZ968" s="38"/>
      <c r="BA968" s="38"/>
      <c r="BB968" s="38"/>
    </row>
    <row r="969" spans="1:54">
      <c r="A969" s="38" t="s">
        <v>4590</v>
      </c>
      <c r="B969" s="38">
        <v>30</v>
      </c>
      <c r="C969" s="38" t="s">
        <v>3409</v>
      </c>
      <c r="D969" s="38" t="s">
        <v>4773</v>
      </c>
      <c r="E969" s="38" t="s">
        <v>3399</v>
      </c>
      <c r="F969" s="38"/>
      <c r="G969" s="38"/>
      <c r="H969" s="38" t="s">
        <v>4778</v>
      </c>
      <c r="I969" s="38" t="s">
        <v>3400</v>
      </c>
      <c r="J969" s="38" t="s">
        <v>4775</v>
      </c>
      <c r="K969" s="38"/>
      <c r="L969" s="38">
        <v>700</v>
      </c>
      <c r="M969" s="38">
        <v>9.16</v>
      </c>
      <c r="N969" s="38"/>
      <c r="O969" s="38">
        <v>85.94</v>
      </c>
      <c r="P969" s="38">
        <v>1.21</v>
      </c>
      <c r="Q969" s="38">
        <v>0.87</v>
      </c>
      <c r="R969" s="38">
        <v>11.86</v>
      </c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38"/>
      <c r="AJ969" s="38"/>
      <c r="AK969" s="38"/>
      <c r="AL969" s="38"/>
      <c r="AM969" s="38"/>
      <c r="AN969" s="38"/>
      <c r="AO969" s="38"/>
      <c r="AP969" s="38"/>
      <c r="AQ969" s="38">
        <v>3.26</v>
      </c>
      <c r="AR969" s="38">
        <v>72.63</v>
      </c>
      <c r="AS969" s="38"/>
      <c r="AT969" s="38"/>
      <c r="AU969" s="38"/>
      <c r="AV969" s="38"/>
      <c r="AW969" s="38"/>
      <c r="AX969" s="38"/>
      <c r="AY969" s="38"/>
      <c r="AZ969" s="38"/>
      <c r="BA969" s="38"/>
      <c r="BB969" s="38"/>
    </row>
    <row r="970" spans="1:54">
      <c r="A970" s="38" t="s">
        <v>4528</v>
      </c>
      <c r="B970" s="38" t="s">
        <v>3455</v>
      </c>
      <c r="C970" s="38" t="s">
        <v>4485</v>
      </c>
      <c r="D970" s="38" t="s">
        <v>3399</v>
      </c>
      <c r="E970" s="38"/>
      <c r="F970" s="38"/>
      <c r="G970" s="38" t="s">
        <v>3997</v>
      </c>
      <c r="H970" s="38" t="s">
        <v>3400</v>
      </c>
      <c r="I970" s="38" t="s">
        <v>4779</v>
      </c>
      <c r="J970" s="38"/>
      <c r="K970" s="38">
        <v>350</v>
      </c>
      <c r="L970" s="38">
        <v>4</v>
      </c>
      <c r="M970" s="38"/>
      <c r="N970" s="38">
        <v>67.099999999999994</v>
      </c>
      <c r="O970" s="38">
        <v>0.56000000000000005</v>
      </c>
      <c r="P970" s="38"/>
      <c r="Q970" s="38"/>
      <c r="R970" s="38">
        <v>9.8000000000000007</v>
      </c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38"/>
      <c r="AJ970" s="38"/>
      <c r="AK970" s="38"/>
      <c r="AL970" s="38"/>
      <c r="AM970" s="38"/>
      <c r="AN970" s="38"/>
      <c r="AO970" s="38"/>
      <c r="AP970" s="38"/>
      <c r="AQ970" s="38"/>
      <c r="AR970" s="38"/>
      <c r="AS970" s="38"/>
      <c r="AT970" s="38"/>
      <c r="AU970" s="38"/>
      <c r="AV970" s="38"/>
      <c r="AW970" s="38"/>
      <c r="AX970" s="38"/>
      <c r="AY970" s="38"/>
      <c r="AZ970" s="38"/>
      <c r="BA970" s="38"/>
      <c r="BB970" s="38"/>
    </row>
    <row r="971" spans="1:54">
      <c r="A971" s="38" t="s">
        <v>4531</v>
      </c>
      <c r="B971" s="38" t="s">
        <v>3455</v>
      </c>
      <c r="C971" s="38" t="s">
        <v>4485</v>
      </c>
      <c r="D971" s="38" t="s">
        <v>3399</v>
      </c>
      <c r="E971" s="38"/>
      <c r="F971" s="38"/>
      <c r="G971" s="38" t="s">
        <v>3997</v>
      </c>
      <c r="H971" s="38" t="s">
        <v>3400</v>
      </c>
      <c r="I971" s="38" t="s">
        <v>4779</v>
      </c>
      <c r="J971" s="38"/>
      <c r="K971" s="38">
        <v>550</v>
      </c>
      <c r="L971" s="38">
        <v>7.5</v>
      </c>
      <c r="M971" s="38"/>
      <c r="N971" s="38">
        <v>77.7</v>
      </c>
      <c r="O971" s="38">
        <v>0.61</v>
      </c>
      <c r="P971" s="38"/>
      <c r="Q971" s="38"/>
      <c r="R971" s="38">
        <v>9.8000000000000007</v>
      </c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38"/>
      <c r="AJ971" s="38"/>
      <c r="AK971" s="38"/>
      <c r="AL971" s="38"/>
      <c r="AM971" s="38"/>
      <c r="AN971" s="38"/>
      <c r="AO971" s="38"/>
      <c r="AP971" s="38"/>
      <c r="AQ971" s="38">
        <v>235</v>
      </c>
      <c r="AR971" s="38"/>
      <c r="AS971" s="38"/>
      <c r="AT971" s="38"/>
      <c r="AU971" s="38"/>
      <c r="AV971" s="38"/>
      <c r="AW971" s="38"/>
      <c r="AX971" s="38"/>
      <c r="AY971" s="38"/>
      <c r="AZ971" s="38"/>
      <c r="BA971" s="38"/>
      <c r="BB971" s="38"/>
    </row>
    <row r="972" spans="1:54">
      <c r="A972" s="38" t="s">
        <v>4088</v>
      </c>
      <c r="B972" s="38" t="s">
        <v>3424</v>
      </c>
      <c r="C972" s="38"/>
      <c r="D972" s="38" t="s">
        <v>3399</v>
      </c>
      <c r="E972" s="38"/>
      <c r="F972" s="38"/>
      <c r="G972" s="38" t="s">
        <v>3997</v>
      </c>
      <c r="H972" s="38" t="s">
        <v>3400</v>
      </c>
      <c r="I972" s="38" t="s">
        <v>4779</v>
      </c>
      <c r="J972" s="38"/>
      <c r="K972" s="38">
        <v>350</v>
      </c>
      <c r="L972" s="38">
        <v>10</v>
      </c>
      <c r="M972" s="38"/>
      <c r="N972" s="38">
        <v>65.099999999999994</v>
      </c>
      <c r="O972" s="38">
        <v>0.74</v>
      </c>
      <c r="P972" s="38"/>
      <c r="Q972" s="38"/>
      <c r="R972" s="38">
        <v>8.16</v>
      </c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38"/>
      <c r="AJ972" s="38"/>
      <c r="AK972" s="38"/>
      <c r="AL972" s="38"/>
      <c r="AM972" s="38"/>
      <c r="AN972" s="38"/>
      <c r="AO972" s="38"/>
      <c r="AP972" s="38"/>
      <c r="AQ972" s="38"/>
      <c r="AR972" s="38"/>
      <c r="AS972" s="38"/>
      <c r="AT972" s="38"/>
      <c r="AU972" s="38"/>
      <c r="AV972" s="38"/>
      <c r="AW972" s="38"/>
      <c r="AX972" s="38"/>
      <c r="AY972" s="38"/>
      <c r="AZ972" s="38"/>
      <c r="BA972" s="38"/>
      <c r="BB972" s="38"/>
    </row>
    <row r="973" spans="1:54">
      <c r="A973" s="38" t="s">
        <v>4090</v>
      </c>
      <c r="B973" s="38" t="s">
        <v>3424</v>
      </c>
      <c r="C973" s="38"/>
      <c r="D973" s="38" t="s">
        <v>3399</v>
      </c>
      <c r="E973" s="38"/>
      <c r="F973" s="38"/>
      <c r="G973" s="38" t="s">
        <v>3997</v>
      </c>
      <c r="H973" s="38" t="s">
        <v>3400</v>
      </c>
      <c r="I973" s="38" t="s">
        <v>4779</v>
      </c>
      <c r="J973" s="38"/>
      <c r="K973" s="38">
        <v>550</v>
      </c>
      <c r="L973" s="38">
        <v>10.8</v>
      </c>
      <c r="M973" s="38"/>
      <c r="N973" s="38">
        <v>74.3</v>
      </c>
      <c r="O973" s="38">
        <v>0.78</v>
      </c>
      <c r="P973" s="38"/>
      <c r="Q973" s="38"/>
      <c r="R973" s="38">
        <v>9.89</v>
      </c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38"/>
      <c r="AJ973" s="38"/>
      <c r="AK973" s="38"/>
      <c r="AL973" s="38"/>
      <c r="AM973" s="38"/>
      <c r="AN973" s="38"/>
      <c r="AO973" s="38"/>
      <c r="AP973" s="38"/>
      <c r="AQ973" s="38">
        <v>12</v>
      </c>
      <c r="AR973" s="38"/>
      <c r="AS973" s="38"/>
      <c r="AT973" s="38"/>
      <c r="AU973" s="38"/>
      <c r="AV973" s="38"/>
      <c r="AW973" s="38"/>
      <c r="AX973" s="38"/>
      <c r="AY973" s="38"/>
      <c r="AZ973" s="38"/>
      <c r="BA973" s="38"/>
      <c r="BB973" s="38"/>
    </row>
    <row r="974" spans="1:54">
      <c r="A974" s="38" t="s">
        <v>4780</v>
      </c>
      <c r="B974" s="38" t="s">
        <v>1948</v>
      </c>
      <c r="C974" s="38" t="s">
        <v>4781</v>
      </c>
      <c r="D974" s="38" t="s">
        <v>3399</v>
      </c>
      <c r="E974" s="38"/>
      <c r="F974" s="38"/>
      <c r="G974" s="38" t="s">
        <v>3997</v>
      </c>
      <c r="H974" s="38" t="s">
        <v>3400</v>
      </c>
      <c r="I974" s="38" t="s">
        <v>4782</v>
      </c>
      <c r="J974" s="38">
        <v>4.4000000000000004</v>
      </c>
      <c r="K974" s="38">
        <v>550</v>
      </c>
      <c r="L974" s="38">
        <v>46.2</v>
      </c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38"/>
      <c r="AJ974" s="38"/>
      <c r="AK974" s="38"/>
      <c r="AL974" s="38"/>
      <c r="AM974" s="38"/>
      <c r="AN974" s="38"/>
      <c r="AO974" s="38"/>
      <c r="AP974" s="38"/>
      <c r="AQ974" s="38">
        <v>11.9</v>
      </c>
      <c r="AR974" s="38" t="s">
        <v>3792</v>
      </c>
      <c r="AS974" s="38"/>
      <c r="AT974" s="38"/>
      <c r="AU974" s="38"/>
      <c r="AV974" s="38"/>
      <c r="AW974" s="38"/>
      <c r="AX974" s="38"/>
      <c r="AY974" s="38"/>
      <c r="AZ974" s="38"/>
      <c r="BA974" s="38"/>
      <c r="BB974" s="38"/>
    </row>
    <row r="975" spans="1:54">
      <c r="A975" s="38" t="s">
        <v>4783</v>
      </c>
      <c r="B975" s="38" t="s">
        <v>3652</v>
      </c>
      <c r="C975" s="38" t="s">
        <v>4784</v>
      </c>
      <c r="D975" s="38" t="s">
        <v>3399</v>
      </c>
      <c r="E975" s="38"/>
      <c r="F975" s="38"/>
      <c r="G975" s="38" t="s">
        <v>3997</v>
      </c>
      <c r="H975" s="38" t="s">
        <v>3400</v>
      </c>
      <c r="I975" s="38" t="s">
        <v>4785</v>
      </c>
      <c r="J975" s="38"/>
      <c r="K975" s="38">
        <v>500</v>
      </c>
      <c r="L975" s="38">
        <v>14.4</v>
      </c>
      <c r="M975" s="38"/>
      <c r="N975" s="38"/>
      <c r="O975" s="38"/>
      <c r="P975" s="38"/>
      <c r="Q975" s="38"/>
      <c r="R975" s="38">
        <v>9.6</v>
      </c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38"/>
      <c r="AJ975" s="38"/>
      <c r="AK975" s="38"/>
      <c r="AL975" s="38"/>
      <c r="AM975" s="38"/>
      <c r="AN975" s="38"/>
      <c r="AO975" s="38"/>
      <c r="AP975" s="38"/>
      <c r="AQ975" s="38"/>
      <c r="AR975" s="38"/>
      <c r="AS975" s="38"/>
      <c r="AT975" s="38"/>
      <c r="AU975" s="38"/>
      <c r="AV975" s="38"/>
      <c r="AW975" s="38"/>
      <c r="AX975" s="38"/>
      <c r="AY975" s="38"/>
      <c r="AZ975" s="38"/>
      <c r="BA975" s="38"/>
      <c r="BB975" s="38"/>
    </row>
    <row r="976" spans="1:54">
      <c r="A976" s="38" t="s">
        <v>4783</v>
      </c>
      <c r="B976" s="38" t="s">
        <v>3652</v>
      </c>
      <c r="C976" s="38" t="s">
        <v>4786</v>
      </c>
      <c r="D976" s="38" t="s">
        <v>3399</v>
      </c>
      <c r="E976" s="38"/>
      <c r="F976" s="38"/>
      <c r="G976" s="38" t="s">
        <v>3997</v>
      </c>
      <c r="H976" s="38" t="s">
        <v>3400</v>
      </c>
      <c r="I976" s="38" t="s">
        <v>4787</v>
      </c>
      <c r="J976" s="38"/>
      <c r="K976" s="38">
        <v>500</v>
      </c>
      <c r="L976" s="38">
        <v>13.7</v>
      </c>
      <c r="M976" s="38"/>
      <c r="N976" s="38"/>
      <c r="O976" s="38"/>
      <c r="P976" s="38"/>
      <c r="Q976" s="38"/>
      <c r="R976" s="38">
        <v>9.6</v>
      </c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38"/>
      <c r="AJ976" s="38"/>
      <c r="AK976" s="38"/>
      <c r="AL976" s="38"/>
      <c r="AM976" s="38"/>
      <c r="AN976" s="38"/>
      <c r="AO976" s="38"/>
      <c r="AP976" s="38"/>
      <c r="AQ976" s="38"/>
      <c r="AR976" s="38"/>
      <c r="AS976" s="38"/>
      <c r="AT976" s="38"/>
      <c r="AU976" s="38"/>
      <c r="AV976" s="38"/>
      <c r="AW976" s="38"/>
      <c r="AX976" s="38"/>
      <c r="AY976" s="38"/>
      <c r="AZ976" s="38"/>
      <c r="BA976" s="38"/>
      <c r="BB976" s="38"/>
    </row>
    <row r="977" spans="1:54">
      <c r="A977" s="38" t="s">
        <v>4788</v>
      </c>
      <c r="B977" s="38">
        <v>10</v>
      </c>
      <c r="C977" s="38" t="s">
        <v>3652</v>
      </c>
      <c r="D977" s="38" t="s">
        <v>4789</v>
      </c>
      <c r="E977" s="38" t="s">
        <v>3399</v>
      </c>
      <c r="F977" s="38"/>
      <c r="G977" s="38"/>
      <c r="H977" s="38" t="s">
        <v>4790</v>
      </c>
      <c r="I977" s="38" t="s">
        <v>3400</v>
      </c>
      <c r="J977" s="38" t="s">
        <v>4791</v>
      </c>
      <c r="K977" s="38"/>
      <c r="L977" s="38">
        <v>300</v>
      </c>
      <c r="M977" s="38">
        <v>14.18</v>
      </c>
      <c r="N977" s="38"/>
      <c r="O977" s="38">
        <v>54.85</v>
      </c>
      <c r="P977" s="38"/>
      <c r="Q977" s="38">
        <v>4.55</v>
      </c>
      <c r="R977" s="38">
        <v>19.98</v>
      </c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38"/>
      <c r="AJ977" s="38"/>
      <c r="AK977" s="38"/>
      <c r="AL977" s="38"/>
      <c r="AM977" s="38"/>
      <c r="AN977" s="38"/>
      <c r="AO977" s="38"/>
      <c r="AP977" s="38"/>
      <c r="AQ977" s="38">
        <v>39.15</v>
      </c>
      <c r="AR977" s="38"/>
      <c r="AS977" s="38"/>
      <c r="AT977" s="38"/>
      <c r="AU977" s="38"/>
      <c r="AV977" s="38"/>
      <c r="AW977" s="38"/>
      <c r="AX977" s="38"/>
      <c r="AY977" s="38"/>
      <c r="AZ977" s="38"/>
      <c r="BA977" s="38"/>
      <c r="BB977" s="38"/>
    </row>
    <row r="978" spans="1:54">
      <c r="A978" s="38" t="s">
        <v>4788</v>
      </c>
      <c r="B978" s="38">
        <v>90</v>
      </c>
      <c r="C978" s="38" t="s">
        <v>3652</v>
      </c>
      <c r="D978" s="38" t="s">
        <v>4792</v>
      </c>
      <c r="E978" s="38" t="s">
        <v>3399</v>
      </c>
      <c r="F978" s="38"/>
      <c r="G978" s="38"/>
      <c r="H978" s="38" t="s">
        <v>3997</v>
      </c>
      <c r="I978" s="38" t="s">
        <v>3400</v>
      </c>
      <c r="J978" s="38" t="s">
        <v>4791</v>
      </c>
      <c r="K978" s="38"/>
      <c r="L978" s="38">
        <v>300</v>
      </c>
      <c r="M978" s="38">
        <v>16.84</v>
      </c>
      <c r="N978" s="38"/>
      <c r="O978" s="38">
        <v>56.28</v>
      </c>
      <c r="P978" s="38"/>
      <c r="Q978" s="38">
        <v>4.55</v>
      </c>
      <c r="R978" s="38">
        <v>17.73</v>
      </c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  <c r="AI978" s="38"/>
      <c r="AJ978" s="38"/>
      <c r="AK978" s="38"/>
      <c r="AL978" s="38"/>
      <c r="AM978" s="38"/>
      <c r="AN978" s="38"/>
      <c r="AO978" s="38"/>
      <c r="AP978" s="38"/>
      <c r="AQ978" s="38">
        <v>37.67</v>
      </c>
      <c r="AR978" s="38"/>
      <c r="AS978" s="38"/>
      <c r="AT978" s="38"/>
      <c r="AU978" s="38"/>
      <c r="AV978" s="38"/>
      <c r="AW978" s="38"/>
      <c r="AX978" s="38"/>
      <c r="AY978" s="38"/>
      <c r="AZ978" s="38"/>
      <c r="BA978" s="38"/>
      <c r="BB978" s="38"/>
    </row>
    <row r="979" spans="1:54">
      <c r="A979" s="38" t="s">
        <v>4788</v>
      </c>
      <c r="B979" s="38">
        <v>180</v>
      </c>
      <c r="C979" s="38" t="s">
        <v>3652</v>
      </c>
      <c r="D979" s="38" t="s">
        <v>4789</v>
      </c>
      <c r="E979" s="38" t="s">
        <v>3399</v>
      </c>
      <c r="F979" s="38"/>
      <c r="G979" s="38"/>
      <c r="H979" s="38" t="s">
        <v>3997</v>
      </c>
      <c r="I979" s="38" t="s">
        <v>3400</v>
      </c>
      <c r="J979" s="38" t="s">
        <v>4791</v>
      </c>
      <c r="K979" s="38"/>
      <c r="L979" s="38">
        <v>300</v>
      </c>
      <c r="M979" s="38">
        <v>18.37</v>
      </c>
      <c r="N979" s="38"/>
      <c r="O979" s="38">
        <v>58.01</v>
      </c>
      <c r="P979" s="38"/>
      <c r="Q979" s="38">
        <v>4.5599999999999996</v>
      </c>
      <c r="R979" s="38">
        <v>13.93</v>
      </c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38"/>
      <c r="AJ979" s="38"/>
      <c r="AK979" s="38"/>
      <c r="AL979" s="38"/>
      <c r="AM979" s="38"/>
      <c r="AN979" s="38"/>
      <c r="AO979" s="38"/>
      <c r="AP979" s="38"/>
      <c r="AQ979" s="38">
        <v>36.4</v>
      </c>
      <c r="AR979" s="38"/>
      <c r="AS979" s="38"/>
      <c r="AT979" s="38"/>
      <c r="AU979" s="38"/>
      <c r="AV979" s="38"/>
      <c r="AW979" s="38"/>
      <c r="AX979" s="38"/>
      <c r="AY979" s="38"/>
      <c r="AZ979" s="38"/>
      <c r="BA979" s="38"/>
      <c r="BB979" s="38"/>
    </row>
    <row r="980" spans="1:54">
      <c r="A980" s="38" t="s">
        <v>4793</v>
      </c>
      <c r="B980" s="38">
        <v>10</v>
      </c>
      <c r="C980" s="38" t="s">
        <v>3652</v>
      </c>
      <c r="D980" s="38" t="s">
        <v>4789</v>
      </c>
      <c r="E980" s="38" t="s">
        <v>3399</v>
      </c>
      <c r="F980" s="38"/>
      <c r="G980" s="38"/>
      <c r="H980" s="38" t="s">
        <v>3997</v>
      </c>
      <c r="I980" s="38" t="s">
        <v>3400</v>
      </c>
      <c r="J980" s="38" t="s">
        <v>4791</v>
      </c>
      <c r="K980" s="38"/>
      <c r="L980" s="38">
        <v>500</v>
      </c>
      <c r="M980" s="38">
        <v>16.45</v>
      </c>
      <c r="N980" s="38"/>
      <c r="O980" s="38">
        <v>60.84</v>
      </c>
      <c r="P980" s="38"/>
      <c r="Q980" s="38">
        <v>3.07</v>
      </c>
      <c r="R980" s="38">
        <v>14.97</v>
      </c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38"/>
      <c r="AJ980" s="38"/>
      <c r="AK980" s="38"/>
      <c r="AL980" s="38"/>
      <c r="AM980" s="38"/>
      <c r="AN980" s="38"/>
      <c r="AO980" s="38"/>
      <c r="AP980" s="38"/>
      <c r="AQ980" s="38">
        <v>23.91</v>
      </c>
      <c r="AR980" s="38"/>
      <c r="AS980" s="38"/>
      <c r="AT980" s="38"/>
      <c r="AU980" s="38"/>
      <c r="AV980" s="38"/>
      <c r="AW980" s="38"/>
      <c r="AX980" s="38"/>
      <c r="AY980" s="38"/>
      <c r="AZ980" s="38"/>
      <c r="BA980" s="38"/>
      <c r="BB980" s="38"/>
    </row>
    <row r="981" spans="1:54">
      <c r="A981" s="38" t="s">
        <v>4793</v>
      </c>
      <c r="B981" s="38">
        <v>90</v>
      </c>
      <c r="C981" s="38" t="s">
        <v>3652</v>
      </c>
      <c r="D981" s="38" t="s">
        <v>4792</v>
      </c>
      <c r="E981" s="38" t="s">
        <v>3399</v>
      </c>
      <c r="F981" s="38"/>
      <c r="G981" s="38"/>
      <c r="H981" s="38" t="s">
        <v>3997</v>
      </c>
      <c r="I981" s="38" t="s">
        <v>3400</v>
      </c>
      <c r="J981" s="38" t="s">
        <v>4791</v>
      </c>
      <c r="K981" s="38"/>
      <c r="L981" s="38">
        <v>500</v>
      </c>
      <c r="M981" s="38">
        <v>17.63</v>
      </c>
      <c r="N981" s="38"/>
      <c r="O981" s="38">
        <v>64.08</v>
      </c>
      <c r="P981" s="38"/>
      <c r="Q981" s="38">
        <v>2.77</v>
      </c>
      <c r="R981" s="38">
        <v>10.7</v>
      </c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38"/>
      <c r="AJ981" s="38"/>
      <c r="AK981" s="38"/>
      <c r="AL981" s="38"/>
      <c r="AM981" s="38"/>
      <c r="AN981" s="38"/>
      <c r="AO981" s="38"/>
      <c r="AP981" s="38"/>
      <c r="AQ981" s="38">
        <v>16.88</v>
      </c>
      <c r="AR981" s="38"/>
      <c r="AS981" s="38"/>
      <c r="AT981" s="38"/>
      <c r="AU981" s="38"/>
      <c r="AV981" s="38"/>
      <c r="AW981" s="38"/>
      <c r="AX981" s="38"/>
      <c r="AY981" s="38"/>
      <c r="AZ981" s="38"/>
      <c r="BA981" s="38"/>
      <c r="BB981" s="38"/>
    </row>
    <row r="982" spans="1:54">
      <c r="A982" s="38" t="s">
        <v>4793</v>
      </c>
      <c r="B982" s="38">
        <v>180</v>
      </c>
      <c r="C982" s="38" t="s">
        <v>3652</v>
      </c>
      <c r="D982" s="38" t="s">
        <v>4792</v>
      </c>
      <c r="E982" s="38" t="s">
        <v>3399</v>
      </c>
      <c r="F982" s="38"/>
      <c r="G982" s="38"/>
      <c r="H982" s="38" t="s">
        <v>3997</v>
      </c>
      <c r="I982" s="38" t="s">
        <v>3400</v>
      </c>
      <c r="J982" s="38" t="s">
        <v>4791</v>
      </c>
      <c r="K982" s="38"/>
      <c r="L982" s="38">
        <v>500</v>
      </c>
      <c r="M982" s="38">
        <v>19.66</v>
      </c>
      <c r="N982" s="38"/>
      <c r="O982" s="38">
        <v>66.27</v>
      </c>
      <c r="P982" s="38"/>
      <c r="Q982" s="38">
        <v>2.16</v>
      </c>
      <c r="R982" s="38">
        <v>7.68</v>
      </c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38"/>
      <c r="AJ982" s="38"/>
      <c r="AK982" s="38"/>
      <c r="AL982" s="38"/>
      <c r="AM982" s="38"/>
      <c r="AN982" s="38"/>
      <c r="AO982" s="38"/>
      <c r="AP982" s="38"/>
      <c r="AQ982" s="38">
        <v>14.4</v>
      </c>
      <c r="AR982" s="38"/>
      <c r="AS982" s="38"/>
      <c r="AT982" s="38"/>
      <c r="AU982" s="38"/>
      <c r="AV982" s="38"/>
      <c r="AW982" s="38"/>
      <c r="AX982" s="38"/>
      <c r="AY982" s="38"/>
      <c r="AZ982" s="38"/>
      <c r="BA982" s="38"/>
      <c r="BB982" s="38"/>
    </row>
    <row r="983" spans="1:54">
      <c r="A983" s="38" t="s">
        <v>4794</v>
      </c>
      <c r="B983" s="38">
        <v>10</v>
      </c>
      <c r="C983" s="38" t="s">
        <v>3652</v>
      </c>
      <c r="D983" s="38" t="s">
        <v>4792</v>
      </c>
      <c r="E983" s="38" t="s">
        <v>3399</v>
      </c>
      <c r="F983" s="38"/>
      <c r="G983" s="38"/>
      <c r="H983" s="38" t="s">
        <v>3997</v>
      </c>
      <c r="I983" s="38" t="s">
        <v>3400</v>
      </c>
      <c r="J983" s="38" t="s">
        <v>4791</v>
      </c>
      <c r="K983" s="38"/>
      <c r="L983" s="38">
        <v>500</v>
      </c>
      <c r="M983" s="38">
        <v>18.8</v>
      </c>
      <c r="N983" s="38"/>
      <c r="O983" s="38">
        <v>62.7</v>
      </c>
      <c r="P983" s="38"/>
      <c r="Q983" s="38">
        <v>2.2400000000000002</v>
      </c>
      <c r="R983" s="38">
        <v>11.94</v>
      </c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38"/>
      <c r="AJ983" s="38"/>
      <c r="AK983" s="38"/>
      <c r="AL983" s="38"/>
      <c r="AM983" s="38"/>
      <c r="AN983" s="38"/>
      <c r="AO983" s="38"/>
      <c r="AP983" s="38"/>
      <c r="AQ983" s="38">
        <v>14.47</v>
      </c>
      <c r="AR983" s="38"/>
      <c r="AS983" s="38"/>
      <c r="AT983" s="38"/>
      <c r="AU983" s="38"/>
      <c r="AV983" s="38"/>
      <c r="AW983" s="38"/>
      <c r="AX983" s="38"/>
      <c r="AY983" s="38"/>
      <c r="AZ983" s="38"/>
      <c r="BA983" s="38"/>
      <c r="BB983" s="38"/>
    </row>
    <row r="984" spans="1:54">
      <c r="A984" s="38" t="s">
        <v>4795</v>
      </c>
      <c r="B984" s="38">
        <v>90</v>
      </c>
      <c r="C984" s="38" t="s">
        <v>3652</v>
      </c>
      <c r="D984" s="38" t="s">
        <v>4792</v>
      </c>
      <c r="E984" s="38" t="s">
        <v>3399</v>
      </c>
      <c r="F984" s="38"/>
      <c r="G984" s="38"/>
      <c r="H984" s="38" t="s">
        <v>3997</v>
      </c>
      <c r="I984" s="38" t="s">
        <v>3400</v>
      </c>
      <c r="J984" s="38" t="s">
        <v>4791</v>
      </c>
      <c r="K984" s="38"/>
      <c r="L984" s="38">
        <v>700</v>
      </c>
      <c r="M984" s="38">
        <v>21.09</v>
      </c>
      <c r="N984" s="38"/>
      <c r="O984" s="38">
        <v>66.44</v>
      </c>
      <c r="P984" s="38"/>
      <c r="Q984" s="38">
        <v>1.9</v>
      </c>
      <c r="R984" s="38">
        <v>6.76</v>
      </c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  <c r="AI984" s="38"/>
      <c r="AJ984" s="38"/>
      <c r="AK984" s="38"/>
      <c r="AL984" s="38"/>
      <c r="AM984" s="38"/>
      <c r="AN984" s="38"/>
      <c r="AO984" s="38"/>
      <c r="AP984" s="38"/>
      <c r="AQ984" s="38">
        <v>6.54</v>
      </c>
      <c r="AR984" s="38"/>
      <c r="AS984" s="38"/>
      <c r="AT984" s="38"/>
      <c r="AU984" s="38"/>
      <c r="AV984" s="38"/>
      <c r="AW984" s="38"/>
      <c r="AX984" s="38"/>
      <c r="AY984" s="38"/>
      <c r="AZ984" s="38"/>
      <c r="BA984" s="38"/>
      <c r="BB984" s="38"/>
    </row>
    <row r="985" spans="1:54">
      <c r="A985" s="38" t="s">
        <v>4795</v>
      </c>
      <c r="B985" s="38">
        <v>180</v>
      </c>
      <c r="C985" s="38" t="s">
        <v>3652</v>
      </c>
      <c r="D985" s="38" t="s">
        <v>4792</v>
      </c>
      <c r="E985" s="38" t="s">
        <v>3399</v>
      </c>
      <c r="F985" s="38"/>
      <c r="G985" s="38"/>
      <c r="H985" s="38" t="s">
        <v>3997</v>
      </c>
      <c r="I985" s="38" t="s">
        <v>3400</v>
      </c>
      <c r="J985" s="38" t="s">
        <v>4791</v>
      </c>
      <c r="K985" s="38"/>
      <c r="L985" s="38">
        <v>700</v>
      </c>
      <c r="M985" s="38">
        <v>23.42</v>
      </c>
      <c r="N985" s="38"/>
      <c r="O985" s="38">
        <v>68.17</v>
      </c>
      <c r="P985" s="38"/>
      <c r="Q985" s="38">
        <v>1.54</v>
      </c>
      <c r="R985" s="38">
        <v>3.74</v>
      </c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38"/>
      <c r="AJ985" s="38"/>
      <c r="AK985" s="38"/>
      <c r="AL985" s="38"/>
      <c r="AM985" s="38"/>
      <c r="AN985" s="38"/>
      <c r="AO985" s="38"/>
      <c r="AP985" s="38"/>
      <c r="AQ985" s="38">
        <v>6.11</v>
      </c>
      <c r="AR985" s="38"/>
      <c r="AS985" s="38"/>
      <c r="AT985" s="38"/>
      <c r="AU985" s="38"/>
      <c r="AV985" s="38"/>
      <c r="AW985" s="38"/>
      <c r="AX985" s="38"/>
      <c r="AY985" s="38"/>
      <c r="AZ985" s="38"/>
      <c r="BA985" s="38"/>
      <c r="BB985" s="38"/>
    </row>
    <row r="986" spans="1:54">
      <c r="A986" s="38" t="s">
        <v>4796</v>
      </c>
      <c r="B986" s="38" t="s">
        <v>3652</v>
      </c>
      <c r="C986" s="38" t="s">
        <v>4797</v>
      </c>
      <c r="D986" s="38" t="s">
        <v>3399</v>
      </c>
      <c r="E986" s="38"/>
      <c r="F986" s="38"/>
      <c r="G986" s="38" t="s">
        <v>3997</v>
      </c>
      <c r="H986" s="38" t="s">
        <v>3400</v>
      </c>
      <c r="I986" s="38" t="s">
        <v>4798</v>
      </c>
      <c r="J986" s="38"/>
      <c r="K986" s="38">
        <v>400</v>
      </c>
      <c r="L986" s="38">
        <v>6.1</v>
      </c>
      <c r="M986" s="38"/>
      <c r="N986" s="38">
        <v>48.6</v>
      </c>
      <c r="O986" s="38">
        <v>1.3</v>
      </c>
      <c r="P986" s="38">
        <v>12.2</v>
      </c>
      <c r="Q986" s="38">
        <v>31.7</v>
      </c>
      <c r="R986" s="38"/>
      <c r="S986" s="38"/>
      <c r="T986" s="38"/>
      <c r="U986" s="38"/>
      <c r="V986" s="38"/>
      <c r="W986" s="38"/>
      <c r="X986" s="38"/>
      <c r="Y986" s="38">
        <v>38</v>
      </c>
      <c r="Z986" s="38">
        <v>5</v>
      </c>
      <c r="AA986" s="38">
        <v>43</v>
      </c>
      <c r="AB986" s="38"/>
      <c r="AC986" s="38">
        <v>63</v>
      </c>
      <c r="AD986" s="38">
        <v>1</v>
      </c>
      <c r="AE986" s="38"/>
      <c r="AF986" s="38"/>
      <c r="AG986" s="38">
        <v>67</v>
      </c>
      <c r="AH986" s="38"/>
      <c r="AI986" s="38">
        <v>149</v>
      </c>
      <c r="AJ986" s="38"/>
      <c r="AK986" s="38"/>
      <c r="AL986" s="38"/>
      <c r="AM986" s="38"/>
      <c r="AN986" s="38"/>
      <c r="AO986" s="38"/>
      <c r="AP986" s="38">
        <v>22.3</v>
      </c>
      <c r="AQ986" s="38"/>
      <c r="AR986" s="38"/>
      <c r="AS986" s="38"/>
      <c r="AT986" s="38"/>
      <c r="AU986" s="38"/>
      <c r="AV986" s="38"/>
      <c r="AW986" s="38"/>
      <c r="AX986" s="38"/>
      <c r="AY986" s="38"/>
      <c r="AZ986" s="38"/>
      <c r="BA986" s="38"/>
      <c r="BB986" s="38"/>
    </row>
    <row r="987" spans="1:54">
      <c r="A987" s="38" t="s">
        <v>4799</v>
      </c>
      <c r="B987" s="38" t="s">
        <v>3652</v>
      </c>
      <c r="C987" s="38" t="s">
        <v>4797</v>
      </c>
      <c r="D987" s="38" t="s">
        <v>3399</v>
      </c>
      <c r="E987" s="38"/>
      <c r="F987" s="38"/>
      <c r="G987" s="38" t="s">
        <v>3997</v>
      </c>
      <c r="H987" s="38" t="s">
        <v>3400</v>
      </c>
      <c r="I987" s="38" t="s">
        <v>4798</v>
      </c>
      <c r="J987" s="38"/>
      <c r="K987" s="38">
        <v>500</v>
      </c>
      <c r="L987" s="38">
        <v>9.1999999999999993</v>
      </c>
      <c r="M987" s="38"/>
      <c r="N987" s="38">
        <v>59.5</v>
      </c>
      <c r="O987" s="38">
        <v>1.4</v>
      </c>
      <c r="P987" s="38">
        <v>9.1</v>
      </c>
      <c r="Q987" s="38">
        <v>20.8</v>
      </c>
      <c r="R987" s="38"/>
      <c r="S987" s="38"/>
      <c r="T987" s="38"/>
      <c r="U987" s="38"/>
      <c r="V987" s="38"/>
      <c r="W987" s="38"/>
      <c r="X987" s="38"/>
      <c r="Y987" s="38">
        <v>12</v>
      </c>
      <c r="Z987" s="38">
        <v>5</v>
      </c>
      <c r="AA987" s="38">
        <v>64</v>
      </c>
      <c r="AB987" s="38"/>
      <c r="AC987" s="38">
        <v>101</v>
      </c>
      <c r="AD987" s="38">
        <v>10</v>
      </c>
      <c r="AE987" s="38"/>
      <c r="AF987" s="38"/>
      <c r="AG987" s="38">
        <v>143</v>
      </c>
      <c r="AH987" s="38"/>
      <c r="AI987" s="38">
        <v>213</v>
      </c>
      <c r="AJ987" s="38"/>
      <c r="AK987" s="38"/>
      <c r="AL987" s="38"/>
      <c r="AM987" s="38"/>
      <c r="AN987" s="38"/>
      <c r="AO987" s="38"/>
      <c r="AP987" s="38">
        <v>26.4</v>
      </c>
      <c r="AQ987" s="38"/>
      <c r="AR987" s="38"/>
      <c r="AS987" s="38"/>
      <c r="AT987" s="38"/>
      <c r="AU987" s="38"/>
      <c r="AV987" s="38"/>
      <c r="AW987" s="38"/>
      <c r="AX987" s="38"/>
      <c r="AY987" s="38"/>
      <c r="AZ987" s="38"/>
      <c r="BA987" s="38"/>
      <c r="BB987" s="38"/>
    </row>
    <row r="988" spans="1:54">
      <c r="A988" s="38" t="s">
        <v>4800</v>
      </c>
      <c r="B988" s="38" t="s">
        <v>3652</v>
      </c>
      <c r="C988" s="38" t="s">
        <v>4797</v>
      </c>
      <c r="D988" s="38" t="s">
        <v>3399</v>
      </c>
      <c r="E988" s="38"/>
      <c r="F988" s="38"/>
      <c r="G988" s="38" t="s">
        <v>3997</v>
      </c>
      <c r="H988" s="38" t="s">
        <v>3400</v>
      </c>
      <c r="I988" s="38" t="s">
        <v>4798</v>
      </c>
      <c r="J988" s="38"/>
      <c r="K988" s="38">
        <v>600</v>
      </c>
      <c r="L988" s="38">
        <v>6.2</v>
      </c>
      <c r="M988" s="38"/>
      <c r="N988" s="38">
        <v>70.099999999999994</v>
      </c>
      <c r="O988" s="38">
        <v>1.3</v>
      </c>
      <c r="P988" s="38">
        <v>8.4</v>
      </c>
      <c r="Q988" s="38">
        <v>13.7</v>
      </c>
      <c r="R988" s="38"/>
      <c r="S988" s="38"/>
      <c r="T988" s="38"/>
      <c r="U988" s="38"/>
      <c r="V988" s="38"/>
      <c r="W988" s="38"/>
      <c r="X988" s="38"/>
      <c r="Y988" s="38"/>
      <c r="Z988" s="38">
        <v>6</v>
      </c>
      <c r="AA988" s="38">
        <v>103</v>
      </c>
      <c r="AB988" s="38"/>
      <c r="AC988" s="38">
        <v>157</v>
      </c>
      <c r="AD988" s="38">
        <v>38</v>
      </c>
      <c r="AE988" s="38"/>
      <c r="AF988" s="38"/>
      <c r="AG988" s="38">
        <v>599</v>
      </c>
      <c r="AH988" s="38"/>
      <c r="AI988" s="38">
        <v>356</v>
      </c>
      <c r="AJ988" s="38"/>
      <c r="AK988" s="38"/>
      <c r="AL988" s="38"/>
      <c r="AM988" s="38"/>
      <c r="AN988" s="38"/>
      <c r="AO988" s="38"/>
      <c r="AP988" s="38">
        <v>15.1</v>
      </c>
      <c r="AQ988" s="38"/>
      <c r="AR988" s="38"/>
      <c r="AS988" s="38"/>
      <c r="AT988" s="38"/>
      <c r="AU988" s="38"/>
      <c r="AV988" s="38"/>
      <c r="AW988" s="38"/>
      <c r="AX988" s="38"/>
      <c r="AY988" s="38"/>
      <c r="AZ988" s="38"/>
      <c r="BA988" s="38"/>
      <c r="BB988" s="38"/>
    </row>
    <row r="989" spans="1:54">
      <c r="A989" s="38" t="s">
        <v>4801</v>
      </c>
      <c r="B989" s="38">
        <v>1</v>
      </c>
      <c r="C989" s="38" t="s">
        <v>3409</v>
      </c>
      <c r="D989" s="38" t="s">
        <v>4492</v>
      </c>
      <c r="E989" s="38" t="s">
        <v>3399</v>
      </c>
      <c r="F989" s="38"/>
      <c r="G989" s="38"/>
      <c r="H989" s="38" t="s">
        <v>4802</v>
      </c>
      <c r="I989" s="38" t="s">
        <v>3400</v>
      </c>
      <c r="J989" s="38" t="s">
        <v>4803</v>
      </c>
      <c r="K989" s="38"/>
      <c r="L989" s="38">
        <v>400</v>
      </c>
      <c r="M989" s="38">
        <v>1.9</v>
      </c>
      <c r="N989" s="38"/>
      <c r="O989" s="38">
        <v>44.5</v>
      </c>
      <c r="P989" s="38">
        <v>0.35</v>
      </c>
      <c r="Q989" s="38"/>
      <c r="R989" s="38"/>
      <c r="S989" s="38">
        <v>5.7</v>
      </c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38"/>
      <c r="AJ989" s="38"/>
      <c r="AK989" s="38"/>
      <c r="AL989" s="38"/>
      <c r="AM989" s="38"/>
      <c r="AN989" s="38"/>
      <c r="AO989" s="38"/>
      <c r="AP989" s="38"/>
      <c r="AQ989" s="38"/>
      <c r="AR989" s="38"/>
      <c r="AS989" s="38"/>
      <c r="AT989" s="38"/>
      <c r="AU989" s="38"/>
      <c r="AV989" s="38"/>
      <c r="AW989" s="38"/>
      <c r="AX989" s="38"/>
      <c r="AY989" s="38"/>
      <c r="AZ989" s="38"/>
      <c r="BA989" s="38"/>
      <c r="BB989" s="38"/>
    </row>
    <row r="990" spans="1:54">
      <c r="A990" s="38" t="s">
        <v>4804</v>
      </c>
      <c r="B990" s="38">
        <v>1</v>
      </c>
      <c r="C990" s="38" t="s">
        <v>3409</v>
      </c>
      <c r="D990" s="38" t="s">
        <v>4492</v>
      </c>
      <c r="E990" s="38" t="s">
        <v>3399</v>
      </c>
      <c r="F990" s="38"/>
      <c r="G990" s="38"/>
      <c r="H990" s="38" t="s">
        <v>4802</v>
      </c>
      <c r="I990" s="38" t="s">
        <v>3400</v>
      </c>
      <c r="J990" s="38" t="s">
        <v>4803</v>
      </c>
      <c r="K990" s="38"/>
      <c r="L990" s="38">
        <v>450</v>
      </c>
      <c r="M990" s="38">
        <v>2.8</v>
      </c>
      <c r="N990" s="38"/>
      <c r="O990" s="38">
        <v>46.8</v>
      </c>
      <c r="P990" s="38">
        <v>0.34</v>
      </c>
      <c r="Q990" s="38"/>
      <c r="R990" s="38"/>
      <c r="S990" s="38">
        <v>5.6</v>
      </c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38"/>
      <c r="AJ990" s="38"/>
      <c r="AK990" s="38"/>
      <c r="AL990" s="38"/>
      <c r="AM990" s="38"/>
      <c r="AN990" s="38"/>
      <c r="AO990" s="38"/>
      <c r="AP990" s="38"/>
      <c r="AQ990" s="38"/>
      <c r="AR990" s="38"/>
      <c r="AS990" s="38"/>
      <c r="AT990" s="38"/>
      <c r="AU990" s="38"/>
      <c r="AV990" s="38"/>
      <c r="AW990" s="38"/>
      <c r="AX990" s="38"/>
      <c r="AY990" s="38"/>
      <c r="AZ990" s="38"/>
      <c r="BA990" s="38"/>
      <c r="BB990" s="38"/>
    </row>
    <row r="991" spans="1:54">
      <c r="A991" s="38" t="s">
        <v>3848</v>
      </c>
      <c r="B991" s="38">
        <v>1</v>
      </c>
      <c r="C991" s="38" t="s">
        <v>3409</v>
      </c>
      <c r="D991" s="38" t="s">
        <v>4492</v>
      </c>
      <c r="E991" s="38" t="s">
        <v>3399</v>
      </c>
      <c r="F991" s="38"/>
      <c r="G991" s="38"/>
      <c r="H991" s="38" t="s">
        <v>4802</v>
      </c>
      <c r="I991" s="38" t="s">
        <v>3400</v>
      </c>
      <c r="J991" s="38" t="s">
        <v>4803</v>
      </c>
      <c r="K991" s="38"/>
      <c r="L991" s="38">
        <v>500</v>
      </c>
      <c r="M991" s="38">
        <v>2.7</v>
      </c>
      <c r="N991" s="38"/>
      <c r="O991" s="38">
        <v>46.3</v>
      </c>
      <c r="P991" s="38">
        <v>0.31</v>
      </c>
      <c r="Q991" s="38"/>
      <c r="R991" s="38"/>
      <c r="S991" s="38">
        <v>5.6</v>
      </c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38"/>
      <c r="AJ991" s="38"/>
      <c r="AK991" s="38"/>
      <c r="AL991" s="38"/>
      <c r="AM991" s="38"/>
      <c r="AN991" s="38"/>
      <c r="AO991" s="38"/>
      <c r="AP991" s="38"/>
      <c r="AQ991" s="38"/>
      <c r="AR991" s="38"/>
      <c r="AS991" s="38"/>
      <c r="AT991" s="38"/>
      <c r="AU991" s="38"/>
      <c r="AV991" s="38"/>
      <c r="AW991" s="38"/>
      <c r="AX991" s="38"/>
      <c r="AY991" s="38"/>
      <c r="AZ991" s="38"/>
      <c r="BA991" s="38"/>
      <c r="BB991" s="38"/>
    </row>
    <row r="992" spans="1:54">
      <c r="A992" s="38" t="s">
        <v>4801</v>
      </c>
      <c r="B992" s="38">
        <v>2</v>
      </c>
      <c r="C992" s="38" t="s">
        <v>3409</v>
      </c>
      <c r="D992" s="38" t="s">
        <v>4492</v>
      </c>
      <c r="E992" s="38" t="s">
        <v>3399</v>
      </c>
      <c r="F992" s="38"/>
      <c r="G992" s="38"/>
      <c r="H992" s="38" t="s">
        <v>4805</v>
      </c>
      <c r="I992" s="38" t="s">
        <v>3400</v>
      </c>
      <c r="J992" s="38" t="s">
        <v>4803</v>
      </c>
      <c r="K992" s="38"/>
      <c r="L992" s="38">
        <v>400</v>
      </c>
      <c r="M992" s="38">
        <v>1.4</v>
      </c>
      <c r="N992" s="38"/>
      <c r="O992" s="38">
        <v>47.22</v>
      </c>
      <c r="P992" s="38">
        <v>0.35</v>
      </c>
      <c r="Q992" s="38"/>
      <c r="R992" s="38"/>
      <c r="S992" s="38">
        <v>6</v>
      </c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38"/>
      <c r="AJ992" s="38"/>
      <c r="AK992" s="38"/>
      <c r="AL992" s="38"/>
      <c r="AM992" s="38"/>
      <c r="AN992" s="38"/>
      <c r="AO992" s="38"/>
      <c r="AP992" s="38"/>
      <c r="AQ992" s="38"/>
      <c r="AR992" s="38"/>
      <c r="AS992" s="38"/>
      <c r="AT992" s="38"/>
      <c r="AU992" s="38"/>
      <c r="AV992" s="38"/>
      <c r="AW992" s="38"/>
      <c r="AX992" s="38"/>
      <c r="AY992" s="38"/>
      <c r="AZ992" s="38"/>
      <c r="BA992" s="38"/>
      <c r="BB992" s="38"/>
    </row>
    <row r="993" spans="1:54">
      <c r="A993" s="38" t="s">
        <v>4806</v>
      </c>
      <c r="B993" s="38">
        <v>1</v>
      </c>
      <c r="C993" s="38" t="s">
        <v>3409</v>
      </c>
      <c r="D993" s="38" t="s">
        <v>4492</v>
      </c>
      <c r="E993" s="38" t="s">
        <v>3399</v>
      </c>
      <c r="F993" s="38"/>
      <c r="G993" s="38"/>
      <c r="H993" s="38" t="s">
        <v>4802</v>
      </c>
      <c r="I993" s="38" t="s">
        <v>3400</v>
      </c>
      <c r="J993" s="38" t="s">
        <v>4803</v>
      </c>
      <c r="K993" s="38"/>
      <c r="L993" s="38">
        <v>550</v>
      </c>
      <c r="M993" s="38">
        <v>2.8</v>
      </c>
      <c r="N993" s="38"/>
      <c r="O993" s="38">
        <v>48.4</v>
      </c>
      <c r="P993" s="38">
        <v>0.32</v>
      </c>
      <c r="Q993" s="38"/>
      <c r="R993" s="38"/>
      <c r="S993" s="38">
        <v>6.1</v>
      </c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38"/>
      <c r="AJ993" s="38"/>
      <c r="AK993" s="38"/>
      <c r="AL993" s="38"/>
      <c r="AM993" s="38"/>
      <c r="AN993" s="38"/>
      <c r="AO993" s="38"/>
      <c r="AP993" s="38"/>
      <c r="AQ993" s="38"/>
      <c r="AR993" s="38"/>
      <c r="AS993" s="38"/>
      <c r="AT993" s="38"/>
      <c r="AU993" s="38"/>
      <c r="AV993" s="38"/>
      <c r="AW993" s="38"/>
      <c r="AX993" s="38"/>
      <c r="AY993" s="38"/>
      <c r="AZ993" s="38"/>
      <c r="BA993" s="38"/>
      <c r="BB993" s="38"/>
    </row>
    <row r="994" spans="1:54">
      <c r="A994" s="38" t="s">
        <v>4804</v>
      </c>
      <c r="B994" s="38">
        <v>2</v>
      </c>
      <c r="C994" s="38" t="s">
        <v>3409</v>
      </c>
      <c r="D994" s="38" t="s">
        <v>4492</v>
      </c>
      <c r="E994" s="38" t="s">
        <v>3399</v>
      </c>
      <c r="F994" s="38"/>
      <c r="G994" s="38"/>
      <c r="H994" s="38" t="s">
        <v>4807</v>
      </c>
      <c r="I994" s="38" t="s">
        <v>3400</v>
      </c>
      <c r="J994" s="38" t="s">
        <v>4803</v>
      </c>
      <c r="K994" s="38"/>
      <c r="L994" s="38">
        <v>450</v>
      </c>
      <c r="M994" s="38">
        <v>2.9</v>
      </c>
      <c r="N994" s="38"/>
      <c r="O994" s="38">
        <v>50.2</v>
      </c>
      <c r="P994" s="38">
        <v>0.32</v>
      </c>
      <c r="Q994" s="38"/>
      <c r="R994" s="38"/>
      <c r="S994" s="38">
        <v>6.4</v>
      </c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38"/>
      <c r="AJ994" s="38"/>
      <c r="AK994" s="38"/>
      <c r="AL994" s="38"/>
      <c r="AM994" s="38"/>
      <c r="AN994" s="38"/>
      <c r="AO994" s="38"/>
      <c r="AP994" s="38"/>
      <c r="AQ994" s="38"/>
      <c r="AR994" s="38"/>
      <c r="AS994" s="38"/>
      <c r="AT994" s="38"/>
      <c r="AU994" s="38"/>
      <c r="AV994" s="38"/>
      <c r="AW994" s="38"/>
      <c r="AX994" s="38"/>
      <c r="AY994" s="38"/>
      <c r="AZ994" s="38"/>
      <c r="BA994" s="38"/>
      <c r="BB994" s="38"/>
    </row>
    <row r="995" spans="1:54">
      <c r="A995" s="38" t="s">
        <v>4808</v>
      </c>
      <c r="B995" s="38">
        <v>1</v>
      </c>
      <c r="C995" s="38" t="s">
        <v>3409</v>
      </c>
      <c r="D995" s="38" t="s">
        <v>4492</v>
      </c>
      <c r="E995" s="38" t="s">
        <v>3399</v>
      </c>
      <c r="F995" s="38"/>
      <c r="G995" s="38"/>
      <c r="H995" s="38" t="s">
        <v>4802</v>
      </c>
      <c r="I995" s="38" t="s">
        <v>3400</v>
      </c>
      <c r="J995" s="38" t="s">
        <v>4803</v>
      </c>
      <c r="K995" s="38"/>
      <c r="L995" s="38">
        <v>600</v>
      </c>
      <c r="M995" s="38">
        <v>3.3</v>
      </c>
      <c r="N995" s="38"/>
      <c r="O995" s="38">
        <v>52.1</v>
      </c>
      <c r="P995" s="38">
        <v>0.36</v>
      </c>
      <c r="Q995" s="38"/>
      <c r="R995" s="38"/>
      <c r="S995" s="38">
        <v>6.8</v>
      </c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38"/>
      <c r="AJ995" s="38"/>
      <c r="AK995" s="38"/>
      <c r="AL995" s="38"/>
      <c r="AM995" s="38"/>
      <c r="AN995" s="38"/>
      <c r="AO995" s="38"/>
      <c r="AP995" s="38"/>
      <c r="AQ995" s="38"/>
      <c r="AR995" s="38"/>
      <c r="AS995" s="38"/>
      <c r="AT995" s="38"/>
      <c r="AU995" s="38"/>
      <c r="AV995" s="38"/>
      <c r="AW995" s="38"/>
      <c r="AX995" s="38"/>
      <c r="AY995" s="38"/>
      <c r="AZ995" s="38"/>
      <c r="BA995" s="38"/>
      <c r="BB995" s="38"/>
    </row>
    <row r="996" spans="1:54">
      <c r="A996" s="38" t="s">
        <v>3848</v>
      </c>
      <c r="B996" s="38">
        <v>2</v>
      </c>
      <c r="C996" s="38" t="s">
        <v>3409</v>
      </c>
      <c r="D996" s="38" t="s">
        <v>4492</v>
      </c>
      <c r="E996" s="38" t="s">
        <v>3399</v>
      </c>
      <c r="F996" s="38"/>
      <c r="G996" s="38"/>
      <c r="H996" s="38" t="s">
        <v>4805</v>
      </c>
      <c r="I996" s="38" t="s">
        <v>3400</v>
      </c>
      <c r="J996" s="38" t="s">
        <v>4803</v>
      </c>
      <c r="K996" s="38"/>
      <c r="L996" s="38">
        <v>500</v>
      </c>
      <c r="M996" s="38">
        <v>5.4</v>
      </c>
      <c r="N996" s="38"/>
      <c r="O996" s="38">
        <v>60.1</v>
      </c>
      <c r="P996" s="38">
        <v>0.4</v>
      </c>
      <c r="Q996" s="38"/>
      <c r="R996" s="38"/>
      <c r="S996" s="38">
        <v>7</v>
      </c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38"/>
      <c r="AJ996" s="38"/>
      <c r="AK996" s="38"/>
      <c r="AL996" s="38"/>
      <c r="AM996" s="38"/>
      <c r="AN996" s="38"/>
      <c r="AO996" s="38"/>
      <c r="AP996" s="38"/>
      <c r="AQ996" s="38"/>
      <c r="AR996" s="38"/>
      <c r="AS996" s="38"/>
      <c r="AT996" s="38"/>
      <c r="AU996" s="38"/>
      <c r="AV996" s="38"/>
      <c r="AW996" s="38"/>
      <c r="AX996" s="38"/>
      <c r="AY996" s="38"/>
      <c r="AZ996" s="38"/>
      <c r="BA996" s="38"/>
      <c r="BB996" s="38"/>
    </row>
    <row r="997" spans="1:54">
      <c r="A997" s="38" t="s">
        <v>4801</v>
      </c>
      <c r="B997" s="38">
        <v>5</v>
      </c>
      <c r="C997" s="38" t="s">
        <v>3409</v>
      </c>
      <c r="D997" s="38" t="s">
        <v>4492</v>
      </c>
      <c r="E997" s="38" t="s">
        <v>3399</v>
      </c>
      <c r="F997" s="38"/>
      <c r="G997" s="38"/>
      <c r="H997" s="38" t="s">
        <v>4809</v>
      </c>
      <c r="I997" s="38" t="s">
        <v>3400</v>
      </c>
      <c r="J997" s="38" t="s">
        <v>4803</v>
      </c>
      <c r="K997" s="38"/>
      <c r="L997" s="38">
        <v>400</v>
      </c>
      <c r="M997" s="38">
        <v>5.5</v>
      </c>
      <c r="N997" s="38"/>
      <c r="O997" s="38">
        <v>65.5</v>
      </c>
      <c r="P997" s="38">
        <v>0.45</v>
      </c>
      <c r="Q997" s="38"/>
      <c r="R997" s="38"/>
      <c r="S997" s="38">
        <v>7</v>
      </c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38"/>
      <c r="AJ997" s="38"/>
      <c r="AK997" s="38"/>
      <c r="AL997" s="38"/>
      <c r="AM997" s="38"/>
      <c r="AN997" s="38"/>
      <c r="AO997" s="38"/>
      <c r="AP997" s="38"/>
      <c r="AQ997" s="38"/>
      <c r="AR997" s="38"/>
      <c r="AS997" s="38"/>
      <c r="AT997" s="38"/>
      <c r="AU997" s="38"/>
      <c r="AV997" s="38"/>
      <c r="AW997" s="38"/>
      <c r="AX997" s="38"/>
      <c r="AY997" s="38"/>
      <c r="AZ997" s="38"/>
      <c r="BA997" s="38"/>
      <c r="BB997" s="38"/>
    </row>
    <row r="998" spans="1:54">
      <c r="A998" s="38" t="s">
        <v>3958</v>
      </c>
      <c r="B998" s="38">
        <v>1</v>
      </c>
      <c r="C998" s="38" t="s">
        <v>3409</v>
      </c>
      <c r="D998" s="38" t="s">
        <v>4492</v>
      </c>
      <c r="E998" s="38" t="s">
        <v>3399</v>
      </c>
      <c r="F998" s="38"/>
      <c r="G998" s="38"/>
      <c r="H998" s="38" t="s">
        <v>4802</v>
      </c>
      <c r="I998" s="38" t="s">
        <v>3400</v>
      </c>
      <c r="J998" s="38" t="s">
        <v>4803</v>
      </c>
      <c r="K998" s="38"/>
      <c r="L998" s="38">
        <v>650</v>
      </c>
      <c r="M998" s="38">
        <v>7.8</v>
      </c>
      <c r="N998" s="38"/>
      <c r="O998" s="38">
        <v>62.2</v>
      </c>
      <c r="P998" s="38">
        <v>0.46</v>
      </c>
      <c r="Q998" s="38"/>
      <c r="R998" s="38"/>
      <c r="S998" s="38">
        <v>8.1999999999999993</v>
      </c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38"/>
      <c r="AJ998" s="38"/>
      <c r="AK998" s="38"/>
      <c r="AL998" s="38"/>
      <c r="AM998" s="38"/>
      <c r="AN998" s="38"/>
      <c r="AO998" s="38"/>
      <c r="AP998" s="38"/>
      <c r="AQ998" s="38"/>
      <c r="AR998" s="38"/>
      <c r="AS998" s="38"/>
      <c r="AT998" s="38"/>
      <c r="AU998" s="38"/>
      <c r="AV998" s="38"/>
      <c r="AW998" s="38"/>
      <c r="AX998" s="38"/>
      <c r="AY998" s="38"/>
      <c r="AZ998" s="38"/>
      <c r="BA998" s="38"/>
      <c r="BB998" s="38"/>
    </row>
    <row r="999" spans="1:54">
      <c r="A999" s="38" t="s">
        <v>4801</v>
      </c>
      <c r="B999" s="38">
        <v>10</v>
      </c>
      <c r="C999" s="38" t="s">
        <v>3409</v>
      </c>
      <c r="D999" s="38" t="s">
        <v>4492</v>
      </c>
      <c r="E999" s="38" t="s">
        <v>3399</v>
      </c>
      <c r="F999" s="38"/>
      <c r="G999" s="38"/>
      <c r="H999" s="38" t="s">
        <v>4810</v>
      </c>
      <c r="I999" s="38" t="s">
        <v>3400</v>
      </c>
      <c r="J999" s="38" t="s">
        <v>4803</v>
      </c>
      <c r="K999" s="38"/>
      <c r="L999" s="38">
        <v>400</v>
      </c>
      <c r="M999" s="38">
        <v>8.3000000000000007</v>
      </c>
      <c r="N999" s="38"/>
      <c r="O999" s="38">
        <v>63.9</v>
      </c>
      <c r="P999" s="38">
        <v>0.44</v>
      </c>
      <c r="Q999" s="38"/>
      <c r="R999" s="38"/>
      <c r="S999" s="38">
        <v>7</v>
      </c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38"/>
      <c r="AJ999" s="38"/>
      <c r="AK999" s="38"/>
      <c r="AL999" s="38"/>
      <c r="AM999" s="38"/>
      <c r="AN999" s="38"/>
      <c r="AO999" s="38"/>
      <c r="AP999" s="38"/>
      <c r="AQ999" s="38"/>
      <c r="AR999" s="38"/>
      <c r="AS999" s="38"/>
      <c r="AT999" s="38"/>
      <c r="AU999" s="38"/>
      <c r="AV999" s="38"/>
      <c r="AW999" s="38"/>
      <c r="AX999" s="38"/>
      <c r="AY999" s="38"/>
      <c r="AZ999" s="38"/>
      <c r="BA999" s="38"/>
      <c r="BB999" s="38"/>
    </row>
    <row r="1000" spans="1:54">
      <c r="A1000" s="38" t="s">
        <v>4804</v>
      </c>
      <c r="B1000" s="38">
        <v>5</v>
      </c>
      <c r="C1000" s="38" t="s">
        <v>3409</v>
      </c>
      <c r="D1000" s="38" t="s">
        <v>4492</v>
      </c>
      <c r="E1000" s="38" t="s">
        <v>3399</v>
      </c>
      <c r="F1000" s="38"/>
      <c r="G1000" s="38"/>
      <c r="H1000" s="38" t="s">
        <v>4809</v>
      </c>
      <c r="I1000" s="38" t="s">
        <v>3400</v>
      </c>
      <c r="J1000" s="38" t="s">
        <v>4803</v>
      </c>
      <c r="K1000" s="38"/>
      <c r="L1000" s="38">
        <v>450</v>
      </c>
      <c r="M1000" s="38">
        <v>6</v>
      </c>
      <c r="N1000" s="38"/>
      <c r="O1000" s="38">
        <v>67.3</v>
      </c>
      <c r="P1000" s="38">
        <v>0.51</v>
      </c>
      <c r="Q1000" s="38"/>
      <c r="R1000" s="38"/>
      <c r="S1000" s="38">
        <v>7.5</v>
      </c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  <c r="AD1000" s="38"/>
      <c r="AE1000" s="38"/>
      <c r="AF1000" s="38"/>
      <c r="AG1000" s="38"/>
      <c r="AH1000" s="38"/>
      <c r="AI1000" s="38"/>
      <c r="AJ1000" s="38"/>
      <c r="AK1000" s="38"/>
      <c r="AL1000" s="38"/>
      <c r="AM1000" s="38"/>
      <c r="AN1000" s="38"/>
      <c r="AO1000" s="38"/>
      <c r="AP1000" s="38"/>
      <c r="AQ1000" s="38"/>
      <c r="AR1000" s="38"/>
      <c r="AS1000" s="38"/>
      <c r="AT1000" s="38"/>
      <c r="AU1000" s="38"/>
      <c r="AV1000" s="38"/>
      <c r="AW1000" s="38"/>
      <c r="AX1000" s="38"/>
      <c r="AY1000" s="38"/>
      <c r="AZ1000" s="38"/>
      <c r="BA1000" s="38"/>
      <c r="BB1000" s="38"/>
    </row>
    <row r="1001" spans="1:54">
      <c r="A1001" s="38" t="s">
        <v>4801</v>
      </c>
      <c r="B1001" s="38">
        <v>20</v>
      </c>
      <c r="C1001" s="38" t="s">
        <v>3409</v>
      </c>
      <c r="D1001" s="38" t="s">
        <v>4492</v>
      </c>
      <c r="E1001" s="38" t="s">
        <v>3399</v>
      </c>
      <c r="F1001" s="38"/>
      <c r="G1001" s="38"/>
      <c r="H1001" s="38" t="s">
        <v>4811</v>
      </c>
      <c r="I1001" s="38" t="s">
        <v>3400</v>
      </c>
      <c r="J1001" s="38" t="s">
        <v>4803</v>
      </c>
      <c r="K1001" s="38"/>
      <c r="L1001" s="38">
        <v>400</v>
      </c>
      <c r="M1001" s="38">
        <v>6.6</v>
      </c>
      <c r="N1001" s="38"/>
      <c r="O1001" s="38">
        <v>67.8</v>
      </c>
      <c r="P1001" s="38">
        <v>0.52</v>
      </c>
      <c r="Q1001" s="38"/>
      <c r="R1001" s="38"/>
      <c r="S1001" s="38">
        <v>7</v>
      </c>
      <c r="T1001" s="38"/>
      <c r="U1001" s="38"/>
      <c r="V1001" s="38"/>
      <c r="W1001" s="38"/>
      <c r="X1001" s="38"/>
      <c r="Y1001" s="38"/>
      <c r="Z1001" s="38"/>
      <c r="AA1001" s="38"/>
      <c r="AB1001" s="38"/>
      <c r="AC1001" s="38"/>
      <c r="AD1001" s="38"/>
      <c r="AE1001" s="38"/>
      <c r="AF1001" s="38"/>
      <c r="AG1001" s="38"/>
      <c r="AH1001" s="38"/>
      <c r="AI1001" s="38"/>
      <c r="AJ1001" s="38"/>
      <c r="AK1001" s="38"/>
      <c r="AL1001" s="38"/>
      <c r="AM1001" s="38"/>
      <c r="AN1001" s="38"/>
      <c r="AO1001" s="38"/>
      <c r="AP1001" s="38"/>
      <c r="AQ1001" s="38"/>
      <c r="AR1001" s="38"/>
      <c r="AS1001" s="38"/>
      <c r="AT1001" s="38"/>
      <c r="AU1001" s="38"/>
      <c r="AV1001" s="38"/>
      <c r="AW1001" s="38"/>
      <c r="AX1001" s="38"/>
      <c r="AY1001" s="38"/>
      <c r="AZ1001" s="38"/>
      <c r="BA1001" s="38"/>
      <c r="BB1001" s="38"/>
    </row>
    <row r="1002" spans="1:54">
      <c r="A1002" s="38" t="s">
        <v>4806</v>
      </c>
      <c r="B1002" s="38">
        <v>2</v>
      </c>
      <c r="C1002" s="38" t="s">
        <v>3409</v>
      </c>
      <c r="D1002" s="38" t="s">
        <v>4492</v>
      </c>
      <c r="E1002" s="38" t="s">
        <v>3399</v>
      </c>
      <c r="F1002" s="38"/>
      <c r="G1002" s="38"/>
      <c r="H1002" s="38" t="s">
        <v>4805</v>
      </c>
      <c r="I1002" s="38" t="s">
        <v>3400</v>
      </c>
      <c r="J1002" s="38" t="s">
        <v>4803</v>
      </c>
      <c r="K1002" s="38"/>
      <c r="L1002" s="38">
        <v>550</v>
      </c>
      <c r="M1002" s="38">
        <v>8.4</v>
      </c>
      <c r="N1002" s="38"/>
      <c r="O1002" s="38">
        <v>64.2</v>
      </c>
      <c r="P1002" s="38">
        <v>0.54</v>
      </c>
      <c r="Q1002" s="38"/>
      <c r="R1002" s="38"/>
      <c r="S1002" s="38">
        <v>7.5</v>
      </c>
      <c r="T1002" s="38"/>
      <c r="U1002" s="38"/>
      <c r="V1002" s="38"/>
      <c r="W1002" s="38"/>
      <c r="X1002" s="38"/>
      <c r="Y1002" s="38"/>
      <c r="Z1002" s="38"/>
      <c r="AA1002" s="38"/>
      <c r="AB1002" s="38"/>
      <c r="AC1002" s="38"/>
      <c r="AD1002" s="38"/>
      <c r="AE1002" s="38"/>
      <c r="AF1002" s="38"/>
      <c r="AG1002" s="38"/>
      <c r="AH1002" s="38"/>
      <c r="AI1002" s="38"/>
      <c r="AJ1002" s="38"/>
      <c r="AK1002" s="38"/>
      <c r="AL1002" s="38"/>
      <c r="AM1002" s="38"/>
      <c r="AN1002" s="38"/>
      <c r="AO1002" s="38"/>
      <c r="AP1002" s="38"/>
      <c r="AQ1002" s="38"/>
      <c r="AR1002" s="38"/>
      <c r="AS1002" s="38"/>
      <c r="AT1002" s="38"/>
      <c r="AU1002" s="38"/>
      <c r="AV1002" s="38"/>
      <c r="AW1002" s="38"/>
      <c r="AX1002" s="38"/>
      <c r="AY1002" s="38"/>
      <c r="AZ1002" s="38"/>
      <c r="BA1002" s="38"/>
      <c r="BB1002" s="38"/>
    </row>
    <row r="1003" spans="1:54">
      <c r="A1003" s="38" t="s">
        <v>4812</v>
      </c>
      <c r="B1003" s="38">
        <v>1</v>
      </c>
      <c r="C1003" s="38" t="s">
        <v>3409</v>
      </c>
      <c r="D1003" s="38" t="s">
        <v>4492</v>
      </c>
      <c r="E1003" s="38" t="s">
        <v>3399</v>
      </c>
      <c r="F1003" s="38"/>
      <c r="G1003" s="38"/>
      <c r="H1003" s="38" t="s">
        <v>4802</v>
      </c>
      <c r="I1003" s="38" t="s">
        <v>3400</v>
      </c>
      <c r="J1003" s="38" t="s">
        <v>4803</v>
      </c>
      <c r="K1003" s="38"/>
      <c r="L1003" s="38">
        <v>700</v>
      </c>
      <c r="M1003" s="38">
        <v>9.6</v>
      </c>
      <c r="N1003" s="38"/>
      <c r="O1003" s="38">
        <v>66.099999999999994</v>
      </c>
      <c r="P1003" s="38">
        <v>0.46</v>
      </c>
      <c r="Q1003" s="38"/>
      <c r="R1003" s="38"/>
      <c r="S1003" s="38">
        <v>8.1999999999999993</v>
      </c>
      <c r="T1003" s="38"/>
      <c r="U1003" s="38"/>
      <c r="V1003" s="38"/>
      <c r="W1003" s="38"/>
      <c r="X1003" s="38"/>
      <c r="Y1003" s="38"/>
      <c r="Z1003" s="38"/>
      <c r="AA1003" s="38"/>
      <c r="AB1003" s="38"/>
      <c r="AC1003" s="38"/>
      <c r="AD1003" s="38"/>
      <c r="AE1003" s="38"/>
      <c r="AF1003" s="38"/>
      <c r="AG1003" s="38"/>
      <c r="AH1003" s="38"/>
      <c r="AI1003" s="38"/>
      <c r="AJ1003" s="38"/>
      <c r="AK1003" s="38"/>
      <c r="AL1003" s="38"/>
      <c r="AM1003" s="38"/>
      <c r="AN1003" s="38"/>
      <c r="AO1003" s="38"/>
      <c r="AP1003" s="38"/>
      <c r="AQ1003" s="38"/>
      <c r="AR1003" s="38"/>
      <c r="AS1003" s="38"/>
      <c r="AT1003" s="38"/>
      <c r="AU1003" s="38"/>
      <c r="AV1003" s="38"/>
      <c r="AW1003" s="38"/>
      <c r="AX1003" s="38"/>
      <c r="AY1003" s="38"/>
      <c r="AZ1003" s="38"/>
      <c r="BA1003" s="38"/>
      <c r="BB1003" s="38"/>
    </row>
    <row r="1004" spans="1:54">
      <c r="A1004" s="38" t="s">
        <v>4804</v>
      </c>
      <c r="B1004" s="38">
        <v>10</v>
      </c>
      <c r="C1004" s="38" t="s">
        <v>3409</v>
      </c>
      <c r="D1004" s="38" t="s">
        <v>4492</v>
      </c>
      <c r="E1004" s="38" t="s">
        <v>3399</v>
      </c>
      <c r="F1004" s="38"/>
      <c r="G1004" s="38"/>
      <c r="H1004" s="38" t="s">
        <v>4810</v>
      </c>
      <c r="I1004" s="38" t="s">
        <v>3400</v>
      </c>
      <c r="J1004" s="38" t="s">
        <v>4803</v>
      </c>
      <c r="K1004" s="38"/>
      <c r="L1004" s="38">
        <v>450</v>
      </c>
      <c r="M1004" s="38">
        <v>7.5</v>
      </c>
      <c r="N1004" s="38"/>
      <c r="O1004" s="38">
        <v>65.900000000000006</v>
      </c>
      <c r="P1004" s="38">
        <v>0.62</v>
      </c>
      <c r="Q1004" s="38"/>
      <c r="R1004" s="38"/>
      <c r="S1004" s="38">
        <v>7.8</v>
      </c>
      <c r="T1004" s="38"/>
      <c r="U1004" s="38"/>
      <c r="V1004" s="38"/>
      <c r="W1004" s="38"/>
      <c r="X1004" s="38"/>
      <c r="Y1004" s="38"/>
      <c r="Z1004" s="38"/>
      <c r="AA1004" s="38"/>
      <c r="AB1004" s="38"/>
      <c r="AC1004" s="38"/>
      <c r="AD1004" s="38"/>
      <c r="AE1004" s="38"/>
      <c r="AF1004" s="38"/>
      <c r="AG1004" s="38"/>
      <c r="AH1004" s="38"/>
      <c r="AI1004" s="38"/>
      <c r="AJ1004" s="38"/>
      <c r="AK1004" s="38"/>
      <c r="AL1004" s="38"/>
      <c r="AM1004" s="38"/>
      <c r="AN1004" s="38"/>
      <c r="AO1004" s="38"/>
      <c r="AP1004" s="38"/>
      <c r="AQ1004" s="38"/>
      <c r="AR1004" s="38"/>
      <c r="AS1004" s="38"/>
      <c r="AT1004" s="38"/>
      <c r="AU1004" s="38"/>
      <c r="AV1004" s="38"/>
      <c r="AW1004" s="38"/>
      <c r="AX1004" s="38"/>
      <c r="AY1004" s="38"/>
      <c r="AZ1004" s="38"/>
      <c r="BA1004" s="38"/>
      <c r="BB1004" s="38"/>
    </row>
    <row r="1005" spans="1:54">
      <c r="A1005" s="38" t="s">
        <v>4804</v>
      </c>
      <c r="B1005" s="38">
        <v>20</v>
      </c>
      <c r="C1005" s="38" t="s">
        <v>3409</v>
      </c>
      <c r="D1005" s="38" t="s">
        <v>4492</v>
      </c>
      <c r="E1005" s="38" t="s">
        <v>3399</v>
      </c>
      <c r="F1005" s="38"/>
      <c r="G1005" s="38"/>
      <c r="H1005" s="38" t="s">
        <v>4811</v>
      </c>
      <c r="I1005" s="38" t="s">
        <v>3400</v>
      </c>
      <c r="J1005" s="38" t="s">
        <v>4803</v>
      </c>
      <c r="K1005" s="38"/>
      <c r="L1005" s="38">
        <v>450</v>
      </c>
      <c r="M1005" s="38">
        <v>8.9</v>
      </c>
      <c r="N1005" s="38"/>
      <c r="O1005" s="38">
        <v>68.900000000000006</v>
      </c>
      <c r="P1005" s="38">
        <v>0.53</v>
      </c>
      <c r="Q1005" s="38"/>
      <c r="R1005" s="38"/>
      <c r="S1005" s="38">
        <v>8.1</v>
      </c>
      <c r="T1005" s="38"/>
      <c r="U1005" s="38"/>
      <c r="V1005" s="38"/>
      <c r="W1005" s="38"/>
      <c r="X1005" s="38"/>
      <c r="Y1005" s="38"/>
      <c r="Z1005" s="38"/>
      <c r="AA1005" s="38"/>
      <c r="AB1005" s="38"/>
      <c r="AC1005" s="38"/>
      <c r="AD1005" s="38"/>
      <c r="AE1005" s="38"/>
      <c r="AF1005" s="38"/>
      <c r="AG1005" s="38"/>
      <c r="AH1005" s="38"/>
      <c r="AI1005" s="38"/>
      <c r="AJ1005" s="38"/>
      <c r="AK1005" s="38"/>
      <c r="AL1005" s="38"/>
      <c r="AM1005" s="38"/>
      <c r="AN1005" s="38"/>
      <c r="AO1005" s="38"/>
      <c r="AP1005" s="38"/>
      <c r="AQ1005" s="38"/>
      <c r="AR1005" s="38"/>
      <c r="AS1005" s="38"/>
      <c r="AT1005" s="38"/>
      <c r="AU1005" s="38"/>
      <c r="AV1005" s="38"/>
      <c r="AW1005" s="38"/>
      <c r="AX1005" s="38"/>
      <c r="AY1005" s="38"/>
      <c r="AZ1005" s="38"/>
      <c r="BA1005" s="38"/>
      <c r="BB1005" s="38"/>
    </row>
    <row r="1006" spans="1:54">
      <c r="A1006" s="38" t="s">
        <v>3848</v>
      </c>
      <c r="B1006" s="38">
        <v>5</v>
      </c>
      <c r="C1006" s="38" t="s">
        <v>3409</v>
      </c>
      <c r="D1006" s="38" t="s">
        <v>4492</v>
      </c>
      <c r="E1006" s="38" t="s">
        <v>3399</v>
      </c>
      <c r="F1006" s="38"/>
      <c r="G1006" s="38"/>
      <c r="H1006" s="38" t="s">
        <v>4809</v>
      </c>
      <c r="I1006" s="38" t="s">
        <v>3400</v>
      </c>
      <c r="J1006" s="38" t="s">
        <v>4803</v>
      </c>
      <c r="K1006" s="38"/>
      <c r="L1006" s="38">
        <v>500</v>
      </c>
      <c r="M1006" s="38">
        <v>8.8000000000000007</v>
      </c>
      <c r="N1006" s="38"/>
      <c r="O1006" s="38">
        <v>68.5</v>
      </c>
      <c r="P1006" s="38">
        <v>0.49</v>
      </c>
      <c r="Q1006" s="38"/>
      <c r="R1006" s="38"/>
      <c r="S1006" s="38">
        <v>8</v>
      </c>
      <c r="T1006" s="38"/>
      <c r="U1006" s="38"/>
      <c r="V1006" s="38"/>
      <c r="W1006" s="38"/>
      <c r="X1006" s="38"/>
      <c r="Y1006" s="38"/>
      <c r="Z1006" s="38"/>
      <c r="AA1006" s="38"/>
      <c r="AB1006" s="38"/>
      <c r="AC1006" s="38"/>
      <c r="AD1006" s="38"/>
      <c r="AE1006" s="38"/>
      <c r="AF1006" s="38"/>
      <c r="AG1006" s="38"/>
      <c r="AH1006" s="38"/>
      <c r="AI1006" s="38"/>
      <c r="AJ1006" s="38"/>
      <c r="AK1006" s="38"/>
      <c r="AL1006" s="38"/>
      <c r="AM1006" s="38"/>
      <c r="AN1006" s="38"/>
      <c r="AO1006" s="38"/>
      <c r="AP1006" s="38"/>
      <c r="AQ1006" s="38"/>
      <c r="AR1006" s="38"/>
      <c r="AS1006" s="38"/>
      <c r="AT1006" s="38"/>
      <c r="AU1006" s="38"/>
      <c r="AV1006" s="38"/>
      <c r="AW1006" s="38"/>
      <c r="AX1006" s="38"/>
      <c r="AY1006" s="38"/>
      <c r="AZ1006" s="38"/>
      <c r="BA1006" s="38"/>
      <c r="BB1006" s="38"/>
    </row>
    <row r="1007" spans="1:54">
      <c r="A1007" s="38" t="s">
        <v>4808</v>
      </c>
      <c r="B1007" s="38">
        <v>2</v>
      </c>
      <c r="C1007" s="38" t="s">
        <v>3409</v>
      </c>
      <c r="D1007" s="38" t="s">
        <v>4492</v>
      </c>
      <c r="E1007" s="38" t="s">
        <v>3399</v>
      </c>
      <c r="F1007" s="38"/>
      <c r="G1007" s="38"/>
      <c r="H1007" s="38" t="s">
        <v>4805</v>
      </c>
      <c r="I1007" s="38" t="s">
        <v>3400</v>
      </c>
      <c r="J1007" s="38" t="s">
        <v>4803</v>
      </c>
      <c r="K1007" s="38"/>
      <c r="L1007" s="38">
        <v>600</v>
      </c>
      <c r="M1007" s="38">
        <v>7.7</v>
      </c>
      <c r="N1007" s="38"/>
      <c r="O1007" s="38">
        <v>67.2</v>
      </c>
      <c r="P1007" s="38">
        <v>0.51</v>
      </c>
      <c r="Q1007" s="38"/>
      <c r="R1007" s="38"/>
      <c r="S1007" s="38">
        <v>8.4</v>
      </c>
      <c r="T1007" s="38"/>
      <c r="U1007" s="38"/>
      <c r="V1007" s="38"/>
      <c r="W1007" s="38"/>
      <c r="X1007" s="38"/>
      <c r="Y1007" s="38"/>
      <c r="Z1007" s="38"/>
      <c r="AA1007" s="38"/>
      <c r="AB1007" s="38"/>
      <c r="AC1007" s="38"/>
      <c r="AD1007" s="38"/>
      <c r="AE1007" s="38"/>
      <c r="AF1007" s="38"/>
      <c r="AG1007" s="38"/>
      <c r="AH1007" s="38"/>
      <c r="AI1007" s="38"/>
      <c r="AJ1007" s="38"/>
      <c r="AK1007" s="38"/>
      <c r="AL1007" s="38"/>
      <c r="AM1007" s="38"/>
      <c r="AN1007" s="38"/>
      <c r="AO1007" s="38"/>
      <c r="AP1007" s="38"/>
      <c r="AQ1007" s="38"/>
      <c r="AR1007" s="38"/>
      <c r="AS1007" s="38"/>
      <c r="AT1007" s="38"/>
      <c r="AU1007" s="38"/>
      <c r="AV1007" s="38"/>
      <c r="AW1007" s="38"/>
      <c r="AX1007" s="38"/>
      <c r="AY1007" s="38"/>
      <c r="AZ1007" s="38"/>
      <c r="BA1007" s="38"/>
      <c r="BB1007" s="38"/>
    </row>
    <row r="1008" spans="1:54">
      <c r="A1008" s="38" t="s">
        <v>3848</v>
      </c>
      <c r="B1008" s="38">
        <v>10</v>
      </c>
      <c r="C1008" s="38" t="s">
        <v>3409</v>
      </c>
      <c r="D1008" s="38" t="s">
        <v>4492</v>
      </c>
      <c r="E1008" s="38" t="s">
        <v>3399</v>
      </c>
      <c r="F1008" s="38"/>
      <c r="G1008" s="38"/>
      <c r="H1008" s="38" t="s">
        <v>4810</v>
      </c>
      <c r="I1008" s="38" t="s">
        <v>3400</v>
      </c>
      <c r="J1008" s="38" t="s">
        <v>4803</v>
      </c>
      <c r="K1008" s="38"/>
      <c r="L1008" s="38">
        <v>500</v>
      </c>
      <c r="M1008" s="38">
        <v>9.6</v>
      </c>
      <c r="N1008" s="38"/>
      <c r="O1008" s="38">
        <v>69.099999999999994</v>
      </c>
      <c r="P1008" s="38">
        <v>0.5</v>
      </c>
      <c r="Q1008" s="38"/>
      <c r="R1008" s="38"/>
      <c r="S1008" s="38">
        <v>8.1</v>
      </c>
      <c r="T1008" s="38"/>
      <c r="U1008" s="38"/>
      <c r="V1008" s="38"/>
      <c r="W1008" s="38"/>
      <c r="X1008" s="38"/>
      <c r="Y1008" s="38"/>
      <c r="Z1008" s="38"/>
      <c r="AA1008" s="38"/>
      <c r="AB1008" s="38"/>
      <c r="AC1008" s="38"/>
      <c r="AD1008" s="38"/>
      <c r="AE1008" s="38"/>
      <c r="AF1008" s="38"/>
      <c r="AG1008" s="38"/>
      <c r="AH1008" s="38"/>
      <c r="AI1008" s="38"/>
      <c r="AJ1008" s="38"/>
      <c r="AK1008" s="38"/>
      <c r="AL1008" s="38"/>
      <c r="AM1008" s="38"/>
      <c r="AN1008" s="38"/>
      <c r="AO1008" s="38"/>
      <c r="AP1008" s="38"/>
      <c r="AQ1008" s="38"/>
      <c r="AR1008" s="38"/>
      <c r="AS1008" s="38"/>
      <c r="AT1008" s="38"/>
      <c r="AU1008" s="38"/>
      <c r="AV1008" s="38"/>
      <c r="AW1008" s="38"/>
      <c r="AX1008" s="38"/>
      <c r="AY1008" s="38"/>
      <c r="AZ1008" s="38"/>
      <c r="BA1008" s="38"/>
      <c r="BB1008" s="38"/>
    </row>
    <row r="1009" spans="1:54">
      <c r="A1009" s="38" t="s">
        <v>4806</v>
      </c>
      <c r="B1009" s="38">
        <v>5</v>
      </c>
      <c r="C1009" s="38" t="s">
        <v>3409</v>
      </c>
      <c r="D1009" s="38" t="s">
        <v>4492</v>
      </c>
      <c r="E1009" s="38" t="s">
        <v>3399</v>
      </c>
      <c r="F1009" s="38"/>
      <c r="G1009" s="38"/>
      <c r="H1009" s="38" t="s">
        <v>4809</v>
      </c>
      <c r="I1009" s="38" t="s">
        <v>3400</v>
      </c>
      <c r="J1009" s="38" t="s">
        <v>4803</v>
      </c>
      <c r="K1009" s="38"/>
      <c r="L1009" s="38">
        <v>550</v>
      </c>
      <c r="M1009" s="38">
        <v>8.9</v>
      </c>
      <c r="N1009" s="38"/>
      <c r="O1009" s="38">
        <v>68.900000000000006</v>
      </c>
      <c r="P1009" s="38">
        <v>0.47</v>
      </c>
      <c r="Q1009" s="38"/>
      <c r="R1009" s="38"/>
      <c r="S1009" s="38">
        <v>8.1999999999999993</v>
      </c>
      <c r="T1009" s="38"/>
      <c r="U1009" s="38"/>
      <c r="V1009" s="38"/>
      <c r="W1009" s="38"/>
      <c r="X1009" s="38"/>
      <c r="Y1009" s="38"/>
      <c r="Z1009" s="38"/>
      <c r="AA1009" s="38"/>
      <c r="AB1009" s="38"/>
      <c r="AC1009" s="38"/>
      <c r="AD1009" s="38"/>
      <c r="AE1009" s="38"/>
      <c r="AF1009" s="38"/>
      <c r="AG1009" s="38"/>
      <c r="AH1009" s="38"/>
      <c r="AI1009" s="38"/>
      <c r="AJ1009" s="38"/>
      <c r="AK1009" s="38"/>
      <c r="AL1009" s="38"/>
      <c r="AM1009" s="38"/>
      <c r="AN1009" s="38"/>
      <c r="AO1009" s="38"/>
      <c r="AP1009" s="38"/>
      <c r="AQ1009" s="38"/>
      <c r="AR1009" s="38"/>
      <c r="AS1009" s="38"/>
      <c r="AT1009" s="38"/>
      <c r="AU1009" s="38"/>
      <c r="AV1009" s="38"/>
      <c r="AW1009" s="38"/>
      <c r="AX1009" s="38"/>
      <c r="AY1009" s="38"/>
      <c r="AZ1009" s="38"/>
      <c r="BA1009" s="38"/>
      <c r="BB1009" s="38"/>
    </row>
    <row r="1010" spans="1:54">
      <c r="A1010" s="38" t="s">
        <v>3958</v>
      </c>
      <c r="B1010" s="38">
        <v>2</v>
      </c>
      <c r="C1010" s="38" t="s">
        <v>3409</v>
      </c>
      <c r="D1010" s="38" t="s">
        <v>4492</v>
      </c>
      <c r="E1010" s="38" t="s">
        <v>3399</v>
      </c>
      <c r="F1010" s="38"/>
      <c r="G1010" s="38"/>
      <c r="H1010" s="38" t="s">
        <v>4805</v>
      </c>
      <c r="I1010" s="38" t="s">
        <v>3400</v>
      </c>
      <c r="J1010" s="38" t="s">
        <v>4803</v>
      </c>
      <c r="K1010" s="38"/>
      <c r="L1010" s="38">
        <v>650</v>
      </c>
      <c r="M1010" s="38">
        <v>10.199999999999999</v>
      </c>
      <c r="N1010" s="38"/>
      <c r="O1010" s="38">
        <v>68.900000000000006</v>
      </c>
      <c r="P1010" s="38">
        <v>0.55000000000000004</v>
      </c>
      <c r="Q1010" s="38"/>
      <c r="R1010" s="38"/>
      <c r="S1010" s="38">
        <v>9.5</v>
      </c>
      <c r="T1010" s="38"/>
      <c r="U1010" s="38"/>
      <c r="V1010" s="38"/>
      <c r="W1010" s="38"/>
      <c r="X1010" s="38"/>
      <c r="Y1010" s="38"/>
      <c r="Z1010" s="38"/>
      <c r="AA1010" s="38"/>
      <c r="AB1010" s="38"/>
      <c r="AC1010" s="38"/>
      <c r="AD1010" s="38"/>
      <c r="AE1010" s="38"/>
      <c r="AF1010" s="38"/>
      <c r="AG1010" s="38"/>
      <c r="AH1010" s="38"/>
      <c r="AI1010" s="38"/>
      <c r="AJ1010" s="38"/>
      <c r="AK1010" s="38"/>
      <c r="AL1010" s="38"/>
      <c r="AM1010" s="38"/>
      <c r="AN1010" s="38"/>
      <c r="AO1010" s="38"/>
      <c r="AP1010" s="38"/>
      <c r="AQ1010" s="38"/>
      <c r="AR1010" s="38"/>
      <c r="AS1010" s="38"/>
      <c r="AT1010" s="38"/>
      <c r="AU1010" s="38"/>
      <c r="AV1010" s="38"/>
      <c r="AW1010" s="38"/>
      <c r="AX1010" s="38"/>
      <c r="AY1010" s="38"/>
      <c r="AZ1010" s="38"/>
      <c r="BA1010" s="38"/>
      <c r="BB1010" s="38"/>
    </row>
    <row r="1011" spans="1:54">
      <c r="A1011" s="38" t="s">
        <v>3848</v>
      </c>
      <c r="B1011" s="38">
        <v>20</v>
      </c>
      <c r="C1011" s="38" t="s">
        <v>3409</v>
      </c>
      <c r="D1011" s="38" t="s">
        <v>4492</v>
      </c>
      <c r="E1011" s="38" t="s">
        <v>3399</v>
      </c>
      <c r="F1011" s="38"/>
      <c r="G1011" s="38"/>
      <c r="H1011" s="38" t="s">
        <v>4811</v>
      </c>
      <c r="I1011" s="38" t="s">
        <v>3400</v>
      </c>
      <c r="J1011" s="38" t="s">
        <v>4803</v>
      </c>
      <c r="K1011" s="38"/>
      <c r="L1011" s="38">
        <v>500</v>
      </c>
      <c r="M1011" s="38">
        <v>9.6999999999999993</v>
      </c>
      <c r="N1011" s="38"/>
      <c r="O1011" s="38">
        <v>68.400000000000006</v>
      </c>
      <c r="P1011" s="38">
        <v>0.49</v>
      </c>
      <c r="Q1011" s="38"/>
      <c r="R1011" s="38"/>
      <c r="S1011" s="38">
        <v>8.6</v>
      </c>
      <c r="T1011" s="38"/>
      <c r="U1011" s="38"/>
      <c r="V1011" s="38"/>
      <c r="W1011" s="38"/>
      <c r="X1011" s="38"/>
      <c r="Y1011" s="38"/>
      <c r="Z1011" s="38"/>
      <c r="AA1011" s="38"/>
      <c r="AB1011" s="38"/>
      <c r="AC1011" s="38"/>
      <c r="AD1011" s="38"/>
      <c r="AE1011" s="38"/>
      <c r="AF1011" s="38"/>
      <c r="AG1011" s="38"/>
      <c r="AH1011" s="38"/>
      <c r="AI1011" s="38"/>
      <c r="AJ1011" s="38"/>
      <c r="AK1011" s="38"/>
      <c r="AL1011" s="38"/>
      <c r="AM1011" s="38"/>
      <c r="AN1011" s="38"/>
      <c r="AO1011" s="38"/>
      <c r="AP1011" s="38"/>
      <c r="AQ1011" s="38"/>
      <c r="AR1011" s="38"/>
      <c r="AS1011" s="38"/>
      <c r="AT1011" s="38"/>
      <c r="AU1011" s="38"/>
      <c r="AV1011" s="38"/>
      <c r="AW1011" s="38"/>
      <c r="AX1011" s="38"/>
      <c r="AY1011" s="38"/>
      <c r="AZ1011" s="38"/>
      <c r="BA1011" s="38"/>
      <c r="BB1011" s="38"/>
    </row>
    <row r="1012" spans="1:54">
      <c r="A1012" s="38" t="s">
        <v>4806</v>
      </c>
      <c r="B1012" s="38">
        <v>10</v>
      </c>
      <c r="C1012" s="38" t="s">
        <v>3409</v>
      </c>
      <c r="D1012" s="38" t="s">
        <v>4492</v>
      </c>
      <c r="E1012" s="38" t="s">
        <v>3399</v>
      </c>
      <c r="F1012" s="38"/>
      <c r="G1012" s="38"/>
      <c r="H1012" s="38" t="s">
        <v>4810</v>
      </c>
      <c r="I1012" s="38" t="s">
        <v>3400</v>
      </c>
      <c r="J1012" s="38" t="s">
        <v>4803</v>
      </c>
      <c r="K1012" s="38"/>
      <c r="L1012" s="38">
        <v>550</v>
      </c>
      <c r="M1012" s="38">
        <v>11</v>
      </c>
      <c r="N1012" s="38"/>
      <c r="O1012" s="38">
        <v>66.8</v>
      </c>
      <c r="P1012" s="38">
        <v>0.49</v>
      </c>
      <c r="Q1012" s="38"/>
      <c r="R1012" s="38"/>
      <c r="S1012" s="38">
        <v>9.1999999999999993</v>
      </c>
      <c r="T1012" s="38"/>
      <c r="U1012" s="38"/>
      <c r="V1012" s="38"/>
      <c r="W1012" s="38"/>
      <c r="X1012" s="38"/>
      <c r="Y1012" s="38"/>
      <c r="Z1012" s="38"/>
      <c r="AA1012" s="38"/>
      <c r="AB1012" s="38"/>
      <c r="AC1012" s="38"/>
      <c r="AD1012" s="38"/>
      <c r="AE1012" s="38"/>
      <c r="AF1012" s="38"/>
      <c r="AG1012" s="38"/>
      <c r="AH1012" s="38"/>
      <c r="AI1012" s="38"/>
      <c r="AJ1012" s="38"/>
      <c r="AK1012" s="38"/>
      <c r="AL1012" s="38"/>
      <c r="AM1012" s="38"/>
      <c r="AN1012" s="38"/>
      <c r="AO1012" s="38"/>
      <c r="AP1012" s="38"/>
      <c r="AQ1012" s="38"/>
      <c r="AR1012" s="38"/>
      <c r="AS1012" s="38"/>
      <c r="AT1012" s="38"/>
      <c r="AU1012" s="38"/>
      <c r="AV1012" s="38"/>
      <c r="AW1012" s="38"/>
      <c r="AX1012" s="38"/>
      <c r="AY1012" s="38"/>
      <c r="AZ1012" s="38"/>
      <c r="BA1012" s="38"/>
      <c r="BB1012" s="38"/>
    </row>
    <row r="1013" spans="1:54">
      <c r="A1013" s="38" t="s">
        <v>4808</v>
      </c>
      <c r="B1013" s="38">
        <v>5</v>
      </c>
      <c r="C1013" s="38" t="s">
        <v>3409</v>
      </c>
      <c r="D1013" s="38" t="s">
        <v>4492</v>
      </c>
      <c r="E1013" s="38" t="s">
        <v>3399</v>
      </c>
      <c r="F1013" s="38"/>
      <c r="G1013" s="38"/>
      <c r="H1013" s="38" t="s">
        <v>4809</v>
      </c>
      <c r="I1013" s="38" t="s">
        <v>3400</v>
      </c>
      <c r="J1013" s="38" t="s">
        <v>4803</v>
      </c>
      <c r="K1013" s="38"/>
      <c r="L1013" s="38">
        <v>600</v>
      </c>
      <c r="M1013" s="38">
        <v>10.4</v>
      </c>
      <c r="N1013" s="38"/>
      <c r="O1013" s="38">
        <v>70.400000000000006</v>
      </c>
      <c r="P1013" s="38">
        <v>0.5</v>
      </c>
      <c r="Q1013" s="38"/>
      <c r="R1013" s="38"/>
      <c r="S1013" s="38">
        <v>9.1999999999999993</v>
      </c>
      <c r="T1013" s="38"/>
      <c r="U1013" s="38"/>
      <c r="V1013" s="38"/>
      <c r="W1013" s="38"/>
      <c r="X1013" s="38"/>
      <c r="Y1013" s="38"/>
      <c r="Z1013" s="38"/>
      <c r="AA1013" s="38"/>
      <c r="AB1013" s="38"/>
      <c r="AC1013" s="38"/>
      <c r="AD1013" s="38"/>
      <c r="AE1013" s="38"/>
      <c r="AF1013" s="38"/>
      <c r="AG1013" s="38"/>
      <c r="AH1013" s="38"/>
      <c r="AI1013" s="38"/>
      <c r="AJ1013" s="38"/>
      <c r="AK1013" s="38"/>
      <c r="AL1013" s="38"/>
      <c r="AM1013" s="38"/>
      <c r="AN1013" s="38"/>
      <c r="AO1013" s="38"/>
      <c r="AP1013" s="38"/>
      <c r="AQ1013" s="38"/>
      <c r="AR1013" s="38"/>
      <c r="AS1013" s="38"/>
      <c r="AT1013" s="38"/>
      <c r="AU1013" s="38"/>
      <c r="AV1013" s="38"/>
      <c r="AW1013" s="38"/>
      <c r="AX1013" s="38"/>
      <c r="AY1013" s="38"/>
      <c r="AZ1013" s="38"/>
      <c r="BA1013" s="38"/>
      <c r="BB1013" s="38"/>
    </row>
    <row r="1014" spans="1:54">
      <c r="A1014" s="38" t="s">
        <v>4806</v>
      </c>
      <c r="B1014" s="38">
        <v>20</v>
      </c>
      <c r="C1014" s="38" t="s">
        <v>3409</v>
      </c>
      <c r="D1014" s="38" t="s">
        <v>4492</v>
      </c>
      <c r="E1014" s="38" t="s">
        <v>3399</v>
      </c>
      <c r="F1014" s="38"/>
      <c r="G1014" s="38"/>
      <c r="H1014" s="38" t="s">
        <v>4811</v>
      </c>
      <c r="I1014" s="38" t="s">
        <v>3400</v>
      </c>
      <c r="J1014" s="38" t="s">
        <v>4803</v>
      </c>
      <c r="K1014" s="38"/>
      <c r="L1014" s="38">
        <v>550</v>
      </c>
      <c r="M1014" s="38">
        <v>9.1999999999999993</v>
      </c>
      <c r="N1014" s="38"/>
      <c r="O1014" s="38">
        <v>69.099999999999994</v>
      </c>
      <c r="P1014" s="38">
        <v>0.49</v>
      </c>
      <c r="Q1014" s="38"/>
      <c r="R1014" s="38"/>
      <c r="S1014" s="38">
        <v>9.3000000000000007</v>
      </c>
      <c r="T1014" s="38"/>
      <c r="U1014" s="38"/>
      <c r="V1014" s="38"/>
      <c r="W1014" s="38"/>
      <c r="X1014" s="38"/>
      <c r="Y1014" s="38"/>
      <c r="Z1014" s="38"/>
      <c r="AA1014" s="38"/>
      <c r="AB1014" s="38"/>
      <c r="AC1014" s="38"/>
      <c r="AD1014" s="38"/>
      <c r="AE1014" s="38"/>
      <c r="AF1014" s="38"/>
      <c r="AG1014" s="38"/>
      <c r="AH1014" s="38"/>
      <c r="AI1014" s="38"/>
      <c r="AJ1014" s="38"/>
      <c r="AK1014" s="38"/>
      <c r="AL1014" s="38"/>
      <c r="AM1014" s="38"/>
      <c r="AN1014" s="38"/>
      <c r="AO1014" s="38"/>
      <c r="AP1014" s="38"/>
      <c r="AQ1014" s="38"/>
      <c r="AR1014" s="38"/>
      <c r="AS1014" s="38"/>
      <c r="AT1014" s="38"/>
      <c r="AU1014" s="38"/>
      <c r="AV1014" s="38"/>
      <c r="AW1014" s="38"/>
      <c r="AX1014" s="38"/>
      <c r="AY1014" s="38"/>
      <c r="AZ1014" s="38"/>
      <c r="BA1014" s="38"/>
      <c r="BB1014" s="38"/>
    </row>
    <row r="1015" spans="1:54">
      <c r="A1015" s="38" t="s">
        <v>4812</v>
      </c>
      <c r="B1015" s="38">
        <v>2</v>
      </c>
      <c r="C1015" s="38" t="s">
        <v>3409</v>
      </c>
      <c r="D1015" s="38" t="s">
        <v>4492</v>
      </c>
      <c r="E1015" s="38" t="s">
        <v>3399</v>
      </c>
      <c r="F1015" s="38"/>
      <c r="G1015" s="38"/>
      <c r="H1015" s="38" t="s">
        <v>4805</v>
      </c>
      <c r="I1015" s="38" t="s">
        <v>3400</v>
      </c>
      <c r="J1015" s="38" t="s">
        <v>4803</v>
      </c>
      <c r="K1015" s="38"/>
      <c r="L1015" s="38">
        <v>700</v>
      </c>
      <c r="M1015" s="38">
        <v>11.7</v>
      </c>
      <c r="N1015" s="38"/>
      <c r="O1015" s="38">
        <v>70.900000000000006</v>
      </c>
      <c r="P1015" s="38">
        <v>0.47</v>
      </c>
      <c r="Q1015" s="38"/>
      <c r="R1015" s="38"/>
      <c r="S1015" s="38">
        <v>9.1999999999999993</v>
      </c>
      <c r="T1015" s="38"/>
      <c r="U1015" s="38"/>
      <c r="V1015" s="38"/>
      <c r="W1015" s="38"/>
      <c r="X1015" s="38"/>
      <c r="Y1015" s="38"/>
      <c r="Z1015" s="38"/>
      <c r="AA1015" s="38"/>
      <c r="AB1015" s="38"/>
      <c r="AC1015" s="38"/>
      <c r="AD1015" s="38"/>
      <c r="AE1015" s="38"/>
      <c r="AF1015" s="38"/>
      <c r="AG1015" s="38"/>
      <c r="AH1015" s="38"/>
      <c r="AI1015" s="38"/>
      <c r="AJ1015" s="38"/>
      <c r="AK1015" s="38"/>
      <c r="AL1015" s="38"/>
      <c r="AM1015" s="38"/>
      <c r="AN1015" s="38"/>
      <c r="AO1015" s="38"/>
      <c r="AP1015" s="38"/>
      <c r="AQ1015" s="38"/>
      <c r="AR1015" s="38"/>
      <c r="AS1015" s="38"/>
      <c r="AT1015" s="38"/>
      <c r="AU1015" s="38"/>
      <c r="AV1015" s="38"/>
      <c r="AW1015" s="38"/>
      <c r="AX1015" s="38"/>
      <c r="AY1015" s="38"/>
      <c r="AZ1015" s="38"/>
      <c r="BA1015" s="38"/>
      <c r="BB1015" s="38"/>
    </row>
    <row r="1016" spans="1:54">
      <c r="A1016" s="38" t="s">
        <v>4808</v>
      </c>
      <c r="B1016" s="38">
        <v>10</v>
      </c>
      <c r="C1016" s="38" t="s">
        <v>3409</v>
      </c>
      <c r="D1016" s="38" t="s">
        <v>4492</v>
      </c>
      <c r="E1016" s="38" t="s">
        <v>3399</v>
      </c>
      <c r="F1016" s="38"/>
      <c r="G1016" s="38"/>
      <c r="H1016" s="38" t="s">
        <v>4810</v>
      </c>
      <c r="I1016" s="38" t="s">
        <v>3400</v>
      </c>
      <c r="J1016" s="38" t="s">
        <v>4803</v>
      </c>
      <c r="K1016" s="38"/>
      <c r="L1016" s="38">
        <v>600</v>
      </c>
      <c r="M1016" s="38">
        <v>10.199999999999999</v>
      </c>
      <c r="N1016" s="38"/>
      <c r="O1016" s="38">
        <v>71.599999999999994</v>
      </c>
      <c r="P1016" s="38">
        <v>0.4</v>
      </c>
      <c r="Q1016" s="38"/>
      <c r="R1016" s="38"/>
      <c r="S1016" s="38">
        <v>9.4</v>
      </c>
      <c r="T1016" s="38"/>
      <c r="U1016" s="38"/>
      <c r="V1016" s="38"/>
      <c r="W1016" s="38"/>
      <c r="X1016" s="38"/>
      <c r="Y1016" s="38"/>
      <c r="Z1016" s="38"/>
      <c r="AA1016" s="38"/>
      <c r="AB1016" s="38"/>
      <c r="AC1016" s="38"/>
      <c r="AD1016" s="38"/>
      <c r="AE1016" s="38"/>
      <c r="AF1016" s="38"/>
      <c r="AG1016" s="38"/>
      <c r="AH1016" s="38"/>
      <c r="AI1016" s="38"/>
      <c r="AJ1016" s="38"/>
      <c r="AK1016" s="38"/>
      <c r="AL1016" s="38"/>
      <c r="AM1016" s="38"/>
      <c r="AN1016" s="38"/>
      <c r="AO1016" s="38"/>
      <c r="AP1016" s="38"/>
      <c r="AQ1016" s="38"/>
      <c r="AR1016" s="38"/>
      <c r="AS1016" s="38"/>
      <c r="AT1016" s="38"/>
      <c r="AU1016" s="38"/>
      <c r="AV1016" s="38"/>
      <c r="AW1016" s="38"/>
      <c r="AX1016" s="38"/>
      <c r="AY1016" s="38"/>
      <c r="AZ1016" s="38"/>
      <c r="BA1016" s="38"/>
      <c r="BB1016" s="38"/>
    </row>
    <row r="1017" spans="1:54">
      <c r="A1017" s="38" t="s">
        <v>3958</v>
      </c>
      <c r="B1017" s="38">
        <v>5</v>
      </c>
      <c r="C1017" s="38" t="s">
        <v>3409</v>
      </c>
      <c r="D1017" s="38" t="s">
        <v>4492</v>
      </c>
      <c r="E1017" s="38" t="s">
        <v>3399</v>
      </c>
      <c r="F1017" s="38"/>
      <c r="G1017" s="38"/>
      <c r="H1017" s="38" t="s">
        <v>4809</v>
      </c>
      <c r="I1017" s="38" t="s">
        <v>3400</v>
      </c>
      <c r="J1017" s="38" t="s">
        <v>4803</v>
      </c>
      <c r="K1017" s="38"/>
      <c r="L1017" s="38">
        <v>650</v>
      </c>
      <c r="M1017" s="38">
        <v>12.5</v>
      </c>
      <c r="N1017" s="38"/>
      <c r="O1017" s="38">
        <v>64.2</v>
      </c>
      <c r="P1017" s="38">
        <v>0.43</v>
      </c>
      <c r="Q1017" s="38"/>
      <c r="R1017" s="38"/>
      <c r="S1017" s="38">
        <v>9.6</v>
      </c>
      <c r="T1017" s="38"/>
      <c r="U1017" s="38"/>
      <c r="V1017" s="38"/>
      <c r="W1017" s="38"/>
      <c r="X1017" s="38"/>
      <c r="Y1017" s="38"/>
      <c r="Z1017" s="38"/>
      <c r="AA1017" s="38"/>
      <c r="AB1017" s="38"/>
      <c r="AC1017" s="38"/>
      <c r="AD1017" s="38"/>
      <c r="AE1017" s="38"/>
      <c r="AF1017" s="38"/>
      <c r="AG1017" s="38"/>
      <c r="AH1017" s="38"/>
      <c r="AI1017" s="38"/>
      <c r="AJ1017" s="38"/>
      <c r="AK1017" s="38"/>
      <c r="AL1017" s="38"/>
      <c r="AM1017" s="38"/>
      <c r="AN1017" s="38"/>
      <c r="AO1017" s="38"/>
      <c r="AP1017" s="38"/>
      <c r="AQ1017" s="38"/>
      <c r="AR1017" s="38"/>
      <c r="AS1017" s="38"/>
      <c r="AT1017" s="38"/>
      <c r="AU1017" s="38"/>
      <c r="AV1017" s="38"/>
      <c r="AW1017" s="38"/>
      <c r="AX1017" s="38"/>
      <c r="AY1017" s="38"/>
      <c r="AZ1017" s="38"/>
      <c r="BA1017" s="38"/>
      <c r="BB1017" s="38"/>
    </row>
    <row r="1018" spans="1:54">
      <c r="A1018" s="38" t="s">
        <v>4808</v>
      </c>
      <c r="B1018" s="38">
        <v>20</v>
      </c>
      <c r="C1018" s="38" t="s">
        <v>3409</v>
      </c>
      <c r="D1018" s="38" t="s">
        <v>4492</v>
      </c>
      <c r="E1018" s="38" t="s">
        <v>3399</v>
      </c>
      <c r="F1018" s="38"/>
      <c r="G1018" s="38"/>
      <c r="H1018" s="38" t="s">
        <v>4811</v>
      </c>
      <c r="I1018" s="38" t="s">
        <v>3400</v>
      </c>
      <c r="J1018" s="38" t="s">
        <v>4803</v>
      </c>
      <c r="K1018" s="38"/>
      <c r="L1018" s="38">
        <v>600</v>
      </c>
      <c r="M1018" s="38">
        <v>10.4</v>
      </c>
      <c r="N1018" s="38"/>
      <c r="O1018" s="38">
        <v>72.8</v>
      </c>
      <c r="P1018" s="38">
        <v>0.46</v>
      </c>
      <c r="Q1018" s="38"/>
      <c r="R1018" s="38"/>
      <c r="S1018" s="38">
        <v>9.5</v>
      </c>
      <c r="T1018" s="38"/>
      <c r="U1018" s="38"/>
      <c r="V1018" s="38"/>
      <c r="W1018" s="38"/>
      <c r="X1018" s="38"/>
      <c r="Y1018" s="38"/>
      <c r="Z1018" s="38"/>
      <c r="AA1018" s="38"/>
      <c r="AB1018" s="38"/>
      <c r="AC1018" s="38"/>
      <c r="AD1018" s="38"/>
      <c r="AE1018" s="38"/>
      <c r="AF1018" s="38"/>
      <c r="AG1018" s="38"/>
      <c r="AH1018" s="38"/>
      <c r="AI1018" s="38"/>
      <c r="AJ1018" s="38"/>
      <c r="AK1018" s="38"/>
      <c r="AL1018" s="38"/>
      <c r="AM1018" s="38"/>
      <c r="AN1018" s="38"/>
      <c r="AO1018" s="38"/>
      <c r="AP1018" s="38"/>
      <c r="AQ1018" s="38"/>
      <c r="AR1018" s="38"/>
      <c r="AS1018" s="38"/>
      <c r="AT1018" s="38"/>
      <c r="AU1018" s="38"/>
      <c r="AV1018" s="38"/>
      <c r="AW1018" s="38"/>
      <c r="AX1018" s="38"/>
      <c r="AY1018" s="38"/>
      <c r="AZ1018" s="38"/>
      <c r="BA1018" s="38"/>
      <c r="BB1018" s="38"/>
    </row>
    <row r="1019" spans="1:54">
      <c r="A1019" s="38" t="s">
        <v>3958</v>
      </c>
      <c r="B1019" s="38">
        <v>10</v>
      </c>
      <c r="C1019" s="38" t="s">
        <v>3409</v>
      </c>
      <c r="D1019" s="38" t="s">
        <v>4492</v>
      </c>
      <c r="E1019" s="38" t="s">
        <v>3399</v>
      </c>
      <c r="F1019" s="38"/>
      <c r="G1019" s="38"/>
      <c r="H1019" s="38" t="s">
        <v>4810</v>
      </c>
      <c r="I1019" s="38" t="s">
        <v>3400</v>
      </c>
      <c r="J1019" s="38" t="s">
        <v>4803</v>
      </c>
      <c r="K1019" s="38"/>
      <c r="L1019" s="38">
        <v>650</v>
      </c>
      <c r="M1019" s="38">
        <v>10.7</v>
      </c>
      <c r="N1019" s="38"/>
      <c r="O1019" s="38">
        <v>71.7</v>
      </c>
      <c r="P1019" s="38">
        <v>0.44</v>
      </c>
      <c r="Q1019" s="38"/>
      <c r="R1019" s="38"/>
      <c r="S1019" s="38">
        <v>9.4</v>
      </c>
      <c r="T1019" s="38"/>
      <c r="U1019" s="38"/>
      <c r="V1019" s="38"/>
      <c r="W1019" s="38"/>
      <c r="X1019" s="38"/>
      <c r="Y1019" s="38"/>
      <c r="Z1019" s="38"/>
      <c r="AA1019" s="38"/>
      <c r="AB1019" s="38"/>
      <c r="AC1019" s="38"/>
      <c r="AD1019" s="38"/>
      <c r="AE1019" s="38"/>
      <c r="AF1019" s="38"/>
      <c r="AG1019" s="38"/>
      <c r="AH1019" s="38"/>
      <c r="AI1019" s="38"/>
      <c r="AJ1019" s="38"/>
      <c r="AK1019" s="38"/>
      <c r="AL1019" s="38"/>
      <c r="AM1019" s="38"/>
      <c r="AN1019" s="38"/>
      <c r="AO1019" s="38"/>
      <c r="AP1019" s="38"/>
      <c r="AQ1019" s="38"/>
      <c r="AR1019" s="38"/>
      <c r="AS1019" s="38"/>
      <c r="AT1019" s="38"/>
      <c r="AU1019" s="38"/>
      <c r="AV1019" s="38"/>
      <c r="AW1019" s="38"/>
      <c r="AX1019" s="38"/>
      <c r="AY1019" s="38"/>
      <c r="AZ1019" s="38"/>
      <c r="BA1019" s="38"/>
      <c r="BB1019" s="38"/>
    </row>
    <row r="1020" spans="1:54">
      <c r="A1020" s="38" t="s">
        <v>3958</v>
      </c>
      <c r="B1020" s="38">
        <v>20</v>
      </c>
      <c r="C1020" s="38" t="s">
        <v>3409</v>
      </c>
      <c r="D1020" s="38" t="s">
        <v>4492</v>
      </c>
      <c r="E1020" s="38" t="s">
        <v>3399</v>
      </c>
      <c r="F1020" s="38"/>
      <c r="G1020" s="38"/>
      <c r="H1020" s="38" t="s">
        <v>4811</v>
      </c>
      <c r="I1020" s="38" t="s">
        <v>3400</v>
      </c>
      <c r="J1020" s="38" t="s">
        <v>4803</v>
      </c>
      <c r="K1020" s="38"/>
      <c r="L1020" s="38">
        <v>650</v>
      </c>
      <c r="M1020" s="38">
        <v>11.8</v>
      </c>
      <c r="N1020" s="38"/>
      <c r="O1020" s="38">
        <v>71.8</v>
      </c>
      <c r="P1020" s="38">
        <v>0.44</v>
      </c>
      <c r="Q1020" s="38"/>
      <c r="R1020" s="38"/>
      <c r="S1020" s="38">
        <v>9.9</v>
      </c>
      <c r="T1020" s="38"/>
      <c r="U1020" s="38"/>
      <c r="V1020" s="38"/>
      <c r="W1020" s="38"/>
      <c r="X1020" s="38"/>
      <c r="Y1020" s="38"/>
      <c r="Z1020" s="38"/>
      <c r="AA1020" s="38"/>
      <c r="AB1020" s="38"/>
      <c r="AC1020" s="38"/>
      <c r="AD1020" s="38"/>
      <c r="AE1020" s="38"/>
      <c r="AF1020" s="38"/>
      <c r="AG1020" s="38"/>
      <c r="AH1020" s="38"/>
      <c r="AI1020" s="38"/>
      <c r="AJ1020" s="38"/>
      <c r="AK1020" s="38"/>
      <c r="AL1020" s="38"/>
      <c r="AM1020" s="38"/>
      <c r="AN1020" s="38"/>
      <c r="AO1020" s="38"/>
      <c r="AP1020" s="38"/>
      <c r="AQ1020" s="38"/>
      <c r="AR1020" s="38"/>
      <c r="AS1020" s="38"/>
      <c r="AT1020" s="38"/>
      <c r="AU1020" s="38"/>
      <c r="AV1020" s="38"/>
      <c r="AW1020" s="38"/>
      <c r="AX1020" s="38"/>
      <c r="AY1020" s="38"/>
      <c r="AZ1020" s="38"/>
      <c r="BA1020" s="38"/>
      <c r="BB1020" s="38"/>
    </row>
    <row r="1021" spans="1:54">
      <c r="A1021" s="38" t="s">
        <v>4812</v>
      </c>
      <c r="B1021" s="38">
        <v>5</v>
      </c>
      <c r="C1021" s="38" t="s">
        <v>3409</v>
      </c>
      <c r="D1021" s="38" t="s">
        <v>4492</v>
      </c>
      <c r="E1021" s="38" t="s">
        <v>3399</v>
      </c>
      <c r="F1021" s="38"/>
      <c r="G1021" s="38"/>
      <c r="H1021" s="38" t="s">
        <v>4809</v>
      </c>
      <c r="I1021" s="38" t="s">
        <v>3400</v>
      </c>
      <c r="J1021" s="38" t="s">
        <v>4803</v>
      </c>
      <c r="K1021" s="38"/>
      <c r="L1021" s="38">
        <v>700</v>
      </c>
      <c r="M1021" s="38">
        <v>11.3</v>
      </c>
      <c r="N1021" s="38"/>
      <c r="O1021" s="38">
        <v>75.400000000000006</v>
      </c>
      <c r="P1021" s="38">
        <v>0.4</v>
      </c>
      <c r="Q1021" s="38"/>
      <c r="R1021" s="38"/>
      <c r="S1021" s="38">
        <v>9.6</v>
      </c>
      <c r="T1021" s="38"/>
      <c r="U1021" s="38"/>
      <c r="V1021" s="38"/>
      <c r="W1021" s="38"/>
      <c r="X1021" s="38"/>
      <c r="Y1021" s="38"/>
      <c r="Z1021" s="38"/>
      <c r="AA1021" s="38"/>
      <c r="AB1021" s="38"/>
      <c r="AC1021" s="38"/>
      <c r="AD1021" s="38"/>
      <c r="AE1021" s="38"/>
      <c r="AF1021" s="38"/>
      <c r="AG1021" s="38"/>
      <c r="AH1021" s="38"/>
      <c r="AI1021" s="38"/>
      <c r="AJ1021" s="38"/>
      <c r="AK1021" s="38"/>
      <c r="AL1021" s="38"/>
      <c r="AM1021" s="38"/>
      <c r="AN1021" s="38"/>
      <c r="AO1021" s="38"/>
      <c r="AP1021" s="38"/>
      <c r="AQ1021" s="38"/>
      <c r="AR1021" s="38"/>
      <c r="AS1021" s="38"/>
      <c r="AT1021" s="38"/>
      <c r="AU1021" s="38"/>
      <c r="AV1021" s="38"/>
      <c r="AW1021" s="38"/>
      <c r="AX1021" s="38"/>
      <c r="AY1021" s="38"/>
      <c r="AZ1021" s="38"/>
      <c r="BA1021" s="38"/>
      <c r="BB1021" s="38"/>
    </row>
    <row r="1022" spans="1:54">
      <c r="A1022" s="38" t="s">
        <v>4812</v>
      </c>
      <c r="B1022" s="38">
        <v>10</v>
      </c>
      <c r="C1022" s="38" t="s">
        <v>3409</v>
      </c>
      <c r="D1022" s="38" t="s">
        <v>4492</v>
      </c>
      <c r="E1022" s="38" t="s">
        <v>3399</v>
      </c>
      <c r="F1022" s="38"/>
      <c r="G1022" s="38"/>
      <c r="H1022" s="38" t="s">
        <v>4810</v>
      </c>
      <c r="I1022" s="38" t="s">
        <v>3400</v>
      </c>
      <c r="J1022" s="38" t="s">
        <v>4803</v>
      </c>
      <c r="K1022" s="38"/>
      <c r="L1022" s="38">
        <v>700</v>
      </c>
      <c r="M1022" s="38">
        <v>11.9</v>
      </c>
      <c r="N1022" s="38"/>
      <c r="O1022" s="38">
        <v>69.8</v>
      </c>
      <c r="P1022" s="38">
        <v>0.4</v>
      </c>
      <c r="Q1022" s="38"/>
      <c r="R1022" s="38"/>
      <c r="S1022" s="38">
        <v>9.8000000000000007</v>
      </c>
      <c r="T1022" s="38"/>
      <c r="U1022" s="38"/>
      <c r="V1022" s="38"/>
      <c r="W1022" s="38"/>
      <c r="X1022" s="38"/>
      <c r="Y1022" s="38"/>
      <c r="Z1022" s="38"/>
      <c r="AA1022" s="38"/>
      <c r="AB1022" s="38"/>
      <c r="AC1022" s="38"/>
      <c r="AD1022" s="38"/>
      <c r="AE1022" s="38"/>
      <c r="AF1022" s="38"/>
      <c r="AG1022" s="38"/>
      <c r="AH1022" s="38"/>
      <c r="AI1022" s="38"/>
      <c r="AJ1022" s="38"/>
      <c r="AK1022" s="38"/>
      <c r="AL1022" s="38"/>
      <c r="AM1022" s="38"/>
      <c r="AN1022" s="38"/>
      <c r="AO1022" s="38"/>
      <c r="AP1022" s="38"/>
      <c r="AQ1022" s="38"/>
      <c r="AR1022" s="38"/>
      <c r="AS1022" s="38"/>
      <c r="AT1022" s="38"/>
      <c r="AU1022" s="38"/>
      <c r="AV1022" s="38"/>
      <c r="AW1022" s="38"/>
      <c r="AX1022" s="38"/>
      <c r="AY1022" s="38"/>
      <c r="AZ1022" s="38"/>
      <c r="BA1022" s="38"/>
      <c r="BB1022" s="38"/>
    </row>
    <row r="1023" spans="1:54">
      <c r="A1023" s="38" t="s">
        <v>4812</v>
      </c>
      <c r="B1023" s="38">
        <v>20</v>
      </c>
      <c r="C1023" s="38" t="s">
        <v>3409</v>
      </c>
      <c r="D1023" s="38" t="s">
        <v>4492</v>
      </c>
      <c r="E1023" s="38" t="s">
        <v>3399</v>
      </c>
      <c r="F1023" s="38"/>
      <c r="G1023" s="38"/>
      <c r="H1023" s="38" t="s">
        <v>4811</v>
      </c>
      <c r="I1023" s="38" t="s">
        <v>3400</v>
      </c>
      <c r="J1023" s="38" t="s">
        <v>4803</v>
      </c>
      <c r="K1023" s="38"/>
      <c r="L1023" s="38">
        <v>700</v>
      </c>
      <c r="M1023" s="38">
        <v>12.3</v>
      </c>
      <c r="N1023" s="38"/>
      <c r="O1023" s="38">
        <v>73.400000000000006</v>
      </c>
      <c r="P1023" s="38">
        <v>0.39</v>
      </c>
      <c r="Q1023" s="38"/>
      <c r="R1023" s="38"/>
      <c r="S1023" s="38">
        <v>10.199999999999999</v>
      </c>
      <c r="T1023" s="38"/>
      <c r="U1023" s="38"/>
      <c r="V1023" s="38"/>
      <c r="W1023" s="38"/>
      <c r="X1023" s="38"/>
      <c r="Y1023" s="38"/>
      <c r="Z1023" s="38"/>
      <c r="AA1023" s="38"/>
      <c r="AB1023" s="38"/>
      <c r="AC1023" s="38"/>
      <c r="AD1023" s="38"/>
      <c r="AE1023" s="38"/>
      <c r="AF1023" s="38"/>
      <c r="AG1023" s="38"/>
      <c r="AH1023" s="38"/>
      <c r="AI1023" s="38"/>
      <c r="AJ1023" s="38"/>
      <c r="AK1023" s="38"/>
      <c r="AL1023" s="38"/>
      <c r="AM1023" s="38"/>
      <c r="AN1023" s="38"/>
      <c r="AO1023" s="38"/>
      <c r="AP1023" s="38"/>
      <c r="AQ1023" s="38"/>
      <c r="AR1023" s="38"/>
      <c r="AS1023" s="38"/>
      <c r="AT1023" s="38"/>
      <c r="AU1023" s="38"/>
      <c r="AV1023" s="38"/>
      <c r="AW1023" s="38"/>
      <c r="AX1023" s="38"/>
      <c r="AY1023" s="38"/>
      <c r="AZ1023" s="38"/>
      <c r="BA1023" s="38"/>
      <c r="BB1023" s="38"/>
    </row>
    <row r="1024" spans="1:54">
      <c r="A1024" s="38" t="s">
        <v>3524</v>
      </c>
      <c r="B1024" s="38" t="s">
        <v>3652</v>
      </c>
      <c r="C1024" s="38"/>
      <c r="D1024" s="38" t="s">
        <v>3399</v>
      </c>
      <c r="E1024" s="38"/>
      <c r="F1024" s="38"/>
      <c r="G1024" s="38" t="s">
        <v>3997</v>
      </c>
      <c r="H1024" s="38" t="s">
        <v>3400</v>
      </c>
      <c r="I1024" s="38" t="s">
        <v>4813</v>
      </c>
      <c r="J1024" s="38"/>
      <c r="K1024" s="38">
        <v>300</v>
      </c>
      <c r="L1024" s="38"/>
      <c r="M1024" s="38"/>
      <c r="N1024" s="38">
        <v>48.82</v>
      </c>
      <c r="O1024" s="38">
        <v>0.7</v>
      </c>
      <c r="P1024" s="38">
        <v>5.6420000000000003</v>
      </c>
      <c r="Q1024" s="38"/>
      <c r="R1024" s="38"/>
      <c r="S1024" s="38"/>
      <c r="T1024" s="38"/>
      <c r="U1024" s="38"/>
      <c r="V1024" s="38"/>
      <c r="W1024" s="38"/>
      <c r="X1024" s="38"/>
      <c r="Y1024" s="38"/>
      <c r="Z1024" s="38"/>
      <c r="AA1024" s="38"/>
      <c r="AB1024" s="38"/>
      <c r="AC1024" s="38"/>
      <c r="AD1024" s="38"/>
      <c r="AE1024" s="38"/>
      <c r="AF1024" s="38"/>
      <c r="AG1024" s="38"/>
      <c r="AH1024" s="38"/>
      <c r="AI1024" s="38"/>
      <c r="AJ1024" s="38"/>
      <c r="AK1024" s="38"/>
      <c r="AL1024" s="38"/>
      <c r="AM1024" s="38"/>
      <c r="AN1024" s="38"/>
      <c r="AO1024" s="38"/>
      <c r="AP1024" s="38"/>
      <c r="AQ1024" s="38">
        <v>388.19299999999998</v>
      </c>
      <c r="AR1024" s="38" t="s">
        <v>3792</v>
      </c>
      <c r="AS1024" s="38"/>
      <c r="AT1024" s="38"/>
      <c r="AU1024" s="38"/>
      <c r="AV1024" s="38"/>
      <c r="AW1024" s="38"/>
      <c r="AX1024" s="38"/>
      <c r="AY1024" s="38"/>
      <c r="AZ1024" s="38"/>
      <c r="BA1024" s="38"/>
      <c r="BB1024" s="38"/>
    </row>
    <row r="1025" spans="1:54">
      <c r="A1025" s="38" t="s">
        <v>3527</v>
      </c>
      <c r="B1025" s="38" t="s">
        <v>3652</v>
      </c>
      <c r="C1025" s="38" t="s">
        <v>4814</v>
      </c>
      <c r="D1025" s="38" t="s">
        <v>3399</v>
      </c>
      <c r="E1025" s="38"/>
      <c r="F1025" s="38"/>
      <c r="G1025" s="38" t="s">
        <v>3997</v>
      </c>
      <c r="H1025" s="38" t="s">
        <v>3400</v>
      </c>
      <c r="I1025" s="38" t="s">
        <v>4813</v>
      </c>
      <c r="J1025" s="38"/>
      <c r="K1025" s="38">
        <v>450</v>
      </c>
      <c r="L1025" s="38"/>
      <c r="M1025" s="38"/>
      <c r="N1025" s="38">
        <v>65.959999999999994</v>
      </c>
      <c r="O1025" s="38">
        <v>0.76</v>
      </c>
      <c r="P1025" s="38">
        <v>3.67</v>
      </c>
      <c r="Q1025" s="38"/>
      <c r="R1025" s="38"/>
      <c r="S1025" s="38"/>
      <c r="T1025" s="38"/>
      <c r="U1025" s="38"/>
      <c r="V1025" s="38"/>
      <c r="W1025" s="38"/>
      <c r="X1025" s="38"/>
      <c r="Y1025" s="38"/>
      <c r="Z1025" s="38"/>
      <c r="AA1025" s="38"/>
      <c r="AB1025" s="38"/>
      <c r="AC1025" s="38"/>
      <c r="AD1025" s="38"/>
      <c r="AE1025" s="38"/>
      <c r="AF1025" s="38"/>
      <c r="AG1025" s="38"/>
      <c r="AH1025" s="38"/>
      <c r="AI1025" s="38"/>
      <c r="AJ1025" s="38"/>
      <c r="AK1025" s="38"/>
      <c r="AL1025" s="38"/>
      <c r="AM1025" s="38"/>
      <c r="AN1025" s="38"/>
      <c r="AO1025" s="38"/>
      <c r="AP1025" s="38"/>
      <c r="AQ1025" s="38">
        <v>422.47699999999998</v>
      </c>
      <c r="AR1025" s="38" t="s">
        <v>3792</v>
      </c>
      <c r="AS1025" s="38"/>
      <c r="AT1025" s="38"/>
      <c r="AU1025" s="38"/>
      <c r="AV1025" s="38"/>
      <c r="AW1025" s="38"/>
      <c r="AX1025" s="38"/>
      <c r="AY1025" s="38"/>
      <c r="AZ1025" s="38"/>
      <c r="BA1025" s="38"/>
      <c r="BB1025" s="38"/>
    </row>
    <row r="1026" spans="1:54">
      <c r="A1026" s="38" t="s">
        <v>3530</v>
      </c>
      <c r="B1026" s="38" t="s">
        <v>3652</v>
      </c>
      <c r="C1026" s="38" t="s">
        <v>4815</v>
      </c>
      <c r="D1026" s="38" t="s">
        <v>3399</v>
      </c>
      <c r="E1026" s="38"/>
      <c r="F1026" s="38"/>
      <c r="G1026" s="38" t="s">
        <v>3997</v>
      </c>
      <c r="H1026" s="38" t="s">
        <v>3400</v>
      </c>
      <c r="I1026" s="38" t="s">
        <v>4813</v>
      </c>
      <c r="J1026" s="38"/>
      <c r="K1026" s="38">
        <v>600</v>
      </c>
      <c r="L1026" s="38"/>
      <c r="M1026" s="38"/>
      <c r="N1026" s="38">
        <v>70.64</v>
      </c>
      <c r="O1026" s="38">
        <v>0.73</v>
      </c>
      <c r="P1026" s="38">
        <v>2.544</v>
      </c>
      <c r="Q1026" s="38"/>
      <c r="R1026" s="38"/>
      <c r="S1026" s="38"/>
      <c r="T1026" s="38"/>
      <c r="U1026" s="38"/>
      <c r="V1026" s="38"/>
      <c r="W1026" s="38"/>
      <c r="X1026" s="38"/>
      <c r="Y1026" s="38"/>
      <c r="Z1026" s="38"/>
      <c r="AA1026" s="38"/>
      <c r="AB1026" s="38"/>
      <c r="AC1026" s="38"/>
      <c r="AD1026" s="38"/>
      <c r="AE1026" s="38"/>
      <c r="AF1026" s="38"/>
      <c r="AG1026" s="38"/>
      <c r="AH1026" s="38"/>
      <c r="AI1026" s="38"/>
      <c r="AJ1026" s="38"/>
      <c r="AK1026" s="38"/>
      <c r="AL1026" s="38"/>
      <c r="AM1026" s="38"/>
      <c r="AN1026" s="38"/>
      <c r="AO1026" s="38"/>
      <c r="AP1026" s="38"/>
      <c r="AQ1026" s="38">
        <v>494.92899999999997</v>
      </c>
      <c r="AR1026" s="38" t="s">
        <v>3792</v>
      </c>
      <c r="AS1026" s="38"/>
      <c r="AT1026" s="38"/>
      <c r="AU1026" s="38"/>
      <c r="AV1026" s="38"/>
      <c r="AW1026" s="38"/>
      <c r="AX1026" s="38"/>
      <c r="AY1026" s="38"/>
      <c r="AZ1026" s="38"/>
      <c r="BA1026" s="38"/>
      <c r="BB1026" s="38"/>
    </row>
    <row r="1027" spans="1:54">
      <c r="A1027" s="38" t="s">
        <v>4816</v>
      </c>
      <c r="B1027" s="38" t="s">
        <v>3652</v>
      </c>
      <c r="C1027" s="38" t="s">
        <v>4817</v>
      </c>
      <c r="D1027" s="38" t="s">
        <v>3351</v>
      </c>
      <c r="E1027" s="38"/>
      <c r="F1027" s="38"/>
      <c r="G1027" s="38" t="s">
        <v>3997</v>
      </c>
      <c r="H1027" s="38" t="s">
        <v>3400</v>
      </c>
      <c r="I1027" s="38" t="s">
        <v>4818</v>
      </c>
      <c r="J1027" s="38"/>
      <c r="K1027" s="38">
        <v>250</v>
      </c>
      <c r="L1027" s="38">
        <v>8.6</v>
      </c>
      <c r="M1027" s="38"/>
      <c r="N1027" s="38">
        <v>52.2</v>
      </c>
      <c r="O1027" s="38">
        <v>1.9</v>
      </c>
      <c r="P1027" s="38"/>
      <c r="Q1027" s="38"/>
      <c r="R1027" s="38">
        <v>7.9</v>
      </c>
      <c r="S1027" s="38">
        <v>1.1559999999999999</v>
      </c>
      <c r="T1027" s="38"/>
      <c r="U1027" s="38"/>
      <c r="V1027" s="38"/>
      <c r="W1027" s="38"/>
      <c r="X1027" s="38"/>
      <c r="Y1027" s="38"/>
      <c r="Z1027" s="38"/>
      <c r="AA1027" s="38"/>
      <c r="AB1027" s="38"/>
      <c r="AC1027" s="38"/>
      <c r="AD1027" s="38"/>
      <c r="AE1027" s="38"/>
      <c r="AF1027" s="38"/>
      <c r="AG1027" s="38"/>
      <c r="AH1027" s="38"/>
      <c r="AI1027" s="38"/>
      <c r="AJ1027" s="38"/>
      <c r="AK1027" s="38"/>
      <c r="AL1027" s="38"/>
      <c r="AM1027" s="38"/>
      <c r="AN1027" s="38"/>
      <c r="AO1027" s="38"/>
      <c r="AP1027" s="38"/>
      <c r="AQ1027" s="38"/>
      <c r="AR1027" s="38"/>
      <c r="AS1027" s="38"/>
      <c r="AT1027" s="38">
        <v>4500</v>
      </c>
      <c r="AU1027" s="38"/>
      <c r="AV1027" s="38"/>
      <c r="AW1027" s="38">
        <v>10300</v>
      </c>
      <c r="AX1027" s="38"/>
      <c r="AY1027" s="38"/>
      <c r="AZ1027" s="38"/>
      <c r="BA1027" s="38"/>
      <c r="BB1027" s="38"/>
    </row>
    <row r="1028" spans="1:54">
      <c r="A1028" s="38" t="s">
        <v>4819</v>
      </c>
      <c r="B1028" s="38" t="s">
        <v>3652</v>
      </c>
      <c r="C1028" s="38" t="s">
        <v>4817</v>
      </c>
      <c r="D1028" s="38" t="s">
        <v>3399</v>
      </c>
      <c r="E1028" s="38"/>
      <c r="F1028" s="38"/>
      <c r="G1028" s="38" t="s">
        <v>3997</v>
      </c>
      <c r="H1028" s="38" t="s">
        <v>3400</v>
      </c>
      <c r="I1028" s="38" t="s">
        <v>4818</v>
      </c>
      <c r="J1028" s="38"/>
      <c r="K1028" s="38">
        <v>350</v>
      </c>
      <c r="L1028" s="38">
        <v>14.5</v>
      </c>
      <c r="M1028" s="38"/>
      <c r="N1028" s="38">
        <v>60.7</v>
      </c>
      <c r="O1028" s="38">
        <v>2.6</v>
      </c>
      <c r="P1028" s="38"/>
      <c r="Q1028" s="38"/>
      <c r="R1028" s="38">
        <v>8.6</v>
      </c>
      <c r="S1028" s="38">
        <v>0.69099999999999995</v>
      </c>
      <c r="T1028" s="38"/>
      <c r="U1028" s="38"/>
      <c r="V1028" s="38"/>
      <c r="W1028" s="38"/>
      <c r="X1028" s="38"/>
      <c r="Y1028" s="38"/>
      <c r="Z1028" s="38"/>
      <c r="AA1028" s="38"/>
      <c r="AB1028" s="38"/>
      <c r="AC1028" s="38"/>
      <c r="AD1028" s="38"/>
      <c r="AE1028" s="38"/>
      <c r="AF1028" s="38"/>
      <c r="AG1028" s="38"/>
      <c r="AH1028" s="38"/>
      <c r="AI1028" s="38"/>
      <c r="AJ1028" s="38"/>
      <c r="AK1028" s="38"/>
      <c r="AL1028" s="38"/>
      <c r="AM1028" s="38"/>
      <c r="AN1028" s="38"/>
      <c r="AO1028" s="38"/>
      <c r="AP1028" s="38"/>
      <c r="AQ1028" s="38"/>
      <c r="AR1028" s="38"/>
      <c r="AS1028" s="38"/>
      <c r="AT1028" s="38">
        <v>7300</v>
      </c>
      <c r="AU1028" s="38"/>
      <c r="AV1028" s="38"/>
      <c r="AW1028" s="38">
        <v>17100</v>
      </c>
      <c r="AX1028" s="38"/>
      <c r="AY1028" s="38"/>
      <c r="AZ1028" s="38"/>
      <c r="BA1028" s="38"/>
      <c r="BB1028" s="38"/>
    </row>
    <row r="1029" spans="1:54">
      <c r="A1029" s="38" t="s">
        <v>4820</v>
      </c>
      <c r="B1029" s="38" t="s">
        <v>3652</v>
      </c>
      <c r="C1029" s="38" t="s">
        <v>4817</v>
      </c>
      <c r="D1029" s="38" t="s">
        <v>3399</v>
      </c>
      <c r="E1029" s="38"/>
      <c r="F1029" s="38"/>
      <c r="G1029" s="38" t="s">
        <v>3997</v>
      </c>
      <c r="H1029" s="38" t="s">
        <v>3400</v>
      </c>
      <c r="I1029" s="38" t="s">
        <v>4818</v>
      </c>
      <c r="J1029" s="38"/>
      <c r="K1029" s="38">
        <v>450</v>
      </c>
      <c r="L1029" s="38">
        <v>16.600000000000001</v>
      </c>
      <c r="M1029" s="38"/>
      <c r="N1029" s="38">
        <v>63.2</v>
      </c>
      <c r="O1029" s="38">
        <v>2.2000000000000002</v>
      </c>
      <c r="P1029" s="38"/>
      <c r="Q1029" s="38"/>
      <c r="R1029" s="38">
        <v>10.3</v>
      </c>
      <c r="S1029" s="38">
        <v>1.07</v>
      </c>
      <c r="T1029" s="38"/>
      <c r="U1029" s="38"/>
      <c r="V1029" s="38"/>
      <c r="W1029" s="38"/>
      <c r="X1029" s="38"/>
      <c r="Y1029" s="38"/>
      <c r="Z1029" s="38"/>
      <c r="AA1029" s="38"/>
      <c r="AB1029" s="38"/>
      <c r="AC1029" s="38"/>
      <c r="AD1029" s="38"/>
      <c r="AE1029" s="38"/>
      <c r="AF1029" s="38"/>
      <c r="AG1029" s="38"/>
      <c r="AH1029" s="38"/>
      <c r="AI1029" s="38"/>
      <c r="AJ1029" s="38"/>
      <c r="AK1029" s="38"/>
      <c r="AL1029" s="38"/>
      <c r="AM1029" s="38"/>
      <c r="AN1029" s="38"/>
      <c r="AO1029" s="38"/>
      <c r="AP1029" s="38"/>
      <c r="AQ1029" s="38"/>
      <c r="AR1029" s="38"/>
      <c r="AS1029" s="38"/>
      <c r="AT1029" s="38">
        <v>7700</v>
      </c>
      <c r="AU1029" s="38"/>
      <c r="AV1029" s="38"/>
      <c r="AW1029" s="38">
        <v>20400</v>
      </c>
      <c r="AX1029" s="38"/>
      <c r="AY1029" s="38"/>
      <c r="AZ1029" s="38"/>
      <c r="BA1029" s="38"/>
      <c r="BB1029" s="38"/>
    </row>
    <row r="1030" spans="1:54">
      <c r="A1030" s="38" t="s">
        <v>4821</v>
      </c>
      <c r="B1030" s="38" t="s">
        <v>3652</v>
      </c>
      <c r="C1030" s="38" t="s">
        <v>4817</v>
      </c>
      <c r="D1030" s="38" t="s">
        <v>3399</v>
      </c>
      <c r="E1030" s="38"/>
      <c r="F1030" s="38"/>
      <c r="G1030" s="38" t="s">
        <v>3997</v>
      </c>
      <c r="H1030" s="38" t="s">
        <v>3400</v>
      </c>
      <c r="I1030" s="38" t="s">
        <v>4818</v>
      </c>
      <c r="J1030" s="38"/>
      <c r="K1030" s="38">
        <v>550</v>
      </c>
      <c r="L1030" s="38">
        <v>18.600000000000001</v>
      </c>
      <c r="M1030" s="38"/>
      <c r="N1030" s="38">
        <v>65.900000000000006</v>
      </c>
      <c r="O1030" s="38">
        <v>2.2000000000000002</v>
      </c>
      <c r="P1030" s="38"/>
      <c r="Q1030" s="38"/>
      <c r="R1030" s="38">
        <v>10.3</v>
      </c>
      <c r="S1030" s="38">
        <v>1.6950000000000001</v>
      </c>
      <c r="T1030" s="38"/>
      <c r="U1030" s="38"/>
      <c r="V1030" s="38"/>
      <c r="W1030" s="38"/>
      <c r="X1030" s="38"/>
      <c r="Y1030" s="38"/>
      <c r="Z1030" s="38"/>
      <c r="AA1030" s="38"/>
      <c r="AB1030" s="38"/>
      <c r="AC1030" s="38"/>
      <c r="AD1030" s="38"/>
      <c r="AE1030" s="38"/>
      <c r="AF1030" s="38"/>
      <c r="AG1030" s="38"/>
      <c r="AH1030" s="38"/>
      <c r="AI1030" s="38"/>
      <c r="AJ1030" s="38"/>
      <c r="AK1030" s="38"/>
      <c r="AL1030" s="38"/>
      <c r="AM1030" s="38"/>
      <c r="AN1030" s="38"/>
      <c r="AO1030" s="38"/>
      <c r="AP1030" s="38"/>
      <c r="AQ1030" s="38"/>
      <c r="AR1030" s="38"/>
      <c r="AS1030" s="38"/>
      <c r="AT1030" s="38">
        <v>11300</v>
      </c>
      <c r="AU1030" s="38"/>
      <c r="AV1030" s="38"/>
      <c r="AW1030" s="38">
        <v>23200</v>
      </c>
      <c r="AX1030" s="38"/>
      <c r="AY1030" s="38"/>
      <c r="AZ1030" s="38"/>
      <c r="BA1030" s="38"/>
      <c r="BB1030" s="38"/>
    </row>
    <row r="1031" spans="1:54">
      <c r="A1031" s="38" t="s">
        <v>4822</v>
      </c>
      <c r="B1031" s="38" t="s">
        <v>3652</v>
      </c>
      <c r="C1031" s="38" t="s">
        <v>4823</v>
      </c>
      <c r="D1031" s="38" t="s">
        <v>3351</v>
      </c>
      <c r="E1031" s="38"/>
      <c r="F1031" s="38"/>
      <c r="G1031" s="38" t="s">
        <v>3997</v>
      </c>
      <c r="H1031" s="38" t="s">
        <v>3400</v>
      </c>
      <c r="I1031" s="38" t="s">
        <v>4818</v>
      </c>
      <c r="J1031" s="38"/>
      <c r="K1031" s="38">
        <v>250</v>
      </c>
      <c r="L1031" s="38">
        <v>37.6</v>
      </c>
      <c r="M1031" s="38"/>
      <c r="N1031" s="38">
        <v>33.700000000000003</v>
      </c>
      <c r="O1031" s="38">
        <v>4.0999999999999996</v>
      </c>
      <c r="P1031" s="38"/>
      <c r="Q1031" s="38"/>
      <c r="R1031" s="38">
        <v>7.2</v>
      </c>
      <c r="S1031" s="38">
        <v>1.2070000000000001</v>
      </c>
      <c r="T1031" s="38"/>
      <c r="U1031" s="38"/>
      <c r="V1031" s="38"/>
      <c r="W1031" s="38"/>
      <c r="X1031" s="38"/>
      <c r="Y1031" s="38"/>
      <c r="Z1031" s="38"/>
      <c r="AA1031" s="38"/>
      <c r="AB1031" s="38"/>
      <c r="AC1031" s="38"/>
      <c r="AD1031" s="38"/>
      <c r="AE1031" s="38"/>
      <c r="AF1031" s="38"/>
      <c r="AG1031" s="38"/>
      <c r="AH1031" s="38"/>
      <c r="AI1031" s="38"/>
      <c r="AJ1031" s="38"/>
      <c r="AK1031" s="38"/>
      <c r="AL1031" s="38"/>
      <c r="AM1031" s="38"/>
      <c r="AN1031" s="38"/>
      <c r="AO1031" s="38"/>
      <c r="AP1031" s="38"/>
      <c r="AQ1031" s="38"/>
      <c r="AR1031" s="38"/>
      <c r="AS1031" s="38"/>
      <c r="AT1031" s="38">
        <v>17800</v>
      </c>
      <c r="AU1031" s="38"/>
      <c r="AV1031" s="38"/>
      <c r="AW1031" s="38">
        <v>5600</v>
      </c>
      <c r="AX1031" s="38"/>
      <c r="AY1031" s="38"/>
      <c r="AZ1031" s="38"/>
      <c r="BA1031" s="38"/>
      <c r="BB1031" s="38"/>
    </row>
    <row r="1032" spans="1:54">
      <c r="A1032" s="38" t="s">
        <v>4824</v>
      </c>
      <c r="B1032" s="38" t="s">
        <v>1948</v>
      </c>
      <c r="C1032" s="38" t="s">
        <v>4823</v>
      </c>
      <c r="D1032" s="38" t="s">
        <v>3351</v>
      </c>
      <c r="E1032" s="38"/>
      <c r="F1032" s="38"/>
      <c r="G1032" s="38" t="s">
        <v>3997</v>
      </c>
      <c r="H1032" s="38" t="s">
        <v>3400</v>
      </c>
      <c r="I1032" s="38" t="s">
        <v>4818</v>
      </c>
      <c r="J1032" s="38"/>
      <c r="K1032" s="38">
        <v>350</v>
      </c>
      <c r="L1032" s="38">
        <v>44.2</v>
      </c>
      <c r="M1032" s="38"/>
      <c r="N1032" s="38">
        <v>34.799999999999997</v>
      </c>
      <c r="O1032" s="38">
        <v>4</v>
      </c>
      <c r="P1032" s="38"/>
      <c r="Q1032" s="38"/>
      <c r="R1032" s="38">
        <v>7.6</v>
      </c>
      <c r="S1032" s="38">
        <v>0.27500000000000002</v>
      </c>
      <c r="T1032" s="38"/>
      <c r="U1032" s="38"/>
      <c r="V1032" s="38"/>
      <c r="W1032" s="38"/>
      <c r="X1032" s="38"/>
      <c r="Y1032" s="38"/>
      <c r="Z1032" s="38"/>
      <c r="AA1032" s="38"/>
      <c r="AB1032" s="38"/>
      <c r="AC1032" s="38"/>
      <c r="AD1032" s="38"/>
      <c r="AE1032" s="38"/>
      <c r="AF1032" s="38"/>
      <c r="AG1032" s="38"/>
      <c r="AH1032" s="38"/>
      <c r="AI1032" s="38"/>
      <c r="AJ1032" s="38"/>
      <c r="AK1032" s="38"/>
      <c r="AL1032" s="38"/>
      <c r="AM1032" s="38"/>
      <c r="AN1032" s="38"/>
      <c r="AO1032" s="38"/>
      <c r="AP1032" s="38"/>
      <c r="AQ1032" s="38"/>
      <c r="AR1032" s="38"/>
      <c r="AS1032" s="38"/>
      <c r="AT1032" s="38">
        <v>20500</v>
      </c>
      <c r="AU1032" s="38"/>
      <c r="AV1032" s="38"/>
      <c r="AW1032" s="38">
        <v>6500</v>
      </c>
      <c r="AX1032" s="38"/>
      <c r="AY1032" s="38"/>
      <c r="AZ1032" s="38"/>
      <c r="BA1032" s="38"/>
      <c r="BB1032" s="38"/>
    </row>
    <row r="1033" spans="1:54">
      <c r="A1033" s="38" t="s">
        <v>4825</v>
      </c>
      <c r="B1033" s="38" t="s">
        <v>3652</v>
      </c>
      <c r="C1033" s="38" t="s">
        <v>4823</v>
      </c>
      <c r="D1033" s="38" t="s">
        <v>3351</v>
      </c>
      <c r="E1033" s="38"/>
      <c r="F1033" s="38"/>
      <c r="G1033" s="38" t="s">
        <v>3997</v>
      </c>
      <c r="H1033" s="38" t="s">
        <v>3400</v>
      </c>
      <c r="I1033" s="38" t="s">
        <v>4818</v>
      </c>
      <c r="J1033" s="38"/>
      <c r="K1033" s="38">
        <v>450</v>
      </c>
      <c r="L1033" s="38">
        <v>55.1</v>
      </c>
      <c r="M1033" s="38"/>
      <c r="N1033" s="38">
        <v>29.4</v>
      </c>
      <c r="O1033" s="38">
        <v>3</v>
      </c>
      <c r="P1033" s="38"/>
      <c r="Q1033" s="38"/>
      <c r="R1033" s="38">
        <v>7.4</v>
      </c>
      <c r="S1033" s="38">
        <v>0.36199999999999999</v>
      </c>
      <c r="T1033" s="38"/>
      <c r="U1033" s="38"/>
      <c r="V1033" s="38"/>
      <c r="W1033" s="38"/>
      <c r="X1033" s="38"/>
      <c r="Y1033" s="38"/>
      <c r="Z1033" s="38"/>
      <c r="AA1033" s="38"/>
      <c r="AB1033" s="38"/>
      <c r="AC1033" s="38"/>
      <c r="AD1033" s="38"/>
      <c r="AE1033" s="38"/>
      <c r="AF1033" s="38"/>
      <c r="AG1033" s="38"/>
      <c r="AH1033" s="38"/>
      <c r="AI1033" s="38"/>
      <c r="AJ1033" s="38"/>
      <c r="AK1033" s="38"/>
      <c r="AL1033" s="38"/>
      <c r="AM1033" s="38"/>
      <c r="AN1033" s="38"/>
      <c r="AO1033" s="38"/>
      <c r="AP1033" s="38"/>
      <c r="AQ1033" s="38"/>
      <c r="AR1033" s="38"/>
      <c r="AS1033" s="38"/>
      <c r="AT1033" s="38">
        <v>24700</v>
      </c>
      <c r="AU1033" s="38"/>
      <c r="AV1033" s="38"/>
      <c r="AW1033" s="38">
        <v>8000</v>
      </c>
      <c r="AX1033" s="38"/>
      <c r="AY1033" s="38"/>
      <c r="AZ1033" s="38"/>
      <c r="BA1033" s="38"/>
      <c r="BB1033" s="38"/>
    </row>
    <row r="1034" spans="1:54">
      <c r="A1034" s="38" t="s">
        <v>4826</v>
      </c>
      <c r="B1034" s="38" t="s">
        <v>1948</v>
      </c>
      <c r="C1034" s="38" t="s">
        <v>4823</v>
      </c>
      <c r="D1034" s="38" t="s">
        <v>3351</v>
      </c>
      <c r="E1034" s="38"/>
      <c r="F1034" s="38"/>
      <c r="G1034" s="38" t="s">
        <v>3997</v>
      </c>
      <c r="H1034" s="38" t="s">
        <v>3400</v>
      </c>
      <c r="I1034" s="38" t="s">
        <v>4818</v>
      </c>
      <c r="J1034" s="38"/>
      <c r="K1034" s="38">
        <v>550</v>
      </c>
      <c r="L1034" s="38">
        <v>61.1</v>
      </c>
      <c r="M1034" s="38"/>
      <c r="N1034" s="38">
        <v>26.2</v>
      </c>
      <c r="O1034" s="38">
        <v>2.7</v>
      </c>
      <c r="P1034" s="38"/>
      <c r="Q1034" s="38"/>
      <c r="R1034" s="38">
        <v>7.1</v>
      </c>
      <c r="S1034" s="38">
        <v>0.81399999999999995</v>
      </c>
      <c r="T1034" s="38"/>
      <c r="U1034" s="38"/>
      <c r="V1034" s="38"/>
      <c r="W1034" s="38"/>
      <c r="X1034" s="38"/>
      <c r="Y1034" s="38"/>
      <c r="Z1034" s="38"/>
      <c r="AA1034" s="38"/>
      <c r="AB1034" s="38"/>
      <c r="AC1034" s="38"/>
      <c r="AD1034" s="38"/>
      <c r="AE1034" s="38"/>
      <c r="AF1034" s="38"/>
      <c r="AG1034" s="38"/>
      <c r="AH1034" s="38"/>
      <c r="AI1034" s="38"/>
      <c r="AJ1034" s="38"/>
      <c r="AK1034" s="38"/>
      <c r="AL1034" s="38"/>
      <c r="AM1034" s="38"/>
      <c r="AN1034" s="38"/>
      <c r="AO1034" s="38"/>
      <c r="AP1034" s="38"/>
      <c r="AQ1034" s="38"/>
      <c r="AR1034" s="38"/>
      <c r="AS1034" s="38"/>
      <c r="AT1034" s="38">
        <v>26100</v>
      </c>
      <c r="AU1034" s="38"/>
      <c r="AV1034" s="38"/>
      <c r="AW1034" s="38">
        <v>8700</v>
      </c>
      <c r="AX1034" s="38"/>
      <c r="AY1034" s="38"/>
      <c r="AZ1034" s="38"/>
      <c r="BA1034" s="38"/>
      <c r="BB1034" s="38"/>
    </row>
    <row r="1035" spans="1:54">
      <c r="A1035" s="38" t="s">
        <v>4827</v>
      </c>
      <c r="B1035" s="38" t="s">
        <v>3652</v>
      </c>
      <c r="C1035" s="38" t="s">
        <v>4511</v>
      </c>
      <c r="D1035" s="38" t="s">
        <v>3399</v>
      </c>
      <c r="E1035" s="38"/>
      <c r="F1035" s="38"/>
      <c r="G1035" s="38" t="s">
        <v>3997</v>
      </c>
      <c r="H1035" s="38" t="s">
        <v>3400</v>
      </c>
      <c r="I1035" s="38" t="s">
        <v>4818</v>
      </c>
      <c r="J1035" s="38"/>
      <c r="K1035" s="38">
        <v>250</v>
      </c>
      <c r="L1035" s="38">
        <v>14</v>
      </c>
      <c r="M1035" s="38"/>
      <c r="N1035" s="38">
        <v>43.7</v>
      </c>
      <c r="O1035" s="38">
        <v>4.0999999999999996</v>
      </c>
      <c r="P1035" s="38"/>
      <c r="Q1035" s="38"/>
      <c r="R1035" s="38">
        <v>6.9</v>
      </c>
      <c r="S1035" s="38">
        <v>0.40200000000000002</v>
      </c>
      <c r="T1035" s="38"/>
      <c r="U1035" s="38"/>
      <c r="V1035" s="38"/>
      <c r="W1035" s="38"/>
      <c r="X1035" s="38"/>
      <c r="Y1035" s="38"/>
      <c r="Z1035" s="38"/>
      <c r="AA1035" s="38"/>
      <c r="AB1035" s="38"/>
      <c r="AC1035" s="38"/>
      <c r="AD1035" s="38"/>
      <c r="AE1035" s="38"/>
      <c r="AF1035" s="38"/>
      <c r="AG1035" s="38"/>
      <c r="AH1035" s="38"/>
      <c r="AI1035" s="38"/>
      <c r="AJ1035" s="38"/>
      <c r="AK1035" s="38"/>
      <c r="AL1035" s="38"/>
      <c r="AM1035" s="38"/>
      <c r="AN1035" s="38"/>
      <c r="AO1035" s="38"/>
      <c r="AP1035" s="38"/>
      <c r="AQ1035" s="38"/>
      <c r="AR1035" s="38"/>
      <c r="AS1035" s="38"/>
      <c r="AT1035" s="38">
        <v>8700</v>
      </c>
      <c r="AU1035" s="38"/>
      <c r="AV1035" s="38"/>
      <c r="AW1035" s="38">
        <v>22300</v>
      </c>
      <c r="AX1035" s="38"/>
      <c r="AY1035" s="38"/>
      <c r="AZ1035" s="38"/>
      <c r="BA1035" s="38"/>
      <c r="BB1035" s="38"/>
    </row>
    <row r="1036" spans="1:54">
      <c r="A1036" s="38" t="s">
        <v>4308</v>
      </c>
      <c r="B1036" s="38" t="s">
        <v>3652</v>
      </c>
      <c r="C1036" s="38" t="s">
        <v>4511</v>
      </c>
      <c r="D1036" s="38" t="s">
        <v>3399</v>
      </c>
      <c r="E1036" s="38"/>
      <c r="F1036" s="38"/>
      <c r="G1036" s="38" t="s">
        <v>3997</v>
      </c>
      <c r="H1036" s="38" t="s">
        <v>3400</v>
      </c>
      <c r="I1036" s="38" t="s">
        <v>4818</v>
      </c>
      <c r="J1036" s="38"/>
      <c r="K1036" s="38">
        <v>350</v>
      </c>
      <c r="L1036" s="38">
        <v>25.1</v>
      </c>
      <c r="M1036" s="38"/>
      <c r="N1036" s="38">
        <v>51.2</v>
      </c>
      <c r="O1036" s="38">
        <v>5.6</v>
      </c>
      <c r="P1036" s="38"/>
      <c r="Q1036" s="38"/>
      <c r="R1036" s="38">
        <v>8</v>
      </c>
      <c r="S1036" s="38">
        <v>0.35299999999999998</v>
      </c>
      <c r="T1036" s="38"/>
      <c r="U1036" s="38"/>
      <c r="V1036" s="38"/>
      <c r="W1036" s="38"/>
      <c r="X1036" s="38"/>
      <c r="Y1036" s="38"/>
      <c r="Z1036" s="38"/>
      <c r="AA1036" s="38"/>
      <c r="AB1036" s="38"/>
      <c r="AC1036" s="38"/>
      <c r="AD1036" s="38"/>
      <c r="AE1036" s="38"/>
      <c r="AF1036" s="38"/>
      <c r="AG1036" s="38"/>
      <c r="AH1036" s="38"/>
      <c r="AI1036" s="38"/>
      <c r="AJ1036" s="38"/>
      <c r="AK1036" s="38"/>
      <c r="AL1036" s="38"/>
      <c r="AM1036" s="38"/>
      <c r="AN1036" s="38"/>
      <c r="AO1036" s="38"/>
      <c r="AP1036" s="38"/>
      <c r="AQ1036" s="38"/>
      <c r="AR1036" s="38"/>
      <c r="AS1036" s="38"/>
      <c r="AT1036" s="38">
        <v>14400</v>
      </c>
      <c r="AU1036" s="38"/>
      <c r="AV1036" s="38"/>
      <c r="AW1036" s="38">
        <v>37700</v>
      </c>
      <c r="AX1036" s="38"/>
      <c r="AY1036" s="38"/>
      <c r="AZ1036" s="38"/>
      <c r="BA1036" s="38"/>
      <c r="BB1036" s="38"/>
    </row>
    <row r="1037" spans="1:54">
      <c r="A1037" s="38" t="s">
        <v>4828</v>
      </c>
      <c r="B1037" s="38" t="s">
        <v>3652</v>
      </c>
      <c r="C1037" s="38" t="s">
        <v>4511</v>
      </c>
      <c r="D1037" s="38" t="s">
        <v>3399</v>
      </c>
      <c r="E1037" s="38"/>
      <c r="F1037" s="38"/>
      <c r="G1037" s="38" t="s">
        <v>3997</v>
      </c>
      <c r="H1037" s="38" t="s">
        <v>3400</v>
      </c>
      <c r="I1037" s="38" t="s">
        <v>4818</v>
      </c>
      <c r="J1037" s="38"/>
      <c r="K1037" s="38">
        <v>450</v>
      </c>
      <c r="L1037" s="38">
        <v>28.8</v>
      </c>
      <c r="M1037" s="38"/>
      <c r="N1037" s="38">
        <v>51.2</v>
      </c>
      <c r="O1037" s="38">
        <v>4.5</v>
      </c>
      <c r="P1037" s="38"/>
      <c r="Q1037" s="38"/>
      <c r="R1037" s="38">
        <v>9.9</v>
      </c>
      <c r="S1037" s="38">
        <v>0.432</v>
      </c>
      <c r="T1037" s="38"/>
      <c r="U1037" s="38"/>
      <c r="V1037" s="38"/>
      <c r="W1037" s="38"/>
      <c r="X1037" s="38"/>
      <c r="Y1037" s="38"/>
      <c r="Z1037" s="38"/>
      <c r="AA1037" s="38"/>
      <c r="AB1037" s="38"/>
      <c r="AC1037" s="38"/>
      <c r="AD1037" s="38"/>
      <c r="AE1037" s="38"/>
      <c r="AF1037" s="38"/>
      <c r="AG1037" s="38"/>
      <c r="AH1037" s="38"/>
      <c r="AI1037" s="38"/>
      <c r="AJ1037" s="38"/>
      <c r="AK1037" s="38"/>
      <c r="AL1037" s="38"/>
      <c r="AM1037" s="38"/>
      <c r="AN1037" s="38"/>
      <c r="AO1037" s="38"/>
      <c r="AP1037" s="38"/>
      <c r="AQ1037" s="38"/>
      <c r="AR1037" s="38"/>
      <c r="AS1037" s="38"/>
      <c r="AT1037" s="38">
        <v>16400</v>
      </c>
      <c r="AU1037" s="38"/>
      <c r="AV1037" s="38"/>
      <c r="AW1037" s="38">
        <v>43200</v>
      </c>
      <c r="AX1037" s="38"/>
      <c r="AY1037" s="38"/>
      <c r="AZ1037" s="38"/>
      <c r="BA1037" s="38"/>
      <c r="BB1037" s="38"/>
    </row>
    <row r="1038" spans="1:54">
      <c r="A1038" s="38" t="s">
        <v>4372</v>
      </c>
      <c r="B1038" s="38" t="s">
        <v>3652</v>
      </c>
      <c r="C1038" s="38" t="s">
        <v>4511</v>
      </c>
      <c r="D1038" s="38" t="s">
        <v>3399</v>
      </c>
      <c r="E1038" s="38"/>
      <c r="F1038" s="38"/>
      <c r="G1038" s="38" t="s">
        <v>3997</v>
      </c>
      <c r="H1038" s="38" t="s">
        <v>3400</v>
      </c>
      <c r="I1038" s="38" t="s">
        <v>4818</v>
      </c>
      <c r="J1038" s="38"/>
      <c r="K1038" s="38">
        <v>550</v>
      </c>
      <c r="L1038" s="38">
        <v>32.6</v>
      </c>
      <c r="M1038" s="38"/>
      <c r="N1038" s="38">
        <v>51.1</v>
      </c>
      <c r="O1038" s="38">
        <v>3.7</v>
      </c>
      <c r="P1038" s="38"/>
      <c r="Q1038" s="38"/>
      <c r="R1038" s="38">
        <v>10.199999999999999</v>
      </c>
      <c r="S1038" s="38">
        <v>0.41899999999999998</v>
      </c>
      <c r="T1038" s="38"/>
      <c r="U1038" s="38"/>
      <c r="V1038" s="38"/>
      <c r="W1038" s="38"/>
      <c r="X1038" s="38"/>
      <c r="Y1038" s="38"/>
      <c r="Z1038" s="38"/>
      <c r="AA1038" s="38"/>
      <c r="AB1038" s="38"/>
      <c r="AC1038" s="38"/>
      <c r="AD1038" s="38"/>
      <c r="AE1038" s="38"/>
      <c r="AF1038" s="38"/>
      <c r="AG1038" s="38"/>
      <c r="AH1038" s="38"/>
      <c r="AI1038" s="38"/>
      <c r="AJ1038" s="38"/>
      <c r="AK1038" s="38"/>
      <c r="AL1038" s="38"/>
      <c r="AM1038" s="38"/>
      <c r="AN1038" s="38"/>
      <c r="AO1038" s="38"/>
      <c r="AP1038" s="38"/>
      <c r="AQ1038" s="38"/>
      <c r="AR1038" s="38"/>
      <c r="AS1038" s="38"/>
      <c r="AT1038" s="38">
        <v>19400</v>
      </c>
      <c r="AU1038" s="38"/>
      <c r="AV1038" s="38"/>
      <c r="AW1038" s="38">
        <v>48000</v>
      </c>
      <c r="AX1038" s="38"/>
      <c r="AY1038" s="38"/>
      <c r="AZ1038" s="38"/>
      <c r="BA1038" s="38"/>
      <c r="BB1038" s="38"/>
    </row>
    <row r="1039" spans="1:54">
      <c r="A1039" s="38" t="s">
        <v>4829</v>
      </c>
      <c r="B1039" s="38" t="s">
        <v>3652</v>
      </c>
      <c r="C1039" s="38" t="s">
        <v>4830</v>
      </c>
      <c r="D1039" s="38" t="s">
        <v>3399</v>
      </c>
      <c r="E1039" s="38"/>
      <c r="F1039" s="38"/>
      <c r="G1039" s="38" t="s">
        <v>3997</v>
      </c>
      <c r="H1039" s="38" t="s">
        <v>3400</v>
      </c>
      <c r="I1039" s="38" t="s">
        <v>4818</v>
      </c>
      <c r="J1039" s="38"/>
      <c r="K1039" s="38">
        <v>250</v>
      </c>
      <c r="L1039" s="38">
        <v>3.5</v>
      </c>
      <c r="M1039" s="38"/>
      <c r="N1039" s="38">
        <v>48.7</v>
      </c>
      <c r="O1039" s="38">
        <v>0.9</v>
      </c>
      <c r="P1039" s="38"/>
      <c r="Q1039" s="38"/>
      <c r="R1039" s="38">
        <v>6</v>
      </c>
      <c r="S1039" s="38">
        <v>0.96099999999999997</v>
      </c>
      <c r="T1039" s="38"/>
      <c r="U1039" s="38"/>
      <c r="V1039" s="38"/>
      <c r="W1039" s="38"/>
      <c r="X1039" s="38"/>
      <c r="Y1039" s="38"/>
      <c r="Z1039" s="38"/>
      <c r="AA1039" s="38"/>
      <c r="AB1039" s="38"/>
      <c r="AC1039" s="38"/>
      <c r="AD1039" s="38"/>
      <c r="AE1039" s="38"/>
      <c r="AF1039" s="38"/>
      <c r="AG1039" s="38"/>
      <c r="AH1039" s="38"/>
      <c r="AI1039" s="38"/>
      <c r="AJ1039" s="38"/>
      <c r="AK1039" s="38"/>
      <c r="AL1039" s="38"/>
      <c r="AM1039" s="38"/>
      <c r="AN1039" s="38"/>
      <c r="AO1039" s="38"/>
      <c r="AP1039" s="38"/>
      <c r="AQ1039" s="38"/>
      <c r="AR1039" s="38"/>
      <c r="AS1039" s="38"/>
      <c r="AT1039" s="38">
        <v>1000</v>
      </c>
      <c r="AU1039" s="38"/>
      <c r="AV1039" s="38"/>
      <c r="AW1039" s="38">
        <v>4600</v>
      </c>
      <c r="AX1039" s="38"/>
      <c r="AY1039" s="38"/>
      <c r="AZ1039" s="38"/>
      <c r="BA1039" s="38"/>
      <c r="BB1039" s="38"/>
    </row>
    <row r="1040" spans="1:54">
      <c r="A1040" s="38" t="s">
        <v>4831</v>
      </c>
      <c r="B1040" s="38" t="s">
        <v>3652</v>
      </c>
      <c r="C1040" s="38" t="s">
        <v>4830</v>
      </c>
      <c r="D1040" s="38" t="s">
        <v>3399</v>
      </c>
      <c r="E1040" s="38"/>
      <c r="F1040" s="38"/>
      <c r="G1040" s="38" t="s">
        <v>3997</v>
      </c>
      <c r="H1040" s="38" t="s">
        <v>3400</v>
      </c>
      <c r="I1040" s="38" t="s">
        <v>4818</v>
      </c>
      <c r="J1040" s="38"/>
      <c r="K1040" s="38">
        <v>350</v>
      </c>
      <c r="L1040" s="38">
        <v>7.4</v>
      </c>
      <c r="M1040" s="38"/>
      <c r="N1040" s="38">
        <v>65.900000000000006</v>
      </c>
      <c r="O1040" s="38">
        <v>1.3</v>
      </c>
      <c r="P1040" s="38"/>
      <c r="Q1040" s="38"/>
      <c r="R1040" s="38">
        <v>6.8</v>
      </c>
      <c r="S1040" s="38">
        <v>0.59</v>
      </c>
      <c r="T1040" s="38"/>
      <c r="U1040" s="38"/>
      <c r="V1040" s="38"/>
      <c r="W1040" s="38"/>
      <c r="X1040" s="38"/>
      <c r="Y1040" s="38"/>
      <c r="Z1040" s="38"/>
      <c r="AA1040" s="38"/>
      <c r="AB1040" s="38"/>
      <c r="AC1040" s="38"/>
      <c r="AD1040" s="38"/>
      <c r="AE1040" s="38"/>
      <c r="AF1040" s="38"/>
      <c r="AG1040" s="38"/>
      <c r="AH1040" s="38"/>
      <c r="AI1040" s="38"/>
      <c r="AJ1040" s="38"/>
      <c r="AK1040" s="38"/>
      <c r="AL1040" s="38"/>
      <c r="AM1040" s="38"/>
      <c r="AN1040" s="38"/>
      <c r="AO1040" s="38"/>
      <c r="AP1040" s="38"/>
      <c r="AQ1040" s="38"/>
      <c r="AR1040" s="38"/>
      <c r="AS1040" s="38"/>
      <c r="AT1040" s="38">
        <v>2000</v>
      </c>
      <c r="AU1040" s="38"/>
      <c r="AV1040" s="38"/>
      <c r="AW1040" s="38">
        <v>9700</v>
      </c>
      <c r="AX1040" s="38"/>
      <c r="AY1040" s="38"/>
      <c r="AZ1040" s="38"/>
      <c r="BA1040" s="38"/>
      <c r="BB1040" s="38"/>
    </row>
    <row r="1041" spans="1:54">
      <c r="A1041" s="38" t="s">
        <v>4832</v>
      </c>
      <c r="B1041" s="38" t="s">
        <v>3652</v>
      </c>
      <c r="C1041" s="38" t="s">
        <v>4830</v>
      </c>
      <c r="D1041" s="38" t="s">
        <v>3399</v>
      </c>
      <c r="E1041" s="38"/>
      <c r="F1041" s="38"/>
      <c r="G1041" s="38" t="s">
        <v>3997</v>
      </c>
      <c r="H1041" s="38" t="s">
        <v>3400</v>
      </c>
      <c r="I1041" s="38" t="s">
        <v>4818</v>
      </c>
      <c r="J1041" s="38"/>
      <c r="K1041" s="38">
        <v>450</v>
      </c>
      <c r="L1041" s="38">
        <v>7.9</v>
      </c>
      <c r="M1041" s="38"/>
      <c r="N1041" s="38">
        <v>69.3</v>
      </c>
      <c r="O1041" s="38">
        <v>1.3</v>
      </c>
      <c r="P1041" s="38"/>
      <c r="Q1041" s="38"/>
      <c r="R1041" s="38">
        <v>9</v>
      </c>
      <c r="S1041" s="38">
        <v>0.51700000000000002</v>
      </c>
      <c r="T1041" s="38"/>
      <c r="U1041" s="38"/>
      <c r="V1041" s="38"/>
      <c r="W1041" s="38"/>
      <c r="X1041" s="38"/>
      <c r="Y1041" s="38"/>
      <c r="Z1041" s="38"/>
      <c r="AA1041" s="38"/>
      <c r="AB1041" s="38"/>
      <c r="AC1041" s="38"/>
      <c r="AD1041" s="38"/>
      <c r="AE1041" s="38"/>
      <c r="AF1041" s="38"/>
      <c r="AG1041" s="38"/>
      <c r="AH1041" s="38"/>
      <c r="AI1041" s="38"/>
      <c r="AJ1041" s="38"/>
      <c r="AK1041" s="38"/>
      <c r="AL1041" s="38"/>
      <c r="AM1041" s="38"/>
      <c r="AN1041" s="38"/>
      <c r="AO1041" s="38"/>
      <c r="AP1041" s="38"/>
      <c r="AQ1041" s="38"/>
      <c r="AR1041" s="38"/>
      <c r="AS1041" s="38"/>
      <c r="AT1041" s="38">
        <v>2400</v>
      </c>
      <c r="AU1041" s="38"/>
      <c r="AV1041" s="38"/>
      <c r="AW1041" s="38">
        <v>11700</v>
      </c>
      <c r="AX1041" s="38"/>
      <c r="AY1041" s="38"/>
      <c r="AZ1041" s="38"/>
      <c r="BA1041" s="38"/>
      <c r="BB1041" s="38"/>
    </row>
    <row r="1042" spans="1:54">
      <c r="A1042" s="38" t="s">
        <v>4833</v>
      </c>
      <c r="B1042" s="38" t="s">
        <v>3652</v>
      </c>
      <c r="C1042" s="38" t="s">
        <v>4830</v>
      </c>
      <c r="D1042" s="38" t="s">
        <v>3399</v>
      </c>
      <c r="E1042" s="38"/>
      <c r="F1042" s="38"/>
      <c r="G1042" s="38" t="s">
        <v>3997</v>
      </c>
      <c r="H1042" s="38" t="s">
        <v>3400</v>
      </c>
      <c r="I1042" s="38" t="s">
        <v>4818</v>
      </c>
      <c r="J1042" s="38"/>
      <c r="K1042" s="38">
        <v>550</v>
      </c>
      <c r="L1042" s="38">
        <v>9.8000000000000007</v>
      </c>
      <c r="M1042" s="38"/>
      <c r="N1042" s="38">
        <v>75.099999999999994</v>
      </c>
      <c r="O1042" s="38">
        <v>1.3</v>
      </c>
      <c r="P1042" s="38"/>
      <c r="Q1042" s="38"/>
      <c r="R1042" s="38">
        <v>9.6999999999999993</v>
      </c>
      <c r="S1042" s="38">
        <v>0.54</v>
      </c>
      <c r="T1042" s="38"/>
      <c r="U1042" s="38"/>
      <c r="V1042" s="38"/>
      <c r="W1042" s="38"/>
      <c r="X1042" s="38"/>
      <c r="Y1042" s="38"/>
      <c r="Z1042" s="38"/>
      <c r="AA1042" s="38"/>
      <c r="AB1042" s="38"/>
      <c r="AC1042" s="38"/>
      <c r="AD1042" s="38"/>
      <c r="AE1042" s="38"/>
      <c r="AF1042" s="38"/>
      <c r="AG1042" s="38"/>
      <c r="AH1042" s="38"/>
      <c r="AI1042" s="38"/>
      <c r="AJ1042" s="38"/>
      <c r="AK1042" s="38"/>
      <c r="AL1042" s="38"/>
      <c r="AM1042" s="38"/>
      <c r="AN1042" s="38"/>
      <c r="AO1042" s="38"/>
      <c r="AP1042" s="38"/>
      <c r="AQ1042" s="38"/>
      <c r="AR1042" s="38"/>
      <c r="AS1042" s="38"/>
      <c r="AT1042" s="38">
        <v>3000</v>
      </c>
      <c r="AU1042" s="38"/>
      <c r="AV1042" s="38"/>
      <c r="AW1042" s="38">
        <v>14200</v>
      </c>
      <c r="AX1042" s="38"/>
      <c r="AY1042" s="38"/>
      <c r="AZ1042" s="38"/>
      <c r="BA1042" s="38"/>
      <c r="BB1042" s="38"/>
    </row>
    <row r="1043" spans="1:54">
      <c r="A1043" s="38" t="s">
        <v>4834</v>
      </c>
      <c r="B1043" s="38" t="s">
        <v>1948</v>
      </c>
      <c r="C1043" s="38" t="s">
        <v>2026</v>
      </c>
      <c r="D1043" s="38" t="s">
        <v>3399</v>
      </c>
      <c r="E1043" s="38"/>
      <c r="F1043" s="38"/>
      <c r="G1043" s="38" t="s">
        <v>3997</v>
      </c>
      <c r="H1043" s="38" t="s">
        <v>3400</v>
      </c>
      <c r="I1043" s="38" t="s">
        <v>4818</v>
      </c>
      <c r="J1043" s="38"/>
      <c r="K1043" s="38">
        <v>250</v>
      </c>
      <c r="L1043" s="38">
        <v>48.6</v>
      </c>
      <c r="M1043" s="38"/>
      <c r="N1043" s="38">
        <v>28.3</v>
      </c>
      <c r="O1043" s="38">
        <v>3.8</v>
      </c>
      <c r="P1043" s="38"/>
      <c r="Q1043" s="38"/>
      <c r="R1043" s="38">
        <v>6.9</v>
      </c>
      <c r="S1043" s="38">
        <v>0.69099999999999995</v>
      </c>
      <c r="T1043" s="38"/>
      <c r="U1043" s="38"/>
      <c r="V1043" s="38"/>
      <c r="W1043" s="38"/>
      <c r="X1043" s="38"/>
      <c r="Y1043" s="38"/>
      <c r="Z1043" s="38"/>
      <c r="AA1043" s="38"/>
      <c r="AB1043" s="38"/>
      <c r="AC1043" s="38"/>
      <c r="AD1043" s="38"/>
      <c r="AE1043" s="38"/>
      <c r="AF1043" s="38"/>
      <c r="AG1043" s="38"/>
      <c r="AH1043" s="38"/>
      <c r="AI1043" s="38"/>
      <c r="AJ1043" s="38"/>
      <c r="AK1043" s="38"/>
      <c r="AL1043" s="38"/>
      <c r="AM1043" s="38"/>
      <c r="AN1043" s="38"/>
      <c r="AO1043" s="38"/>
      <c r="AP1043" s="38"/>
      <c r="AQ1043" s="38"/>
      <c r="AR1043" s="38"/>
      <c r="AS1043" s="38"/>
      <c r="AT1043" s="38">
        <v>17300</v>
      </c>
      <c r="AU1043" s="38"/>
      <c r="AV1043" s="38"/>
      <c r="AW1043" s="38">
        <v>4200</v>
      </c>
      <c r="AX1043" s="38"/>
      <c r="AY1043" s="38"/>
      <c r="AZ1043" s="38"/>
      <c r="BA1043" s="38"/>
      <c r="BB1043" s="38"/>
    </row>
    <row r="1044" spans="1:54">
      <c r="A1044" s="38" t="s">
        <v>4835</v>
      </c>
      <c r="B1044" s="38" t="s">
        <v>1948</v>
      </c>
      <c r="C1044" s="38" t="s">
        <v>2026</v>
      </c>
      <c r="D1044" s="38" t="s">
        <v>3399</v>
      </c>
      <c r="E1044" s="38"/>
      <c r="F1044" s="38"/>
      <c r="G1044" s="38" t="s">
        <v>3997</v>
      </c>
      <c r="H1044" s="38" t="s">
        <v>3400</v>
      </c>
      <c r="I1044" s="38" t="s">
        <v>4818</v>
      </c>
      <c r="J1044" s="38"/>
      <c r="K1044" s="38">
        <v>350</v>
      </c>
      <c r="L1044" s="38">
        <v>58.1</v>
      </c>
      <c r="M1044" s="38"/>
      <c r="N1044" s="38">
        <v>27.5</v>
      </c>
      <c r="O1044" s="38">
        <v>3.6</v>
      </c>
      <c r="P1044" s="38"/>
      <c r="Q1044" s="38"/>
      <c r="R1044" s="38">
        <v>7.3</v>
      </c>
      <c r="S1044" s="38">
        <v>9.1999999999999998E-2</v>
      </c>
      <c r="T1044" s="38"/>
      <c r="U1044" s="38"/>
      <c r="V1044" s="38"/>
      <c r="W1044" s="38"/>
      <c r="X1044" s="38"/>
      <c r="Y1044" s="38"/>
      <c r="Z1044" s="38"/>
      <c r="AA1044" s="38"/>
      <c r="AB1044" s="38"/>
      <c r="AC1044" s="38"/>
      <c r="AD1044" s="38"/>
      <c r="AE1044" s="38"/>
      <c r="AF1044" s="38"/>
      <c r="AG1044" s="38"/>
      <c r="AH1044" s="38"/>
      <c r="AI1044" s="38"/>
      <c r="AJ1044" s="38"/>
      <c r="AK1044" s="38"/>
      <c r="AL1044" s="38"/>
      <c r="AM1044" s="38"/>
      <c r="AN1044" s="38"/>
      <c r="AO1044" s="38"/>
      <c r="AP1044" s="38"/>
      <c r="AQ1044" s="38"/>
      <c r="AR1044" s="38"/>
      <c r="AS1044" s="38"/>
      <c r="AT1044" s="38">
        <v>19600</v>
      </c>
      <c r="AU1044" s="38"/>
      <c r="AV1044" s="38"/>
      <c r="AW1044" s="38">
        <v>4400</v>
      </c>
      <c r="AX1044" s="38"/>
      <c r="AY1044" s="38"/>
      <c r="AZ1044" s="38"/>
      <c r="BA1044" s="38"/>
      <c r="BB1044" s="38"/>
    </row>
    <row r="1045" spans="1:54">
      <c r="A1045" s="38" t="s">
        <v>4291</v>
      </c>
      <c r="B1045" s="38" t="s">
        <v>1948</v>
      </c>
      <c r="C1045" s="38" t="s">
        <v>2026</v>
      </c>
      <c r="D1045" s="38" t="s">
        <v>3399</v>
      </c>
      <c r="E1045" s="38"/>
      <c r="F1045" s="38"/>
      <c r="G1045" s="38" t="s">
        <v>3997</v>
      </c>
      <c r="H1045" s="38" t="s">
        <v>3400</v>
      </c>
      <c r="I1045" s="38" t="s">
        <v>4818</v>
      </c>
      <c r="J1045" s="38"/>
      <c r="K1045" s="38">
        <v>450</v>
      </c>
      <c r="L1045" s="38">
        <v>67</v>
      </c>
      <c r="M1045" s="38"/>
      <c r="N1045" s="38">
        <v>22.5</v>
      </c>
      <c r="O1045" s="38">
        <v>2.8</v>
      </c>
      <c r="P1045" s="38"/>
      <c r="Q1045" s="38"/>
      <c r="R1045" s="38">
        <v>7.2</v>
      </c>
      <c r="S1045" s="38">
        <v>0.13</v>
      </c>
      <c r="T1045" s="38"/>
      <c r="U1045" s="38"/>
      <c r="V1045" s="38"/>
      <c r="W1045" s="38"/>
      <c r="X1045" s="38"/>
      <c r="Y1045" s="38"/>
      <c r="Z1045" s="38"/>
      <c r="AA1045" s="38"/>
      <c r="AB1045" s="38"/>
      <c r="AC1045" s="38"/>
      <c r="AD1045" s="38"/>
      <c r="AE1045" s="38"/>
      <c r="AF1045" s="38"/>
      <c r="AG1045" s="38"/>
      <c r="AH1045" s="38"/>
      <c r="AI1045" s="38"/>
      <c r="AJ1045" s="38"/>
      <c r="AK1045" s="38"/>
      <c r="AL1045" s="38"/>
      <c r="AM1045" s="38"/>
      <c r="AN1045" s="38"/>
      <c r="AO1045" s="38"/>
      <c r="AP1045" s="38"/>
      <c r="AQ1045" s="38"/>
      <c r="AR1045" s="38"/>
      <c r="AS1045" s="38"/>
      <c r="AT1045" s="38">
        <v>21900</v>
      </c>
      <c r="AU1045" s="38"/>
      <c r="AV1045" s="38"/>
      <c r="AW1045" s="38">
        <v>4900</v>
      </c>
      <c r="AX1045" s="38"/>
      <c r="AY1045" s="38"/>
      <c r="AZ1045" s="38"/>
      <c r="BA1045" s="38"/>
      <c r="BB1045" s="38"/>
    </row>
    <row r="1046" spans="1:54">
      <c r="A1046" s="38" t="s">
        <v>4037</v>
      </c>
      <c r="B1046" s="38" t="s">
        <v>1948</v>
      </c>
      <c r="C1046" s="38" t="s">
        <v>2026</v>
      </c>
      <c r="D1046" s="38" t="s">
        <v>3399</v>
      </c>
      <c r="E1046" s="38"/>
      <c r="F1046" s="38"/>
      <c r="G1046" s="38" t="s">
        <v>3997</v>
      </c>
      <c r="H1046" s="38" t="s">
        <v>3400</v>
      </c>
      <c r="I1046" s="38" t="s">
        <v>4818</v>
      </c>
      <c r="J1046" s="38"/>
      <c r="K1046" s="38">
        <v>550</v>
      </c>
      <c r="L1046" s="38">
        <v>73.2</v>
      </c>
      <c r="M1046" s="38"/>
      <c r="N1046" s="38">
        <v>20.100000000000001</v>
      </c>
      <c r="O1046" s="38">
        <v>2.2999999999999998</v>
      </c>
      <c r="P1046" s="38"/>
      <c r="Q1046" s="38"/>
      <c r="R1046" s="38">
        <v>7.1</v>
      </c>
      <c r="S1046" s="38">
        <v>0.21</v>
      </c>
      <c r="T1046" s="38"/>
      <c r="U1046" s="38"/>
      <c r="V1046" s="38"/>
      <c r="W1046" s="38"/>
      <c r="X1046" s="38"/>
      <c r="Y1046" s="38"/>
      <c r="Z1046" s="38"/>
      <c r="AA1046" s="38"/>
      <c r="AB1046" s="38"/>
      <c r="AC1046" s="38"/>
      <c r="AD1046" s="38"/>
      <c r="AE1046" s="38"/>
      <c r="AF1046" s="38"/>
      <c r="AG1046" s="38"/>
      <c r="AH1046" s="38"/>
      <c r="AI1046" s="38"/>
      <c r="AJ1046" s="38"/>
      <c r="AK1046" s="38"/>
      <c r="AL1046" s="38"/>
      <c r="AM1046" s="38"/>
      <c r="AN1046" s="38"/>
      <c r="AO1046" s="38"/>
      <c r="AP1046" s="38"/>
      <c r="AQ1046" s="38"/>
      <c r="AR1046" s="38"/>
      <c r="AS1046" s="38"/>
      <c r="AT1046" s="38">
        <v>23600</v>
      </c>
      <c r="AU1046" s="38"/>
      <c r="AV1046" s="38"/>
      <c r="AW1046" s="38">
        <v>4200</v>
      </c>
      <c r="AX1046" s="38"/>
      <c r="AY1046" s="38"/>
      <c r="AZ1046" s="38"/>
      <c r="BA1046" s="38"/>
      <c r="BB1046" s="38"/>
    </row>
    <row r="1047" spans="1:54">
      <c r="A1047" s="38" t="s">
        <v>3958</v>
      </c>
      <c r="B1047" s="38" t="s">
        <v>3409</v>
      </c>
      <c r="C1047" s="38" t="s">
        <v>4492</v>
      </c>
      <c r="D1047" s="38" t="s">
        <v>3399</v>
      </c>
      <c r="E1047" s="38"/>
      <c r="F1047" s="38"/>
      <c r="G1047" s="38" t="s">
        <v>3844</v>
      </c>
      <c r="H1047" s="38" t="s">
        <v>3400</v>
      </c>
      <c r="I1047" s="38" t="s">
        <v>4836</v>
      </c>
      <c r="J1047" s="38"/>
      <c r="K1047" s="38">
        <v>650</v>
      </c>
      <c r="L1047" s="38">
        <v>21.2</v>
      </c>
      <c r="M1047" s="38"/>
      <c r="N1047" s="38">
        <v>76.099999999999994</v>
      </c>
      <c r="O1047" s="38">
        <v>1.5</v>
      </c>
      <c r="P1047" s="38">
        <v>0.8</v>
      </c>
      <c r="Q1047" s="38">
        <v>0.4</v>
      </c>
      <c r="R1047" s="38">
        <v>10.8</v>
      </c>
      <c r="S1047" s="38">
        <v>0.2</v>
      </c>
      <c r="T1047" s="38"/>
      <c r="U1047" s="38"/>
      <c r="V1047" s="38"/>
      <c r="W1047" s="38"/>
      <c r="X1047" s="38"/>
      <c r="Y1047" s="38"/>
      <c r="Z1047" s="38"/>
      <c r="AA1047" s="38"/>
      <c r="AB1047" s="38"/>
      <c r="AC1047" s="38">
        <v>11</v>
      </c>
      <c r="AD1047" s="38"/>
      <c r="AE1047" s="38"/>
      <c r="AF1047" s="38"/>
      <c r="AG1047" s="38"/>
      <c r="AH1047" s="38"/>
      <c r="AI1047" s="38">
        <v>34</v>
      </c>
      <c r="AJ1047" s="38"/>
      <c r="AK1047" s="38"/>
      <c r="AL1047" s="38"/>
      <c r="AM1047" s="38"/>
      <c r="AN1047" s="38">
        <v>58</v>
      </c>
      <c r="AO1047" s="38"/>
      <c r="AP1047" s="38"/>
      <c r="AQ1047" s="38">
        <v>42</v>
      </c>
      <c r="AR1047" s="38"/>
      <c r="AS1047" s="38"/>
      <c r="AT1047" s="38">
        <v>2100</v>
      </c>
      <c r="AU1047" s="38">
        <v>7400</v>
      </c>
      <c r="AV1047" s="38">
        <v>1700</v>
      </c>
      <c r="AW1047" s="38">
        <v>18000</v>
      </c>
      <c r="AX1047" s="38"/>
      <c r="AY1047" s="38">
        <v>822</v>
      </c>
      <c r="AZ1047" s="38"/>
      <c r="BA1047" s="38"/>
      <c r="BB1047" s="38"/>
    </row>
    <row r="1048" spans="1:54">
      <c r="A1048" s="38" t="s">
        <v>3952</v>
      </c>
      <c r="B1048" s="38" t="s">
        <v>3424</v>
      </c>
      <c r="C1048" s="38"/>
      <c r="D1048" s="38" t="s">
        <v>3399</v>
      </c>
      <c r="E1048" s="38"/>
      <c r="F1048" s="38"/>
      <c r="G1048" s="38" t="s">
        <v>4660</v>
      </c>
      <c r="H1048" s="38" t="s">
        <v>3400</v>
      </c>
      <c r="I1048" s="38" t="s">
        <v>4836</v>
      </c>
      <c r="J1048" s="38"/>
      <c r="K1048" s="38">
        <v>650</v>
      </c>
      <c r="L1048" s="38">
        <v>23.5</v>
      </c>
      <c r="M1048" s="38"/>
      <c r="N1048" s="38">
        <v>73.599999999999994</v>
      </c>
      <c r="O1048" s="38">
        <v>1.4</v>
      </c>
      <c r="P1048" s="38">
        <v>1.1000000000000001</v>
      </c>
      <c r="Q1048" s="38">
        <v>0.4</v>
      </c>
      <c r="R1048" s="38">
        <v>11</v>
      </c>
      <c r="S1048" s="38">
        <v>3</v>
      </c>
      <c r="T1048" s="38"/>
      <c r="U1048" s="38"/>
      <c r="V1048" s="38"/>
      <c r="W1048" s="38"/>
      <c r="X1048" s="38"/>
      <c r="Y1048" s="38"/>
      <c r="Z1048" s="38"/>
      <c r="AA1048" s="38"/>
      <c r="AB1048" s="38"/>
      <c r="AC1048" s="38">
        <v>15</v>
      </c>
      <c r="AD1048" s="38"/>
      <c r="AE1048" s="38"/>
      <c r="AF1048" s="38"/>
      <c r="AG1048" s="38"/>
      <c r="AH1048" s="38"/>
      <c r="AI1048" s="38">
        <v>53</v>
      </c>
      <c r="AJ1048" s="38"/>
      <c r="AK1048" s="38"/>
      <c r="AL1048" s="38"/>
      <c r="AM1048" s="38"/>
      <c r="AN1048" s="38">
        <v>62</v>
      </c>
      <c r="AO1048" s="38"/>
      <c r="AP1048" s="38"/>
      <c r="AQ1048" s="38">
        <v>38</v>
      </c>
      <c r="AR1048" s="38"/>
      <c r="AS1048" s="38"/>
      <c r="AT1048" s="38">
        <v>2400</v>
      </c>
      <c r="AU1048" s="38">
        <v>9600</v>
      </c>
      <c r="AV1048" s="38">
        <v>5300</v>
      </c>
      <c r="AW1048" s="38">
        <v>23000</v>
      </c>
      <c r="AX1048" s="38"/>
      <c r="AY1048" s="38">
        <v>754</v>
      </c>
      <c r="AZ1048" s="38"/>
      <c r="BA1048" s="38"/>
      <c r="BB1048" s="38"/>
    </row>
    <row r="1049" spans="1:54">
      <c r="A1049" s="38" t="s">
        <v>4837</v>
      </c>
      <c r="B1049" s="38" t="s">
        <v>3455</v>
      </c>
      <c r="C1049" s="38" t="s">
        <v>4838</v>
      </c>
      <c r="D1049" s="38" t="s">
        <v>3399</v>
      </c>
      <c r="E1049" s="38"/>
      <c r="F1049" s="38"/>
      <c r="G1049" s="38" t="s">
        <v>4660</v>
      </c>
      <c r="H1049" s="38" t="s">
        <v>3400</v>
      </c>
      <c r="I1049" s="38" t="s">
        <v>4836</v>
      </c>
      <c r="J1049" s="38"/>
      <c r="K1049" s="38">
        <v>650</v>
      </c>
      <c r="L1049" s="38">
        <v>14.5</v>
      </c>
      <c r="M1049" s="38"/>
      <c r="N1049" s="38">
        <v>82.1</v>
      </c>
      <c r="O1049" s="38">
        <v>0.42</v>
      </c>
      <c r="P1049" s="38">
        <v>1.9</v>
      </c>
      <c r="Q1049" s="38">
        <v>1</v>
      </c>
      <c r="R1049" s="38">
        <v>5.8</v>
      </c>
      <c r="S1049" s="38">
        <v>0.89</v>
      </c>
      <c r="T1049" s="38"/>
      <c r="U1049" s="38"/>
      <c r="V1049" s="38"/>
      <c r="W1049" s="38"/>
      <c r="X1049" s="38"/>
      <c r="Y1049" s="38"/>
      <c r="Z1049" s="38"/>
      <c r="AA1049" s="38"/>
      <c r="AB1049" s="38"/>
      <c r="AC1049" s="38">
        <v>7.5</v>
      </c>
      <c r="AD1049" s="38"/>
      <c r="AE1049" s="38"/>
      <c r="AF1049" s="38"/>
      <c r="AG1049" s="38"/>
      <c r="AH1049" s="38"/>
      <c r="AI1049" s="38">
        <v>55</v>
      </c>
      <c r="AJ1049" s="38"/>
      <c r="AK1049" s="38"/>
      <c r="AL1049" s="38"/>
      <c r="AM1049" s="38"/>
      <c r="AN1049" s="38">
        <v>37</v>
      </c>
      <c r="AO1049" s="38"/>
      <c r="AP1049" s="38"/>
      <c r="AQ1049" s="38">
        <v>48</v>
      </c>
      <c r="AR1049" s="38"/>
      <c r="AS1049" s="38"/>
      <c r="AT1049" s="38">
        <v>300</v>
      </c>
      <c r="AU1049" s="38">
        <v>2700</v>
      </c>
      <c r="AV1049" s="38">
        <v>500</v>
      </c>
      <c r="AW1049" s="38">
        <v>3400</v>
      </c>
      <c r="AX1049" s="38"/>
      <c r="AY1049" s="38">
        <v>560</v>
      </c>
      <c r="AZ1049" s="38"/>
      <c r="BA1049" s="38"/>
      <c r="BB1049" s="38"/>
    </row>
    <row r="1050" spans="1:54">
      <c r="A1050" s="38" t="s">
        <v>4839</v>
      </c>
      <c r="B1050" s="38" t="s">
        <v>3409</v>
      </c>
      <c r="C1050" s="38"/>
      <c r="D1050" s="38" t="s">
        <v>3399</v>
      </c>
      <c r="E1050" s="38"/>
      <c r="F1050" s="38"/>
      <c r="G1050" s="38" t="s">
        <v>3997</v>
      </c>
      <c r="H1050" s="38" t="s">
        <v>3400</v>
      </c>
      <c r="I1050" s="38" t="s">
        <v>4840</v>
      </c>
      <c r="J1050" s="38"/>
      <c r="K1050" s="38">
        <v>200</v>
      </c>
      <c r="L1050" s="38">
        <v>5.7</v>
      </c>
      <c r="M1050" s="38"/>
      <c r="N1050" s="38">
        <v>47.2</v>
      </c>
      <c r="O1050" s="38">
        <v>0.61</v>
      </c>
      <c r="P1050" s="38">
        <v>7.11</v>
      </c>
      <c r="Q1050" s="38">
        <v>45.1</v>
      </c>
      <c r="R1050" s="38"/>
      <c r="S1050" s="38"/>
      <c r="T1050" s="38"/>
      <c r="U1050" s="38"/>
      <c r="V1050" s="38"/>
      <c r="W1050" s="38"/>
      <c r="X1050" s="38"/>
      <c r="Y1050" s="38"/>
      <c r="Z1050" s="38"/>
      <c r="AA1050" s="38"/>
      <c r="AB1050" s="38"/>
      <c r="AC1050" s="38"/>
      <c r="AD1050" s="38"/>
      <c r="AE1050" s="38"/>
      <c r="AF1050" s="38"/>
      <c r="AG1050" s="38"/>
      <c r="AH1050" s="38"/>
      <c r="AI1050" s="38"/>
      <c r="AJ1050" s="38"/>
      <c r="AK1050" s="38"/>
      <c r="AL1050" s="38"/>
      <c r="AM1050" s="38"/>
      <c r="AN1050" s="38"/>
      <c r="AO1050" s="38"/>
      <c r="AP1050" s="38">
        <v>70.7</v>
      </c>
      <c r="AQ1050" s="38">
        <v>3.3</v>
      </c>
      <c r="AR1050" s="38" t="s">
        <v>3792</v>
      </c>
      <c r="AS1050" s="38"/>
      <c r="AT1050" s="38"/>
      <c r="AU1050" s="38"/>
      <c r="AV1050" s="38"/>
      <c r="AW1050" s="38"/>
      <c r="AX1050" s="38"/>
      <c r="AY1050" s="38"/>
      <c r="AZ1050" s="38"/>
      <c r="BA1050" s="38"/>
      <c r="BB1050" s="38"/>
    </row>
    <row r="1051" spans="1:54">
      <c r="A1051" s="38" t="s">
        <v>4841</v>
      </c>
      <c r="B1051" s="38" t="s">
        <v>3409</v>
      </c>
      <c r="C1051" s="38"/>
      <c r="D1051" s="38" t="s">
        <v>3399</v>
      </c>
      <c r="E1051" s="38"/>
      <c r="F1051" s="38"/>
      <c r="G1051" s="38" t="s">
        <v>3997</v>
      </c>
      <c r="H1051" s="38" t="s">
        <v>3400</v>
      </c>
      <c r="I1051" s="38" t="s">
        <v>3410</v>
      </c>
      <c r="J1051" s="38"/>
      <c r="K1051" s="38">
        <v>300</v>
      </c>
      <c r="L1051" s="38">
        <v>9.4</v>
      </c>
      <c r="M1051" s="38"/>
      <c r="N1051" s="38">
        <v>59.7</v>
      </c>
      <c r="O1051" s="38">
        <v>1.02</v>
      </c>
      <c r="P1051" s="38">
        <v>6.64</v>
      </c>
      <c r="Q1051" s="38">
        <v>32.700000000000003</v>
      </c>
      <c r="R1051" s="38"/>
      <c r="S1051" s="38"/>
      <c r="T1051" s="38"/>
      <c r="U1051" s="38"/>
      <c r="V1051" s="38"/>
      <c r="W1051" s="38"/>
      <c r="X1051" s="38"/>
      <c r="Y1051" s="38"/>
      <c r="Z1051" s="38"/>
      <c r="AA1051" s="38"/>
      <c r="AB1051" s="38"/>
      <c r="AC1051" s="38"/>
      <c r="AD1051" s="38"/>
      <c r="AE1051" s="38"/>
      <c r="AF1051" s="38"/>
      <c r="AG1051" s="38"/>
      <c r="AH1051" s="38"/>
      <c r="AI1051" s="38"/>
      <c r="AJ1051" s="38"/>
      <c r="AK1051" s="38"/>
      <c r="AL1051" s="38"/>
      <c r="AM1051" s="38"/>
      <c r="AN1051" s="38"/>
      <c r="AO1051" s="38"/>
      <c r="AP1051" s="38">
        <v>54.4</v>
      </c>
      <c r="AQ1051" s="38">
        <v>4.5</v>
      </c>
      <c r="AR1051" s="38" t="s">
        <v>3792</v>
      </c>
      <c r="AS1051" s="38"/>
      <c r="AT1051" s="38"/>
      <c r="AU1051" s="38"/>
      <c r="AV1051" s="38"/>
      <c r="AW1051" s="38"/>
      <c r="AX1051" s="38"/>
      <c r="AY1051" s="38"/>
      <c r="AZ1051" s="38"/>
      <c r="BA1051" s="38"/>
      <c r="BB1051" s="38"/>
    </row>
    <row r="1052" spans="1:54">
      <c r="A1052" s="38" t="s">
        <v>4842</v>
      </c>
      <c r="B1052" s="38" t="s">
        <v>3409</v>
      </c>
      <c r="C1052" s="38"/>
      <c r="D1052" s="38" t="s">
        <v>3399</v>
      </c>
      <c r="E1052" s="38"/>
      <c r="F1052" s="38"/>
      <c r="G1052" s="38" t="s">
        <v>3997</v>
      </c>
      <c r="H1052" s="38" t="s">
        <v>3400</v>
      </c>
      <c r="I1052" s="38" t="s">
        <v>3410</v>
      </c>
      <c r="J1052" s="38"/>
      <c r="K1052" s="38">
        <v>400</v>
      </c>
      <c r="L1052" s="38">
        <v>16.3</v>
      </c>
      <c r="M1052" s="38"/>
      <c r="N1052" s="38">
        <v>77.3</v>
      </c>
      <c r="O1052" s="38">
        <v>1.24</v>
      </c>
      <c r="P1052" s="38">
        <v>4.7</v>
      </c>
      <c r="Q1052" s="38">
        <v>16.7</v>
      </c>
      <c r="R1052" s="38"/>
      <c r="S1052" s="38"/>
      <c r="T1052" s="38"/>
      <c r="U1052" s="38"/>
      <c r="V1052" s="38"/>
      <c r="W1052" s="38"/>
      <c r="X1052" s="38"/>
      <c r="Y1052" s="38"/>
      <c r="Z1052" s="38"/>
      <c r="AA1052" s="38"/>
      <c r="AB1052" s="38"/>
      <c r="AC1052" s="38"/>
      <c r="AD1052" s="38"/>
      <c r="AE1052" s="38"/>
      <c r="AF1052" s="38"/>
      <c r="AG1052" s="38"/>
      <c r="AH1052" s="38"/>
      <c r="AI1052" s="38"/>
      <c r="AJ1052" s="38"/>
      <c r="AK1052" s="38"/>
      <c r="AL1052" s="38"/>
      <c r="AM1052" s="38"/>
      <c r="AN1052" s="38"/>
      <c r="AO1052" s="38"/>
      <c r="AP1052" s="38">
        <v>26.8</v>
      </c>
      <c r="AQ1052" s="38">
        <v>8.6999999999999993</v>
      </c>
      <c r="AR1052" s="38" t="s">
        <v>3792</v>
      </c>
      <c r="AS1052" s="38"/>
      <c r="AT1052" s="38"/>
      <c r="AU1052" s="38"/>
      <c r="AV1052" s="38"/>
      <c r="AW1052" s="38"/>
      <c r="AX1052" s="38"/>
      <c r="AY1052" s="38"/>
      <c r="AZ1052" s="38"/>
      <c r="BA1052" s="38"/>
      <c r="BB1052" s="38"/>
    </row>
    <row r="1053" spans="1:54">
      <c r="A1053" s="38" t="s">
        <v>4843</v>
      </c>
      <c r="B1053" s="38" t="s">
        <v>3409</v>
      </c>
      <c r="C1053" s="38"/>
      <c r="D1053" s="38" t="s">
        <v>3399</v>
      </c>
      <c r="E1053" s="38"/>
      <c r="F1053" s="38"/>
      <c r="G1053" s="38" t="s">
        <v>3997</v>
      </c>
      <c r="H1053" s="38" t="s">
        <v>3400</v>
      </c>
      <c r="I1053" s="38" t="s">
        <v>3410</v>
      </c>
      <c r="J1053" s="38"/>
      <c r="K1053" s="38">
        <v>500</v>
      </c>
      <c r="L1053" s="38">
        <v>15.4</v>
      </c>
      <c r="M1053" s="38"/>
      <c r="N1053" s="38">
        <v>82.2</v>
      </c>
      <c r="O1053" s="38">
        <v>1.0900000000000001</v>
      </c>
      <c r="P1053" s="38">
        <v>3.32</v>
      </c>
      <c r="Q1053" s="38">
        <v>13.4</v>
      </c>
      <c r="R1053" s="38"/>
      <c r="S1053" s="38"/>
      <c r="T1053" s="38"/>
      <c r="U1053" s="38"/>
      <c r="V1053" s="38"/>
      <c r="W1053" s="38"/>
      <c r="X1053" s="38"/>
      <c r="Y1053" s="38"/>
      <c r="Z1053" s="38"/>
      <c r="AA1053" s="38"/>
      <c r="AB1053" s="38"/>
      <c r="AC1053" s="38"/>
      <c r="AD1053" s="38"/>
      <c r="AE1053" s="38"/>
      <c r="AF1053" s="38"/>
      <c r="AG1053" s="38"/>
      <c r="AH1053" s="38"/>
      <c r="AI1053" s="38"/>
      <c r="AJ1053" s="38"/>
      <c r="AK1053" s="38"/>
      <c r="AL1053" s="38"/>
      <c r="AM1053" s="38"/>
      <c r="AN1053" s="38"/>
      <c r="AO1053" s="38"/>
      <c r="AP1053" s="38">
        <v>20.3</v>
      </c>
      <c r="AQ1053" s="38">
        <v>50</v>
      </c>
      <c r="AR1053" s="38" t="s">
        <v>3792</v>
      </c>
      <c r="AS1053" s="38"/>
      <c r="AT1053" s="38"/>
      <c r="AU1053" s="38"/>
      <c r="AV1053" s="38"/>
      <c r="AW1053" s="38"/>
      <c r="AX1053" s="38"/>
      <c r="AY1053" s="38"/>
      <c r="AZ1053" s="38"/>
      <c r="BA1053" s="38"/>
      <c r="BB1053" s="38"/>
    </row>
    <row r="1054" spans="1:54">
      <c r="A1054" s="38" t="s">
        <v>4844</v>
      </c>
      <c r="B1054" s="38" t="s">
        <v>3409</v>
      </c>
      <c r="C1054" s="38"/>
      <c r="D1054" s="38" t="s">
        <v>3399</v>
      </c>
      <c r="E1054" s="38"/>
      <c r="F1054" s="38"/>
      <c r="G1054" s="38" t="s">
        <v>3997</v>
      </c>
      <c r="H1054" s="38" t="s">
        <v>3400</v>
      </c>
      <c r="I1054" s="38" t="s">
        <v>3410</v>
      </c>
      <c r="J1054" s="38"/>
      <c r="K1054" s="38">
        <v>600</v>
      </c>
      <c r="L1054" s="38">
        <v>18.899999999999999</v>
      </c>
      <c r="M1054" s="38"/>
      <c r="N1054" s="38">
        <v>89</v>
      </c>
      <c r="O1054" s="38">
        <v>0.99</v>
      </c>
      <c r="P1054" s="38">
        <v>2.4700000000000002</v>
      </c>
      <c r="Q1054" s="38">
        <v>7.6</v>
      </c>
      <c r="R1054" s="38"/>
      <c r="S1054" s="38"/>
      <c r="T1054" s="38"/>
      <c r="U1054" s="38"/>
      <c r="V1054" s="38"/>
      <c r="W1054" s="38"/>
      <c r="X1054" s="38"/>
      <c r="Y1054" s="38"/>
      <c r="Z1054" s="38"/>
      <c r="AA1054" s="38"/>
      <c r="AB1054" s="38"/>
      <c r="AC1054" s="38"/>
      <c r="AD1054" s="38"/>
      <c r="AE1054" s="38"/>
      <c r="AF1054" s="38"/>
      <c r="AG1054" s="38"/>
      <c r="AH1054" s="38"/>
      <c r="AI1054" s="38"/>
      <c r="AJ1054" s="38"/>
      <c r="AK1054" s="38"/>
      <c r="AL1054" s="38"/>
      <c r="AM1054" s="38"/>
      <c r="AN1054" s="38"/>
      <c r="AO1054" s="38"/>
      <c r="AP1054" s="38">
        <v>13.5</v>
      </c>
      <c r="AQ1054" s="38">
        <v>75</v>
      </c>
      <c r="AR1054" s="38" t="s">
        <v>3792</v>
      </c>
      <c r="AS1054" s="38"/>
      <c r="AT1054" s="38"/>
      <c r="AU1054" s="38"/>
      <c r="AV1054" s="38"/>
      <c r="AW1054" s="38"/>
      <c r="AX1054" s="38"/>
      <c r="AY1054" s="38"/>
      <c r="AZ1054" s="38"/>
      <c r="BA1054" s="38"/>
      <c r="BB1054" s="38"/>
    </row>
    <row r="1055" spans="1:54">
      <c r="A1055" s="38" t="s">
        <v>4845</v>
      </c>
      <c r="B1055" s="38" t="s">
        <v>3409</v>
      </c>
      <c r="C1055" s="38"/>
      <c r="D1055" s="38" t="s">
        <v>3399</v>
      </c>
      <c r="E1055" s="38"/>
      <c r="F1055" s="38"/>
      <c r="G1055" s="38" t="s">
        <v>3997</v>
      </c>
      <c r="H1055" s="38" t="s">
        <v>3400</v>
      </c>
      <c r="I1055" s="38" t="s">
        <v>3410</v>
      </c>
      <c r="J1055" s="38"/>
      <c r="K1055" s="38">
        <v>700</v>
      </c>
      <c r="L1055" s="38">
        <v>19.3</v>
      </c>
      <c r="M1055" s="38"/>
      <c r="N1055" s="38">
        <v>94.2</v>
      </c>
      <c r="O1055" s="38">
        <v>0.7</v>
      </c>
      <c r="P1055" s="38">
        <v>1.53</v>
      </c>
      <c r="Q1055" s="38">
        <v>3.6</v>
      </c>
      <c r="R1055" s="38"/>
      <c r="S1055" s="38"/>
      <c r="T1055" s="38"/>
      <c r="U1055" s="38"/>
      <c r="V1055" s="38"/>
      <c r="W1055" s="38"/>
      <c r="X1055" s="38"/>
      <c r="Y1055" s="38"/>
      <c r="Z1055" s="38"/>
      <c r="AA1055" s="38"/>
      <c r="AB1055" s="38"/>
      <c r="AC1055" s="38"/>
      <c r="AD1055" s="38"/>
      <c r="AE1055" s="38"/>
      <c r="AF1055" s="38"/>
      <c r="AG1055" s="38"/>
      <c r="AH1055" s="38"/>
      <c r="AI1055" s="38"/>
      <c r="AJ1055" s="38"/>
      <c r="AK1055" s="38"/>
      <c r="AL1055" s="38"/>
      <c r="AM1055" s="38"/>
      <c r="AN1055" s="38"/>
      <c r="AO1055" s="38"/>
      <c r="AP1055" s="38">
        <v>9.1</v>
      </c>
      <c r="AQ1055" s="38">
        <v>139</v>
      </c>
      <c r="AR1055" s="38" t="s">
        <v>3792</v>
      </c>
      <c r="AS1055" s="38"/>
      <c r="AT1055" s="38"/>
      <c r="AU1055" s="38"/>
      <c r="AV1055" s="38"/>
      <c r="AW1055" s="38"/>
      <c r="AX1055" s="38"/>
      <c r="AY1055" s="38"/>
      <c r="AZ1055" s="38"/>
      <c r="BA1055" s="38"/>
      <c r="BB1055" s="38"/>
    </row>
    <row r="1056" spans="1:54">
      <c r="A1056" s="38" t="s">
        <v>4846</v>
      </c>
      <c r="B1056" s="38" t="s">
        <v>3487</v>
      </c>
      <c r="C1056" s="38"/>
      <c r="D1056" s="38" t="s">
        <v>3399</v>
      </c>
      <c r="E1056" s="38" t="s">
        <v>4847</v>
      </c>
      <c r="F1056" s="38" t="s">
        <v>4848</v>
      </c>
      <c r="G1056" s="38" t="s">
        <v>3886</v>
      </c>
      <c r="H1056" s="38" t="s">
        <v>3400</v>
      </c>
      <c r="I1056" s="38" t="s">
        <v>4849</v>
      </c>
      <c r="J1056" s="38"/>
      <c r="K1056" s="38"/>
      <c r="L1056" s="38"/>
      <c r="M1056" s="38"/>
      <c r="N1056" s="38"/>
      <c r="O1056" s="38"/>
      <c r="P1056" s="38"/>
      <c r="Q1056" s="38"/>
      <c r="R1056" s="38"/>
      <c r="S1056" s="38"/>
      <c r="T1056" s="38"/>
      <c r="U1056" s="38"/>
      <c r="V1056" s="38"/>
      <c r="W1056" s="38"/>
      <c r="X1056" s="38"/>
      <c r="Y1056" s="38"/>
      <c r="Z1056" s="38"/>
      <c r="AA1056" s="38"/>
      <c r="AB1056" s="38"/>
      <c r="AC1056" s="38"/>
      <c r="AD1056" s="38"/>
      <c r="AE1056" s="38"/>
      <c r="AF1056" s="38"/>
      <c r="AG1056" s="38"/>
      <c r="AH1056" s="38"/>
      <c r="AI1056" s="38"/>
      <c r="AJ1056" s="38"/>
      <c r="AK1056" s="38"/>
      <c r="AL1056" s="38"/>
      <c r="AM1056" s="38"/>
      <c r="AN1056" s="38"/>
      <c r="AO1056" s="38"/>
      <c r="AP1056" s="38"/>
      <c r="AQ1056" s="38"/>
      <c r="AR1056" s="38"/>
      <c r="AS1056" s="38"/>
      <c r="AT1056" s="38"/>
      <c r="AU1056" s="38"/>
      <c r="AV1056" s="38"/>
      <c r="AW1056" s="38"/>
      <c r="AX1056" s="38"/>
      <c r="AY1056" s="38"/>
      <c r="AZ1056" s="38"/>
      <c r="BA1056" s="38"/>
      <c r="BB1056" s="38"/>
    </row>
    <row r="1057" spans="1:54">
      <c r="A1057" s="38" t="s">
        <v>4850</v>
      </c>
      <c r="B1057" s="38" t="s">
        <v>3471</v>
      </c>
      <c r="C1057" s="38" t="s">
        <v>4851</v>
      </c>
      <c r="D1057" s="38" t="s">
        <v>3351</v>
      </c>
      <c r="E1057" s="38" t="s">
        <v>4852</v>
      </c>
      <c r="F1057" s="38" t="s">
        <v>4853</v>
      </c>
      <c r="G1057" s="38" t="s">
        <v>4854</v>
      </c>
      <c r="H1057" s="38" t="s">
        <v>3571</v>
      </c>
      <c r="I1057" s="38"/>
      <c r="J1057" s="38">
        <v>6</v>
      </c>
      <c r="K1057" s="38">
        <v>340</v>
      </c>
      <c r="L1057" s="38">
        <v>3</v>
      </c>
      <c r="M1057" s="38">
        <v>88</v>
      </c>
      <c r="N1057" s="38">
        <v>788</v>
      </c>
      <c r="O1057" s="38">
        <v>1</v>
      </c>
      <c r="P1057" s="38">
        <v>4</v>
      </c>
      <c r="Q1057" s="38">
        <v>10</v>
      </c>
      <c r="R1057" s="38">
        <v>5</v>
      </c>
      <c r="S1057" s="38">
        <v>0</v>
      </c>
      <c r="T1057" s="38">
        <v>30</v>
      </c>
      <c r="U1057" s="38" t="s">
        <v>3574</v>
      </c>
      <c r="V1057" s="38"/>
      <c r="W1057" s="38"/>
      <c r="X1057" s="38"/>
      <c r="Y1057" s="38"/>
      <c r="Z1057" s="38"/>
      <c r="AA1057" s="38"/>
      <c r="AB1057" s="38"/>
      <c r="AC1057" s="38"/>
      <c r="AD1057" s="38"/>
      <c r="AE1057" s="38"/>
      <c r="AF1057" s="38"/>
      <c r="AG1057" s="38"/>
      <c r="AH1057" s="38"/>
      <c r="AI1057" s="38"/>
      <c r="AJ1057" s="38"/>
      <c r="AK1057" s="38"/>
      <c r="AL1057" s="38"/>
      <c r="AM1057" s="38"/>
      <c r="AN1057" s="38"/>
      <c r="AO1057" s="38"/>
      <c r="AP1057" s="38"/>
      <c r="AQ1057" s="38"/>
      <c r="AR1057" s="38"/>
      <c r="AS1057" s="38"/>
      <c r="AT1057" s="38"/>
      <c r="AU1057" s="38"/>
      <c r="AV1057" s="38"/>
      <c r="AW1057" s="38"/>
      <c r="AX1057" s="38"/>
      <c r="AY1057" s="38"/>
      <c r="AZ1057" s="38"/>
      <c r="BA1057" s="38"/>
      <c r="BB1057" s="38"/>
    </row>
    <row r="1058" spans="1:54">
      <c r="A1058" s="38" t="s">
        <v>4855</v>
      </c>
      <c r="B1058" s="38" t="s">
        <v>3455</v>
      </c>
      <c r="C1058" s="38" t="s">
        <v>4856</v>
      </c>
      <c r="D1058" s="38" t="s">
        <v>3399</v>
      </c>
      <c r="E1058" s="38" t="s">
        <v>4857</v>
      </c>
      <c r="F1058" s="38"/>
      <c r="G1058" s="38" t="s">
        <v>4858</v>
      </c>
      <c r="H1058" s="38" t="s">
        <v>3400</v>
      </c>
      <c r="I1058" s="38" t="s">
        <v>4859</v>
      </c>
      <c r="J1058" s="38"/>
      <c r="K1058" s="38">
        <v>300</v>
      </c>
      <c r="L1058" s="38"/>
      <c r="M1058" s="38"/>
      <c r="N1058" s="38">
        <v>59.22</v>
      </c>
      <c r="O1058" s="38">
        <v>1.33</v>
      </c>
      <c r="P1058" s="38"/>
      <c r="Q1058" s="38"/>
      <c r="R1058" s="38">
        <v>6.47</v>
      </c>
      <c r="S1058" s="38">
        <v>1.33</v>
      </c>
      <c r="T1058" s="38"/>
      <c r="U1058" s="38"/>
      <c r="V1058" s="38"/>
      <c r="W1058" s="38"/>
      <c r="X1058" s="38"/>
      <c r="Y1058" s="38"/>
      <c r="Z1058" s="38"/>
      <c r="AA1058" s="38"/>
      <c r="AB1058" s="38"/>
      <c r="AC1058" s="38"/>
      <c r="AD1058" s="38"/>
      <c r="AE1058" s="38"/>
      <c r="AF1058" s="38"/>
      <c r="AG1058" s="38"/>
      <c r="AH1058" s="38"/>
      <c r="AI1058" s="38"/>
      <c r="AJ1058" s="38"/>
      <c r="AK1058" s="38"/>
      <c r="AL1058" s="38"/>
      <c r="AM1058" s="38"/>
      <c r="AN1058" s="38"/>
      <c r="AO1058" s="38"/>
      <c r="AP1058" s="38"/>
      <c r="AQ1058" s="38">
        <v>3.1</v>
      </c>
      <c r="AR1058" s="38" t="s">
        <v>4860</v>
      </c>
      <c r="AS1058" s="38"/>
      <c r="AT1058" s="38"/>
      <c r="AU1058" s="38"/>
      <c r="AV1058" s="38"/>
      <c r="AW1058" s="38"/>
      <c r="AX1058" s="38"/>
      <c r="AY1058" s="38"/>
      <c r="AZ1058" s="38"/>
      <c r="BA1058" s="38"/>
      <c r="BB1058" s="38"/>
    </row>
    <row r="1059" spans="1:54">
      <c r="A1059" s="38" t="s">
        <v>4861</v>
      </c>
      <c r="B1059" s="38" t="s">
        <v>3455</v>
      </c>
      <c r="C1059" s="38" t="s">
        <v>4856</v>
      </c>
      <c r="D1059" s="38" t="s">
        <v>3399</v>
      </c>
      <c r="E1059" s="38" t="s">
        <v>4862</v>
      </c>
      <c r="F1059" s="38"/>
      <c r="G1059" s="38" t="s">
        <v>4858</v>
      </c>
      <c r="H1059" s="38" t="s">
        <v>3400</v>
      </c>
      <c r="I1059" s="38" t="s">
        <v>4859</v>
      </c>
      <c r="J1059" s="38"/>
      <c r="K1059" s="38">
        <v>600</v>
      </c>
      <c r="L1059" s="38"/>
      <c r="M1059" s="38"/>
      <c r="N1059" s="38">
        <v>64.319999999999993</v>
      </c>
      <c r="O1059" s="38">
        <v>0.67</v>
      </c>
      <c r="P1059" s="38"/>
      <c r="Q1059" s="38"/>
      <c r="R1059" s="38">
        <v>10.130000000000001</v>
      </c>
      <c r="S1059" s="38">
        <v>2.36</v>
      </c>
      <c r="T1059" s="38"/>
      <c r="U1059" s="38"/>
      <c r="V1059" s="38"/>
      <c r="W1059" s="38"/>
      <c r="X1059" s="38"/>
      <c r="Y1059" s="38"/>
      <c r="Z1059" s="38"/>
      <c r="AA1059" s="38"/>
      <c r="AB1059" s="38"/>
      <c r="AC1059" s="38"/>
      <c r="AD1059" s="38"/>
      <c r="AE1059" s="38"/>
      <c r="AF1059" s="38"/>
      <c r="AG1059" s="38"/>
      <c r="AH1059" s="38"/>
      <c r="AI1059" s="38"/>
      <c r="AJ1059" s="38"/>
      <c r="AK1059" s="38"/>
      <c r="AL1059" s="38"/>
      <c r="AM1059" s="38"/>
      <c r="AN1059" s="38"/>
      <c r="AO1059" s="38"/>
      <c r="AP1059" s="38"/>
      <c r="AQ1059" s="38">
        <v>196.4</v>
      </c>
      <c r="AR1059" s="38" t="s">
        <v>4860</v>
      </c>
      <c r="AS1059" s="38"/>
      <c r="AT1059" s="38"/>
      <c r="AU1059" s="38"/>
      <c r="AV1059" s="38"/>
      <c r="AW1059" s="38"/>
      <c r="AX1059" s="38"/>
      <c r="AY1059" s="38"/>
      <c r="AZ1059" s="38"/>
      <c r="BA1059" s="38"/>
      <c r="BB1059" s="38"/>
    </row>
    <row r="1060" spans="1:54">
      <c r="A1060" s="38" t="s">
        <v>4863</v>
      </c>
      <c r="B1060" s="38" t="s">
        <v>3455</v>
      </c>
      <c r="C1060" s="38" t="s">
        <v>4864</v>
      </c>
      <c r="D1060" s="38" t="s">
        <v>3399</v>
      </c>
      <c r="E1060" s="38" t="s">
        <v>4857</v>
      </c>
      <c r="F1060" s="38"/>
      <c r="G1060" s="38" t="s">
        <v>4858</v>
      </c>
      <c r="H1060" s="38" t="s">
        <v>3400</v>
      </c>
      <c r="I1060" s="38" t="s">
        <v>4859</v>
      </c>
      <c r="J1060" s="38"/>
      <c r="K1060" s="38">
        <v>300</v>
      </c>
      <c r="L1060" s="38"/>
      <c r="M1060" s="38"/>
      <c r="N1060" s="38">
        <v>71.900000000000006</v>
      </c>
      <c r="O1060" s="38">
        <v>0.25</v>
      </c>
      <c r="P1060" s="38"/>
      <c r="Q1060" s="38"/>
      <c r="R1060" s="38">
        <v>4.63</v>
      </c>
      <c r="S1060" s="38">
        <v>7.0000000000000007E-2</v>
      </c>
      <c r="T1060" s="38"/>
      <c r="U1060" s="38"/>
      <c r="V1060" s="38"/>
      <c r="W1060" s="38"/>
      <c r="X1060" s="38"/>
      <c r="Y1060" s="38"/>
      <c r="Z1060" s="38"/>
      <c r="AA1060" s="38"/>
      <c r="AB1060" s="38"/>
      <c r="AC1060" s="38"/>
      <c r="AD1060" s="38"/>
      <c r="AE1060" s="38"/>
      <c r="AF1060" s="38"/>
      <c r="AG1060" s="38"/>
      <c r="AH1060" s="38"/>
      <c r="AI1060" s="38"/>
      <c r="AJ1060" s="38"/>
      <c r="AK1060" s="38"/>
      <c r="AL1060" s="38"/>
      <c r="AM1060" s="38"/>
      <c r="AN1060" s="38"/>
      <c r="AO1060" s="38"/>
      <c r="AP1060" s="38"/>
      <c r="AQ1060" s="38">
        <v>9.6</v>
      </c>
      <c r="AR1060" s="38" t="s">
        <v>4860</v>
      </c>
      <c r="AS1060" s="38"/>
      <c r="AT1060" s="38"/>
      <c r="AU1060" s="38"/>
      <c r="AV1060" s="38"/>
      <c r="AW1060" s="38"/>
      <c r="AX1060" s="38"/>
      <c r="AY1060" s="38"/>
      <c r="AZ1060" s="38"/>
      <c r="BA1060" s="38"/>
      <c r="BB1060" s="38"/>
    </row>
    <row r="1061" spans="1:54">
      <c r="A1061" s="38" t="s">
        <v>4865</v>
      </c>
      <c r="B1061" s="38" t="s">
        <v>3455</v>
      </c>
      <c r="C1061" s="38" t="s">
        <v>4864</v>
      </c>
      <c r="D1061" s="38" t="s">
        <v>3399</v>
      </c>
      <c r="E1061" s="38" t="s">
        <v>4857</v>
      </c>
      <c r="F1061" s="38"/>
      <c r="G1061" s="38" t="s">
        <v>4858</v>
      </c>
      <c r="H1061" s="38" t="s">
        <v>3400</v>
      </c>
      <c r="I1061" s="38" t="s">
        <v>4859</v>
      </c>
      <c r="J1061" s="38"/>
      <c r="K1061" s="38">
        <v>600</v>
      </c>
      <c r="L1061" s="38"/>
      <c r="M1061" s="38"/>
      <c r="N1061" s="38">
        <v>72.349999999999994</v>
      </c>
      <c r="O1061" s="38">
        <v>0.21</v>
      </c>
      <c r="P1061" s="38"/>
      <c r="Q1061" s="38"/>
      <c r="R1061" s="38">
        <v>6.75</v>
      </c>
      <c r="S1061" s="38">
        <v>0.06</v>
      </c>
      <c r="T1061" s="38"/>
      <c r="U1061" s="38"/>
      <c r="V1061" s="38"/>
      <c r="W1061" s="38"/>
      <c r="X1061" s="38"/>
      <c r="Y1061" s="38"/>
      <c r="Z1061" s="38"/>
      <c r="AA1061" s="38"/>
      <c r="AB1061" s="38"/>
      <c r="AC1061" s="38"/>
      <c r="AD1061" s="38"/>
      <c r="AE1061" s="38"/>
      <c r="AF1061" s="38"/>
      <c r="AG1061" s="38"/>
      <c r="AH1061" s="38"/>
      <c r="AI1061" s="38"/>
      <c r="AJ1061" s="38"/>
      <c r="AK1061" s="38"/>
      <c r="AL1061" s="38"/>
      <c r="AM1061" s="38"/>
      <c r="AN1061" s="38"/>
      <c r="AO1061" s="38"/>
      <c r="AP1061" s="38"/>
      <c r="AQ1061" s="38">
        <v>112.9</v>
      </c>
      <c r="AR1061" s="38" t="s">
        <v>4860</v>
      </c>
      <c r="AS1061" s="38"/>
      <c r="AT1061" s="38"/>
      <c r="AU1061" s="38"/>
      <c r="AV1061" s="38"/>
      <c r="AW1061" s="38"/>
      <c r="AX1061" s="38"/>
      <c r="AY1061" s="38"/>
      <c r="AZ1061" s="38"/>
      <c r="BA1061" s="38"/>
      <c r="BB1061" s="38"/>
    </row>
    <row r="1062" spans="1:54">
      <c r="A1062" s="38" t="s">
        <v>4866</v>
      </c>
      <c r="B1062" s="38" t="s">
        <v>3449</v>
      </c>
      <c r="C1062" s="38" t="s">
        <v>4732</v>
      </c>
      <c r="D1062" s="38" t="s">
        <v>3399</v>
      </c>
      <c r="E1062" s="38" t="s">
        <v>4857</v>
      </c>
      <c r="F1062" s="38"/>
      <c r="G1062" s="38" t="s">
        <v>4858</v>
      </c>
      <c r="H1062" s="38" t="s">
        <v>3400</v>
      </c>
      <c r="I1062" s="38" t="s">
        <v>4859</v>
      </c>
      <c r="J1062" s="38"/>
      <c r="K1062" s="38">
        <v>300</v>
      </c>
      <c r="L1062" s="38"/>
      <c r="M1062" s="38"/>
      <c r="N1062" s="38">
        <v>60.6</v>
      </c>
      <c r="O1062" s="38">
        <v>0.35</v>
      </c>
      <c r="P1062" s="38"/>
      <c r="Q1062" s="38"/>
      <c r="R1062" s="38">
        <v>6.88</v>
      </c>
      <c r="S1062" s="38">
        <v>0.72</v>
      </c>
      <c r="T1062" s="38"/>
      <c r="U1062" s="38"/>
      <c r="V1062" s="38"/>
      <c r="W1062" s="38"/>
      <c r="X1062" s="38"/>
      <c r="Y1062" s="38"/>
      <c r="Z1062" s="38"/>
      <c r="AA1062" s="38"/>
      <c r="AB1062" s="38"/>
      <c r="AC1062" s="38"/>
      <c r="AD1062" s="38"/>
      <c r="AE1062" s="38"/>
      <c r="AF1062" s="38"/>
      <c r="AG1062" s="38"/>
      <c r="AH1062" s="38"/>
      <c r="AI1062" s="38"/>
      <c r="AJ1062" s="38"/>
      <c r="AK1062" s="38"/>
      <c r="AL1062" s="38"/>
      <c r="AM1062" s="38"/>
      <c r="AN1062" s="38"/>
      <c r="AO1062" s="38"/>
      <c r="AP1062" s="38"/>
      <c r="AQ1062" s="38">
        <v>0.04</v>
      </c>
      <c r="AR1062" s="38" t="s">
        <v>4860</v>
      </c>
      <c r="AS1062" s="38"/>
      <c r="AT1062" s="38"/>
      <c r="AU1062" s="38"/>
      <c r="AV1062" s="38"/>
      <c r="AW1062" s="38"/>
      <c r="AX1062" s="38"/>
      <c r="AY1062" s="38"/>
      <c r="AZ1062" s="38"/>
      <c r="BA1062" s="38"/>
      <c r="BB1062" s="38"/>
    </row>
    <row r="1063" spans="1:54">
      <c r="A1063" s="38" t="s">
        <v>4867</v>
      </c>
      <c r="B1063" s="38" t="s">
        <v>3449</v>
      </c>
      <c r="C1063" s="38" t="s">
        <v>4732</v>
      </c>
      <c r="D1063" s="38" t="s">
        <v>3399</v>
      </c>
      <c r="E1063" s="38" t="s">
        <v>4857</v>
      </c>
      <c r="F1063" s="38"/>
      <c r="G1063" s="38" t="s">
        <v>4858</v>
      </c>
      <c r="H1063" s="38" t="s">
        <v>3400</v>
      </c>
      <c r="I1063" s="38" t="s">
        <v>4859</v>
      </c>
      <c r="J1063" s="38"/>
      <c r="K1063" s="38">
        <v>600</v>
      </c>
      <c r="L1063" s="38"/>
      <c r="M1063" s="38"/>
      <c r="N1063" s="38">
        <v>71.27</v>
      </c>
      <c r="O1063" s="38">
        <v>0.66</v>
      </c>
      <c r="P1063" s="38"/>
      <c r="Q1063" s="38"/>
      <c r="R1063" s="38">
        <v>9.85</v>
      </c>
      <c r="S1063" s="38">
        <v>1.6</v>
      </c>
      <c r="T1063" s="38"/>
      <c r="U1063" s="38"/>
      <c r="V1063" s="38"/>
      <c r="W1063" s="38"/>
      <c r="X1063" s="38"/>
      <c r="Y1063" s="38"/>
      <c r="Z1063" s="38"/>
      <c r="AA1063" s="38"/>
      <c r="AB1063" s="38"/>
      <c r="AC1063" s="38"/>
      <c r="AD1063" s="38"/>
      <c r="AE1063" s="38"/>
      <c r="AF1063" s="38"/>
      <c r="AG1063" s="38"/>
      <c r="AH1063" s="38"/>
      <c r="AI1063" s="38"/>
      <c r="AJ1063" s="38"/>
      <c r="AK1063" s="38"/>
      <c r="AL1063" s="38"/>
      <c r="AM1063" s="38"/>
      <c r="AN1063" s="38"/>
      <c r="AO1063" s="38"/>
      <c r="AP1063" s="38"/>
      <c r="AQ1063" s="38">
        <v>59.5</v>
      </c>
      <c r="AR1063" s="38" t="s">
        <v>4860</v>
      </c>
      <c r="AS1063" s="38"/>
      <c r="AT1063" s="38"/>
      <c r="AU1063" s="38"/>
      <c r="AV1063" s="38"/>
      <c r="AW1063" s="38"/>
      <c r="AX1063" s="38"/>
      <c r="AY1063" s="38"/>
      <c r="AZ1063" s="38"/>
      <c r="BA1063" s="38"/>
      <c r="BB1063" s="38"/>
    </row>
    <row r="1064" spans="1:54">
      <c r="A1064" s="38" t="s">
        <v>4868</v>
      </c>
      <c r="B1064" s="38" t="s">
        <v>3652</v>
      </c>
      <c r="C1064" s="38" t="s">
        <v>4869</v>
      </c>
      <c r="D1064" s="38" t="s">
        <v>3399</v>
      </c>
      <c r="E1064" s="38" t="s">
        <v>4857</v>
      </c>
      <c r="F1064" s="38"/>
      <c r="G1064" s="38" t="s">
        <v>4858</v>
      </c>
      <c r="H1064" s="38" t="s">
        <v>3400</v>
      </c>
      <c r="I1064" s="38" t="s">
        <v>4859</v>
      </c>
      <c r="J1064" s="38"/>
      <c r="K1064" s="38">
        <v>300</v>
      </c>
      <c r="L1064" s="38"/>
      <c r="M1064" s="38"/>
      <c r="N1064" s="38">
        <v>78.94</v>
      </c>
      <c r="O1064" s="38">
        <v>3.02</v>
      </c>
      <c r="P1064" s="38"/>
      <c r="Q1064" s="38"/>
      <c r="R1064" s="38">
        <v>7.39</v>
      </c>
      <c r="S1064" s="38">
        <v>0.17</v>
      </c>
      <c r="T1064" s="38"/>
      <c r="U1064" s="38"/>
      <c r="V1064" s="38"/>
      <c r="W1064" s="38"/>
      <c r="X1064" s="38"/>
      <c r="Y1064" s="38"/>
      <c r="Z1064" s="38"/>
      <c r="AA1064" s="38"/>
      <c r="AB1064" s="38"/>
      <c r="AC1064" s="38"/>
      <c r="AD1064" s="38"/>
      <c r="AE1064" s="38"/>
      <c r="AF1064" s="38"/>
      <c r="AG1064" s="38"/>
      <c r="AH1064" s="38"/>
      <c r="AI1064" s="38"/>
      <c r="AJ1064" s="38"/>
      <c r="AK1064" s="38"/>
      <c r="AL1064" s="38"/>
      <c r="AM1064" s="38"/>
      <c r="AN1064" s="38"/>
      <c r="AO1064" s="38"/>
      <c r="AP1064" s="38"/>
      <c r="AQ1064" s="38">
        <v>0.02</v>
      </c>
      <c r="AR1064" s="38" t="s">
        <v>4860</v>
      </c>
      <c r="AS1064" s="38"/>
      <c r="AT1064" s="38"/>
      <c r="AU1064" s="38"/>
      <c r="AV1064" s="38"/>
      <c r="AW1064" s="38"/>
      <c r="AX1064" s="38"/>
      <c r="AY1064" s="38"/>
      <c r="AZ1064" s="38"/>
      <c r="BA1064" s="38"/>
      <c r="BB1064" s="38"/>
    </row>
    <row r="1065" spans="1:54">
      <c r="A1065" s="38" t="s">
        <v>4870</v>
      </c>
      <c r="B1065" s="38" t="s">
        <v>3652</v>
      </c>
      <c r="C1065" s="38" t="s">
        <v>4869</v>
      </c>
      <c r="D1065" s="38" t="s">
        <v>3399</v>
      </c>
      <c r="E1065" s="38" t="s">
        <v>4857</v>
      </c>
      <c r="F1065" s="38"/>
      <c r="G1065" s="38" t="s">
        <v>4858</v>
      </c>
      <c r="H1065" s="38" t="s">
        <v>3400</v>
      </c>
      <c r="I1065" s="38" t="s">
        <v>4859</v>
      </c>
      <c r="J1065" s="38"/>
      <c r="K1065" s="38">
        <v>600</v>
      </c>
      <c r="L1065" s="38"/>
      <c r="M1065" s="38"/>
      <c r="N1065" s="38">
        <v>72.41</v>
      </c>
      <c r="O1065" s="38">
        <v>1.96</v>
      </c>
      <c r="P1065" s="38"/>
      <c r="Q1065" s="38"/>
      <c r="R1065" s="38">
        <v>8.26</v>
      </c>
      <c r="S1065" s="38">
        <v>0.78</v>
      </c>
      <c r="T1065" s="38"/>
      <c r="U1065" s="38"/>
      <c r="V1065" s="38"/>
      <c r="W1065" s="38"/>
      <c r="X1065" s="38"/>
      <c r="Y1065" s="38"/>
      <c r="Z1065" s="38"/>
      <c r="AA1065" s="38"/>
      <c r="AB1065" s="38"/>
      <c r="AC1065" s="38"/>
      <c r="AD1065" s="38"/>
      <c r="AE1065" s="38"/>
      <c r="AF1065" s="38"/>
      <c r="AG1065" s="38"/>
      <c r="AH1065" s="38"/>
      <c r="AI1065" s="38"/>
      <c r="AJ1065" s="38"/>
      <c r="AK1065" s="38"/>
      <c r="AL1065" s="38"/>
      <c r="AM1065" s="38"/>
      <c r="AN1065" s="38"/>
      <c r="AO1065" s="38"/>
      <c r="AP1065" s="38"/>
      <c r="AQ1065" s="38">
        <v>221.5</v>
      </c>
      <c r="AR1065" s="38" t="s">
        <v>4871</v>
      </c>
      <c r="AS1065" s="38"/>
      <c r="AT1065" s="38"/>
      <c r="AU1065" s="38"/>
      <c r="AV1065" s="38"/>
      <c r="AW1065" s="38"/>
      <c r="AX1065" s="38"/>
      <c r="AY1065" s="38"/>
      <c r="AZ1065" s="38"/>
      <c r="BA1065" s="38"/>
      <c r="BB1065" s="38"/>
    </row>
    <row r="1066" spans="1:54">
      <c r="A1066" s="38" t="s">
        <v>4872</v>
      </c>
      <c r="B1066" s="38" t="s">
        <v>3449</v>
      </c>
      <c r="C1066" s="38" t="s">
        <v>4873</v>
      </c>
      <c r="D1066" s="38" t="s">
        <v>3399</v>
      </c>
      <c r="E1066" s="38" t="s">
        <v>4857</v>
      </c>
      <c r="F1066" s="38"/>
      <c r="G1066" s="38" t="s">
        <v>4858</v>
      </c>
      <c r="H1066" s="38" t="s">
        <v>3400</v>
      </c>
      <c r="I1066" s="38" t="s">
        <v>4859</v>
      </c>
      <c r="J1066" s="38"/>
      <c r="K1066" s="38">
        <v>300</v>
      </c>
      <c r="L1066" s="38"/>
      <c r="M1066" s="38"/>
      <c r="N1066" s="38">
        <v>69.63</v>
      </c>
      <c r="O1066" s="38">
        <v>1.79</v>
      </c>
      <c r="P1066" s="38"/>
      <c r="Q1066" s="38"/>
      <c r="R1066" s="38">
        <v>6.11</v>
      </c>
      <c r="S1066" s="38">
        <v>0.31</v>
      </c>
      <c r="T1066" s="38"/>
      <c r="U1066" s="38"/>
      <c r="V1066" s="38"/>
      <c r="W1066" s="38"/>
      <c r="X1066" s="38"/>
      <c r="Y1066" s="38"/>
      <c r="Z1066" s="38"/>
      <c r="AA1066" s="38"/>
      <c r="AB1066" s="38"/>
      <c r="AC1066" s="38"/>
      <c r="AD1066" s="38"/>
      <c r="AE1066" s="38"/>
      <c r="AF1066" s="38"/>
      <c r="AG1066" s="38"/>
      <c r="AH1066" s="38"/>
      <c r="AI1066" s="38"/>
      <c r="AJ1066" s="38"/>
      <c r="AK1066" s="38"/>
      <c r="AL1066" s="38"/>
      <c r="AM1066" s="38"/>
      <c r="AN1066" s="38"/>
      <c r="AO1066" s="38"/>
      <c r="AP1066" s="38"/>
      <c r="AQ1066" s="38">
        <v>1.7</v>
      </c>
      <c r="AR1066" s="38" t="s">
        <v>4871</v>
      </c>
      <c r="AS1066" s="38"/>
      <c r="AT1066" s="38"/>
      <c r="AU1066" s="38"/>
      <c r="AV1066" s="38"/>
      <c r="AW1066" s="38"/>
      <c r="AX1066" s="38"/>
      <c r="AY1066" s="38"/>
      <c r="AZ1066" s="38"/>
      <c r="BA1066" s="38"/>
      <c r="BB1066" s="38"/>
    </row>
    <row r="1067" spans="1:54">
      <c r="A1067" s="38" t="s">
        <v>4874</v>
      </c>
      <c r="B1067" s="38" t="s">
        <v>3449</v>
      </c>
      <c r="C1067" s="38" t="s">
        <v>4873</v>
      </c>
      <c r="D1067" s="38" t="s">
        <v>3399</v>
      </c>
      <c r="E1067" s="38" t="s">
        <v>4857</v>
      </c>
      <c r="F1067" s="38"/>
      <c r="G1067" s="38"/>
      <c r="H1067" s="38" t="s">
        <v>3400</v>
      </c>
      <c r="I1067" s="38" t="s">
        <v>4859</v>
      </c>
      <c r="J1067" s="38"/>
      <c r="K1067" s="38">
        <v>600</v>
      </c>
      <c r="L1067" s="38"/>
      <c r="M1067" s="38"/>
      <c r="N1067" s="38">
        <v>79.77</v>
      </c>
      <c r="O1067" s="38">
        <v>0.62</v>
      </c>
      <c r="P1067" s="38"/>
      <c r="Q1067" s="38"/>
      <c r="R1067" s="38">
        <v>9.06</v>
      </c>
      <c r="S1067" s="38">
        <v>1.01</v>
      </c>
      <c r="T1067" s="38"/>
      <c r="U1067" s="38"/>
      <c r="V1067" s="38"/>
      <c r="W1067" s="38"/>
      <c r="X1067" s="38"/>
      <c r="Y1067" s="38"/>
      <c r="Z1067" s="38"/>
      <c r="AA1067" s="38"/>
      <c r="AB1067" s="38"/>
      <c r="AC1067" s="38"/>
      <c r="AD1067" s="38"/>
      <c r="AE1067" s="38"/>
      <c r="AF1067" s="38"/>
      <c r="AG1067" s="38"/>
      <c r="AH1067" s="38"/>
      <c r="AI1067" s="38"/>
      <c r="AJ1067" s="38"/>
      <c r="AK1067" s="38"/>
      <c r="AL1067" s="38"/>
      <c r="AM1067" s="38"/>
      <c r="AN1067" s="38"/>
      <c r="AO1067" s="38"/>
      <c r="AP1067" s="38"/>
      <c r="AQ1067" s="38">
        <v>261.60000000000002</v>
      </c>
      <c r="AR1067" s="38" t="s">
        <v>4871</v>
      </c>
      <c r="AS1067" s="38"/>
      <c r="AT1067" s="38"/>
      <c r="AU1067" s="38"/>
      <c r="AV1067" s="38"/>
      <c r="AW1067" s="38"/>
      <c r="AX1067" s="38"/>
      <c r="AY1067" s="38"/>
      <c r="AZ1067" s="38"/>
      <c r="BA1067" s="38"/>
      <c r="BB1067" s="38"/>
    </row>
    <row r="1068" spans="1:54">
      <c r="A1068" s="38" t="s">
        <v>4875</v>
      </c>
      <c r="B1068" s="38" t="s">
        <v>3652</v>
      </c>
      <c r="C1068" s="38" t="s">
        <v>4876</v>
      </c>
      <c r="D1068" s="38" t="s">
        <v>3399</v>
      </c>
      <c r="E1068" s="38"/>
      <c r="F1068" s="38"/>
      <c r="G1068" s="38"/>
      <c r="H1068" s="38" t="s">
        <v>3400</v>
      </c>
      <c r="I1068" s="38" t="s">
        <v>4877</v>
      </c>
      <c r="J1068" s="38"/>
      <c r="K1068" s="38"/>
      <c r="L1068" s="38"/>
      <c r="M1068" s="38">
        <v>50.2</v>
      </c>
      <c r="N1068" s="38"/>
      <c r="O1068" s="38"/>
      <c r="P1068" s="38"/>
      <c r="Q1068" s="38">
        <v>8.6</v>
      </c>
      <c r="R1068" s="38"/>
      <c r="S1068" s="38"/>
      <c r="T1068" s="38"/>
      <c r="U1068" s="38"/>
      <c r="V1068" s="38"/>
      <c r="W1068" s="38"/>
      <c r="X1068" s="38"/>
      <c r="Y1068" s="38"/>
      <c r="Z1068" s="38"/>
      <c r="AA1068" s="38"/>
      <c r="AB1068" s="38"/>
      <c r="AC1068" s="38"/>
      <c r="AD1068" s="38"/>
      <c r="AE1068" s="38"/>
      <c r="AF1068" s="38"/>
      <c r="AG1068" s="38"/>
      <c r="AH1068" s="38"/>
      <c r="AI1068" s="38"/>
      <c r="AJ1068" s="38"/>
      <c r="AK1068" s="38"/>
      <c r="AL1068" s="38"/>
      <c r="AM1068" s="38"/>
      <c r="AN1068" s="38"/>
      <c r="AO1068" s="38"/>
      <c r="AP1068" s="38"/>
      <c r="AQ1068" s="38"/>
      <c r="AR1068" s="38"/>
      <c r="AS1068" s="38"/>
      <c r="AT1068" s="38">
        <v>762.63</v>
      </c>
      <c r="AU1068" s="38"/>
      <c r="AV1068" s="38"/>
      <c r="AW1068" s="38"/>
      <c r="AX1068" s="38"/>
      <c r="AY1068" s="38"/>
      <c r="AZ1068" s="38"/>
      <c r="BA1068" s="38"/>
      <c r="BB1068" s="38"/>
    </row>
    <row r="1069" spans="1:54">
      <c r="A1069" s="38" t="s">
        <v>4878</v>
      </c>
      <c r="B1069" s="38" t="s">
        <v>3652</v>
      </c>
      <c r="C1069" s="38" t="s">
        <v>4879</v>
      </c>
      <c r="D1069" s="38" t="s">
        <v>3399</v>
      </c>
      <c r="E1069" s="38"/>
      <c r="F1069" s="38"/>
      <c r="G1069" s="38"/>
      <c r="H1069" s="38" t="s">
        <v>3400</v>
      </c>
      <c r="I1069" s="38" t="s">
        <v>4880</v>
      </c>
      <c r="J1069" s="38"/>
      <c r="K1069" s="38"/>
      <c r="L1069" s="38"/>
      <c r="M1069" s="38">
        <v>64.2</v>
      </c>
      <c r="N1069" s="38"/>
      <c r="O1069" s="38"/>
      <c r="P1069" s="38"/>
      <c r="Q1069" s="38">
        <v>8.4</v>
      </c>
      <c r="R1069" s="38"/>
      <c r="S1069" s="38"/>
      <c r="T1069" s="38"/>
      <c r="U1069" s="38"/>
      <c r="V1069" s="38"/>
      <c r="W1069" s="38"/>
      <c r="X1069" s="38"/>
      <c r="Y1069" s="38"/>
      <c r="Z1069" s="38"/>
      <c r="AA1069" s="38"/>
      <c r="AB1069" s="38"/>
      <c r="AC1069" s="38"/>
      <c r="AD1069" s="38"/>
      <c r="AE1069" s="38"/>
      <c r="AF1069" s="38"/>
      <c r="AG1069" s="38"/>
      <c r="AH1069" s="38"/>
      <c r="AI1069" s="38"/>
      <c r="AJ1069" s="38"/>
      <c r="AK1069" s="38"/>
      <c r="AL1069" s="38"/>
      <c r="AM1069" s="38"/>
      <c r="AN1069" s="38"/>
      <c r="AO1069" s="38"/>
      <c r="AP1069" s="38"/>
      <c r="AQ1069" s="38"/>
      <c r="AR1069" s="38"/>
      <c r="AS1069" s="38"/>
      <c r="AT1069" s="38">
        <v>102</v>
      </c>
      <c r="AU1069" s="38"/>
      <c r="AV1069" s="38"/>
      <c r="AW1069" s="38"/>
      <c r="AX1069" s="38"/>
      <c r="AY1069" s="38"/>
      <c r="AZ1069" s="38"/>
      <c r="BA1069" s="38"/>
      <c r="BB1069" s="38"/>
    </row>
    <row r="1070" spans="1:54">
      <c r="A1070" s="38" t="s">
        <v>4881</v>
      </c>
      <c r="B1070" s="38" t="s">
        <v>1948</v>
      </c>
      <c r="C1070" s="38" t="s">
        <v>4882</v>
      </c>
      <c r="D1070" s="38" t="s">
        <v>3399</v>
      </c>
      <c r="E1070" s="38"/>
      <c r="F1070" s="38"/>
      <c r="G1070" s="38"/>
      <c r="H1070" s="38" t="s">
        <v>3400</v>
      </c>
      <c r="I1070" s="38" t="s">
        <v>4880</v>
      </c>
      <c r="J1070" s="38"/>
      <c r="K1070" s="38"/>
      <c r="L1070" s="38"/>
      <c r="M1070" s="38">
        <v>47.7</v>
      </c>
      <c r="N1070" s="38"/>
      <c r="O1070" s="38"/>
      <c r="P1070" s="38"/>
      <c r="Q1070" s="38">
        <v>8.3000000000000007</v>
      </c>
      <c r="R1070" s="38"/>
      <c r="S1070" s="38"/>
      <c r="T1070" s="38"/>
      <c r="U1070" s="38"/>
      <c r="V1070" s="38"/>
      <c r="W1070" s="38"/>
      <c r="X1070" s="38"/>
      <c r="Y1070" s="38"/>
      <c r="Z1070" s="38"/>
      <c r="AA1070" s="38"/>
      <c r="AB1070" s="38"/>
      <c r="AC1070" s="38"/>
      <c r="AD1070" s="38"/>
      <c r="AE1070" s="38"/>
      <c r="AF1070" s="38"/>
      <c r="AG1070" s="38"/>
      <c r="AH1070" s="38"/>
      <c r="AI1070" s="38"/>
      <c r="AJ1070" s="38"/>
      <c r="AK1070" s="38"/>
      <c r="AL1070" s="38"/>
      <c r="AM1070" s="38"/>
      <c r="AN1070" s="38"/>
      <c r="AO1070" s="38"/>
      <c r="AP1070" s="38"/>
      <c r="AQ1070" s="38"/>
      <c r="AR1070" s="38"/>
      <c r="AS1070" s="38"/>
      <c r="AT1070" s="38">
        <v>152.94</v>
      </c>
      <c r="AU1070" s="38"/>
      <c r="AV1070" s="38"/>
      <c r="AW1070" s="38"/>
      <c r="AX1070" s="38"/>
      <c r="AY1070" s="38"/>
      <c r="AZ1070" s="38"/>
      <c r="BA1070" s="38"/>
      <c r="BB1070" s="38"/>
    </row>
    <row r="1071" spans="1:54">
      <c r="A1071" s="38" t="s">
        <v>1432</v>
      </c>
      <c r="B1071" s="38" t="s">
        <v>3455</v>
      </c>
      <c r="C1071" s="38" t="s">
        <v>4883</v>
      </c>
      <c r="D1071" s="38" t="s">
        <v>3399</v>
      </c>
      <c r="E1071" s="38"/>
      <c r="F1071" s="38"/>
      <c r="G1071" s="38" t="s">
        <v>3997</v>
      </c>
      <c r="H1071" s="38"/>
      <c r="I1071" s="38" t="s">
        <v>4884</v>
      </c>
      <c r="J1071" s="38">
        <v>0.33</v>
      </c>
      <c r="K1071" s="38">
        <v>500</v>
      </c>
      <c r="L1071" s="38">
        <v>65.7</v>
      </c>
      <c r="M1071" s="38"/>
      <c r="N1071" s="38">
        <v>53.2</v>
      </c>
      <c r="O1071" s="38">
        <v>0.4</v>
      </c>
      <c r="P1071" s="38">
        <v>1.6</v>
      </c>
      <c r="Q1071" s="38"/>
      <c r="R1071" s="38">
        <v>8.4700000000000006</v>
      </c>
      <c r="S1071" s="38">
        <v>0.04</v>
      </c>
      <c r="T1071" s="38"/>
      <c r="U1071" s="38"/>
      <c r="V1071" s="38"/>
      <c r="W1071" s="38"/>
      <c r="X1071" s="38"/>
      <c r="Y1071" s="38"/>
      <c r="Z1071" s="38"/>
      <c r="AA1071" s="38"/>
      <c r="AB1071" s="38"/>
      <c r="AC1071" s="38"/>
      <c r="AD1071" s="38"/>
      <c r="AE1071" s="38"/>
      <c r="AF1071" s="38"/>
      <c r="AG1071" s="38"/>
      <c r="AH1071" s="38"/>
      <c r="AI1071" s="38"/>
      <c r="AJ1071" s="38"/>
      <c r="AK1071" s="38"/>
      <c r="AL1071" s="38"/>
      <c r="AM1071" s="38"/>
      <c r="AN1071" s="38"/>
      <c r="AO1071" s="38"/>
      <c r="AP1071" s="38"/>
      <c r="AQ1071" s="38">
        <v>40.630000000000003</v>
      </c>
      <c r="AR1071" s="38"/>
      <c r="AS1071" s="38"/>
      <c r="AT1071" s="38"/>
      <c r="AU1071" s="38"/>
      <c r="AV1071" s="38"/>
      <c r="AW1071" s="38"/>
      <c r="AX1071" s="38"/>
      <c r="AY1071" s="38"/>
      <c r="AZ1071" s="38"/>
      <c r="BA1071" s="38"/>
      <c r="BB1071" s="38"/>
    </row>
    <row r="1072" spans="1:54">
      <c r="A1072" s="38" t="s">
        <v>2366</v>
      </c>
      <c r="B1072" s="38" t="s">
        <v>3455</v>
      </c>
      <c r="C1072" s="38" t="s">
        <v>4885</v>
      </c>
      <c r="D1072" s="38" t="s">
        <v>3399</v>
      </c>
      <c r="E1072" s="38"/>
      <c r="F1072" s="38"/>
      <c r="G1072" s="38" t="s">
        <v>4660</v>
      </c>
      <c r="H1072" s="38"/>
      <c r="I1072" s="38" t="s">
        <v>4884</v>
      </c>
      <c r="J1072" s="38">
        <v>5.66</v>
      </c>
      <c r="K1072" s="38">
        <v>500</v>
      </c>
      <c r="L1072" s="38">
        <v>61.6</v>
      </c>
      <c r="M1072" s="38"/>
      <c r="N1072" s="38">
        <v>23.5</v>
      </c>
      <c r="O1072" s="38">
        <v>0.01</v>
      </c>
      <c r="P1072" s="38">
        <v>0.4</v>
      </c>
      <c r="Q1072" s="38"/>
      <c r="R1072" s="38">
        <v>8.77</v>
      </c>
      <c r="S1072" s="38">
        <v>7.0000000000000001E-3</v>
      </c>
      <c r="T1072" s="38"/>
      <c r="U1072" s="38"/>
      <c r="V1072" s="38"/>
      <c r="W1072" s="38"/>
      <c r="X1072" s="38"/>
      <c r="Y1072" s="38"/>
      <c r="Z1072" s="38"/>
      <c r="AA1072" s="38"/>
      <c r="AB1072" s="38"/>
      <c r="AC1072" s="38"/>
      <c r="AD1072" s="38"/>
      <c r="AE1072" s="38"/>
      <c r="AF1072" s="38"/>
      <c r="AG1072" s="38"/>
      <c r="AH1072" s="38"/>
      <c r="AI1072" s="38"/>
      <c r="AJ1072" s="38"/>
      <c r="AK1072" s="38"/>
      <c r="AL1072" s="38"/>
      <c r="AM1072" s="38"/>
      <c r="AN1072" s="38"/>
      <c r="AO1072" s="38"/>
      <c r="AP1072" s="38"/>
      <c r="AQ1072" s="38">
        <v>155.1</v>
      </c>
      <c r="AR1072" s="38"/>
      <c r="AS1072" s="38"/>
      <c r="AT1072" s="38"/>
      <c r="AU1072" s="38"/>
      <c r="AV1072" s="38"/>
      <c r="AW1072" s="38"/>
      <c r="AX1072" s="38"/>
      <c r="AY1072" s="38"/>
      <c r="AZ1072" s="38"/>
      <c r="BA1072" s="38"/>
      <c r="BB1072" s="38"/>
    </row>
    <row r="1073" spans="1:54">
      <c r="A1073" s="38" t="s">
        <v>4886</v>
      </c>
      <c r="B1073" s="38" t="s">
        <v>3471</v>
      </c>
      <c r="C1073" s="38" t="s">
        <v>4887</v>
      </c>
      <c r="D1073" s="38" t="s">
        <v>3399</v>
      </c>
      <c r="E1073" s="38"/>
      <c r="F1073" s="38"/>
      <c r="G1073" s="38" t="s">
        <v>4888</v>
      </c>
      <c r="H1073" s="38"/>
      <c r="I1073" s="38" t="s">
        <v>4884</v>
      </c>
      <c r="J1073" s="38">
        <v>66.2</v>
      </c>
      <c r="K1073" s="38">
        <v>500</v>
      </c>
      <c r="L1073" s="38">
        <v>25.4</v>
      </c>
      <c r="M1073" s="38"/>
      <c r="N1073" s="38">
        <v>51.9</v>
      </c>
      <c r="O1073" s="38">
        <v>0.4</v>
      </c>
      <c r="P1073" s="38">
        <v>2.2000000000000002</v>
      </c>
      <c r="Q1073" s="38"/>
      <c r="R1073" s="38">
        <v>7.88</v>
      </c>
      <c r="S1073" s="38">
        <v>0.14000000000000001</v>
      </c>
      <c r="T1073" s="38"/>
      <c r="U1073" s="38"/>
      <c r="V1073" s="38"/>
      <c r="W1073" s="38"/>
      <c r="X1073" s="38"/>
      <c r="Y1073" s="38"/>
      <c r="Z1073" s="38"/>
      <c r="AA1073" s="38"/>
      <c r="AB1073" s="38"/>
      <c r="AC1073" s="38"/>
      <c r="AD1073" s="38"/>
      <c r="AE1073" s="38"/>
      <c r="AF1073" s="38"/>
      <c r="AG1073" s="38"/>
      <c r="AH1073" s="38"/>
      <c r="AI1073" s="38"/>
      <c r="AJ1073" s="38"/>
      <c r="AK1073" s="38"/>
      <c r="AL1073" s="38"/>
      <c r="AM1073" s="38"/>
      <c r="AN1073" s="38"/>
      <c r="AO1073" s="38"/>
      <c r="AP1073" s="38"/>
      <c r="AQ1073" s="38">
        <v>5.41</v>
      </c>
      <c r="AR1073" s="38"/>
      <c r="AS1073" s="38"/>
      <c r="AT1073" s="38"/>
      <c r="AU1073" s="38"/>
      <c r="AV1073" s="38"/>
      <c r="AW1073" s="38"/>
      <c r="AX1073" s="38"/>
      <c r="AY1073" s="38"/>
      <c r="AZ1073" s="38"/>
      <c r="BA1073" s="38"/>
      <c r="BB1073" s="38"/>
    </row>
    <row r="1074" spans="1:54">
      <c r="A1074" s="38" t="s">
        <v>4889</v>
      </c>
      <c r="B1074" s="38" t="s">
        <v>3455</v>
      </c>
      <c r="C1074" s="38" t="s">
        <v>4890</v>
      </c>
      <c r="D1074" s="38" t="s">
        <v>3399</v>
      </c>
      <c r="E1074" s="38"/>
      <c r="F1074" s="38"/>
      <c r="G1074" s="38" t="s">
        <v>4891</v>
      </c>
      <c r="H1074" s="38"/>
      <c r="I1074" s="38" t="s">
        <v>4884</v>
      </c>
      <c r="J1074" s="38">
        <v>1.38</v>
      </c>
      <c r="K1074" s="38">
        <v>520</v>
      </c>
      <c r="L1074" s="38">
        <v>4.5999999999999996</v>
      </c>
      <c r="M1074" s="38"/>
      <c r="N1074" s="38">
        <v>70.7</v>
      </c>
      <c r="O1074" s="38">
        <v>0.3</v>
      </c>
      <c r="P1074" s="38">
        <v>3.8</v>
      </c>
      <c r="Q1074" s="38"/>
      <c r="R1074" s="38">
        <v>6.24</v>
      </c>
      <c r="S1074" s="38">
        <v>4.1500000000000004</v>
      </c>
      <c r="T1074" s="38"/>
      <c r="U1074" s="38"/>
      <c r="V1074" s="38"/>
      <c r="W1074" s="38"/>
      <c r="X1074" s="38"/>
      <c r="Y1074" s="38"/>
      <c r="Z1074" s="38"/>
      <c r="AA1074" s="38"/>
      <c r="AB1074" s="38"/>
      <c r="AC1074" s="38"/>
      <c r="AD1074" s="38"/>
      <c r="AE1074" s="38"/>
      <c r="AF1074" s="38"/>
      <c r="AG1074" s="38"/>
      <c r="AH1074" s="38"/>
      <c r="AI1074" s="38"/>
      <c r="AJ1074" s="38"/>
      <c r="AK1074" s="38"/>
      <c r="AL1074" s="38"/>
      <c r="AM1074" s="38"/>
      <c r="AN1074" s="38"/>
      <c r="AO1074" s="38"/>
      <c r="AP1074" s="38"/>
      <c r="AQ1074" s="38">
        <v>0.38</v>
      </c>
      <c r="AR1074" s="38"/>
      <c r="AS1074" s="38"/>
      <c r="AT1074" s="38"/>
      <c r="AU1074" s="38"/>
      <c r="AV1074" s="38"/>
      <c r="AW1074" s="38"/>
      <c r="AX1074" s="38"/>
      <c r="AY1074" s="38"/>
      <c r="AZ1074" s="38"/>
      <c r="BA1074" s="38"/>
      <c r="BB1074" s="38"/>
    </row>
    <row r="1075" spans="1:54">
      <c r="A1075" s="38" t="s">
        <v>4892</v>
      </c>
      <c r="B1075" s="38" t="s">
        <v>3455</v>
      </c>
      <c r="C1075" s="38" t="s">
        <v>4890</v>
      </c>
      <c r="D1075" s="38" t="s">
        <v>3399</v>
      </c>
      <c r="E1075" s="38"/>
      <c r="F1075" s="38"/>
      <c r="G1075" s="38" t="s">
        <v>4891</v>
      </c>
      <c r="H1075" s="38"/>
      <c r="I1075" s="38" t="s">
        <v>4884</v>
      </c>
      <c r="J1075" s="38">
        <v>2.15</v>
      </c>
      <c r="K1075" s="38">
        <v>520</v>
      </c>
      <c r="L1075" s="38">
        <v>1.5</v>
      </c>
      <c r="M1075" s="38"/>
      <c r="N1075" s="38">
        <v>74</v>
      </c>
      <c r="O1075" s="38">
        <v>0.3</v>
      </c>
      <c r="P1075" s="38">
        <v>3.8</v>
      </c>
      <c r="Q1075" s="38"/>
      <c r="R1075" s="38">
        <v>6.78</v>
      </c>
      <c r="S1075" s="38">
        <v>1.1000000000000001</v>
      </c>
      <c r="T1075" s="38"/>
      <c r="U1075" s="38"/>
      <c r="V1075" s="38"/>
      <c r="W1075" s="38"/>
      <c r="X1075" s="38"/>
      <c r="Y1075" s="38"/>
      <c r="Z1075" s="38"/>
      <c r="AA1075" s="38"/>
      <c r="AB1075" s="38"/>
      <c r="AC1075" s="38"/>
      <c r="AD1075" s="38"/>
      <c r="AE1075" s="38"/>
      <c r="AF1075" s="38"/>
      <c r="AG1075" s="38"/>
      <c r="AH1075" s="38"/>
      <c r="AI1075" s="38"/>
      <c r="AJ1075" s="38"/>
      <c r="AK1075" s="38"/>
      <c r="AL1075" s="38"/>
      <c r="AM1075" s="38"/>
      <c r="AN1075" s="38"/>
      <c r="AO1075" s="38"/>
      <c r="AP1075" s="38"/>
      <c r="AQ1075" s="38">
        <v>0.1</v>
      </c>
      <c r="AR1075" s="38"/>
      <c r="AS1075" s="38"/>
      <c r="AT1075" s="38"/>
      <c r="AU1075" s="38"/>
      <c r="AV1075" s="38"/>
      <c r="AW1075" s="38"/>
      <c r="AX1075" s="38"/>
      <c r="AY1075" s="38"/>
      <c r="AZ1075" s="38"/>
      <c r="BA1075" s="38"/>
      <c r="BB1075" s="38"/>
    </row>
    <row r="1076" spans="1:54">
      <c r="A1076" s="38" t="s">
        <v>4893</v>
      </c>
      <c r="B1076" s="38" t="s">
        <v>3455</v>
      </c>
      <c r="C1076" s="38" t="s">
        <v>4890</v>
      </c>
      <c r="D1076" s="38" t="s">
        <v>3399</v>
      </c>
      <c r="E1076" s="38"/>
      <c r="F1076" s="38"/>
      <c r="G1076" s="38" t="s">
        <v>4891</v>
      </c>
      <c r="H1076" s="38"/>
      <c r="I1076" s="38" t="s">
        <v>4884</v>
      </c>
      <c r="J1076" s="38">
        <v>1.98</v>
      </c>
      <c r="K1076" s="38">
        <v>520</v>
      </c>
      <c r="L1076" s="38">
        <v>4.3</v>
      </c>
      <c r="M1076" s="38"/>
      <c r="N1076" s="38">
        <v>78.099999999999994</v>
      </c>
      <c r="O1076" s="38">
        <v>0.4</v>
      </c>
      <c r="P1076" s="38">
        <v>1.8</v>
      </c>
      <c r="Q1076" s="38"/>
      <c r="R1076" s="38">
        <v>7.64</v>
      </c>
      <c r="S1076" s="38">
        <v>0.54</v>
      </c>
      <c r="T1076" s="38"/>
      <c r="U1076" s="38"/>
      <c r="V1076" s="38"/>
      <c r="W1076" s="38"/>
      <c r="X1076" s="38"/>
      <c r="Y1076" s="38"/>
      <c r="Z1076" s="38"/>
      <c r="AA1076" s="38"/>
      <c r="AB1076" s="38"/>
      <c r="AC1076" s="38"/>
      <c r="AD1076" s="38"/>
      <c r="AE1076" s="38"/>
      <c r="AF1076" s="38"/>
      <c r="AG1076" s="38"/>
      <c r="AH1076" s="38"/>
      <c r="AI1076" s="38"/>
      <c r="AJ1076" s="38"/>
      <c r="AK1076" s="38"/>
      <c r="AL1076" s="38"/>
      <c r="AM1076" s="38"/>
      <c r="AN1076" s="38"/>
      <c r="AO1076" s="38"/>
      <c r="AP1076" s="38"/>
      <c r="AQ1076" s="38"/>
      <c r="AR1076" s="38"/>
      <c r="AS1076" s="38"/>
      <c r="AT1076" s="38"/>
      <c r="AU1076" s="38"/>
      <c r="AV1076" s="38"/>
      <c r="AW1076" s="38"/>
      <c r="AX1076" s="38"/>
      <c r="AY1076" s="38"/>
      <c r="AZ1076" s="38"/>
      <c r="BA1076" s="38"/>
      <c r="BB1076" s="38"/>
    </row>
    <row r="1077" spans="1:54">
      <c r="A1077" s="38" t="s">
        <v>4894</v>
      </c>
      <c r="B1077" s="38" t="s">
        <v>1948</v>
      </c>
      <c r="C1077" s="38" t="s">
        <v>4895</v>
      </c>
      <c r="D1077" s="38" t="s">
        <v>3399</v>
      </c>
      <c r="E1077" s="38"/>
      <c r="F1077" s="38"/>
      <c r="G1077" s="38"/>
      <c r="H1077" s="38" t="s">
        <v>3400</v>
      </c>
      <c r="I1077" s="38" t="s">
        <v>4896</v>
      </c>
      <c r="J1077" s="38"/>
      <c r="K1077" s="38">
        <v>900</v>
      </c>
      <c r="L1077" s="38">
        <v>88.07</v>
      </c>
      <c r="M1077" s="38"/>
      <c r="N1077" s="38">
        <v>15.92</v>
      </c>
      <c r="O1077" s="38">
        <v>0.53</v>
      </c>
      <c r="P1077" s="38">
        <v>0.11</v>
      </c>
      <c r="Q1077" s="38">
        <v>2.4390000000000001</v>
      </c>
      <c r="R1077" s="38">
        <v>10.17</v>
      </c>
      <c r="S1077" s="38"/>
      <c r="T1077" s="38"/>
      <c r="U1077" s="38"/>
      <c r="V1077" s="38"/>
      <c r="W1077" s="38"/>
      <c r="X1077" s="38"/>
      <c r="Y1077" s="38"/>
      <c r="Z1077" s="38"/>
      <c r="AA1077" s="38"/>
      <c r="AB1077" s="38"/>
      <c r="AC1077" s="38"/>
      <c r="AD1077" s="38"/>
      <c r="AE1077" s="38"/>
      <c r="AF1077" s="38"/>
      <c r="AG1077" s="38"/>
      <c r="AH1077" s="38"/>
      <c r="AI1077" s="38"/>
      <c r="AJ1077" s="38"/>
      <c r="AK1077" s="38"/>
      <c r="AL1077" s="38"/>
      <c r="AM1077" s="38"/>
      <c r="AN1077" s="38">
        <v>247.51</v>
      </c>
      <c r="AO1077" s="38"/>
      <c r="AP1077" s="38"/>
      <c r="AQ1077" s="38"/>
      <c r="AR1077" s="38"/>
      <c r="AS1077" s="38"/>
      <c r="AT1077" s="38"/>
      <c r="AU1077" s="38">
        <v>69560</v>
      </c>
      <c r="AV1077" s="38">
        <v>17520</v>
      </c>
      <c r="AW1077" s="38"/>
      <c r="AX1077" s="38"/>
      <c r="AY1077" s="38"/>
      <c r="AZ1077" s="38"/>
      <c r="BA1077" s="38"/>
      <c r="BB1077" s="38"/>
    </row>
    <row r="1078" spans="1:54">
      <c r="A1078" s="38" t="s">
        <v>4897</v>
      </c>
      <c r="B1078" s="38" t="s">
        <v>3652</v>
      </c>
      <c r="C1078" s="38" t="s">
        <v>4897</v>
      </c>
      <c r="D1078" s="38" t="s">
        <v>3399</v>
      </c>
      <c r="E1078" s="38"/>
      <c r="F1078" s="38"/>
      <c r="G1078" s="38"/>
      <c r="H1078" s="38" t="s">
        <v>3400</v>
      </c>
      <c r="I1078" s="38" t="s">
        <v>4898</v>
      </c>
      <c r="J1078" s="38"/>
      <c r="K1078" s="38"/>
      <c r="L1078" s="38"/>
      <c r="M1078" s="38"/>
      <c r="N1078" s="38">
        <v>30.7</v>
      </c>
      <c r="O1078" s="38">
        <v>3</v>
      </c>
      <c r="P1078" s="38">
        <v>0.7</v>
      </c>
      <c r="Q1078" s="38">
        <v>8.1</v>
      </c>
      <c r="R1078" s="38">
        <v>9.4</v>
      </c>
      <c r="S1078" s="38">
        <v>2.1429999999999998</v>
      </c>
      <c r="T1078" s="38"/>
      <c r="U1078" s="38"/>
      <c r="V1078" s="38"/>
      <c r="W1078" s="38"/>
      <c r="X1078" s="38"/>
      <c r="Y1078" s="38">
        <v>79.3</v>
      </c>
      <c r="Z1078" s="38">
        <v>1.5</v>
      </c>
      <c r="AA1078" s="38">
        <v>29.8</v>
      </c>
      <c r="AB1078" s="38">
        <v>12.3</v>
      </c>
      <c r="AC1078" s="38">
        <v>49.1</v>
      </c>
      <c r="AD1078" s="38">
        <v>2.2000000000000002</v>
      </c>
      <c r="AE1078" s="38"/>
      <c r="AF1078" s="38"/>
      <c r="AG1078" s="38">
        <v>58.4</v>
      </c>
      <c r="AH1078" s="38">
        <v>15.2</v>
      </c>
      <c r="AI1078" s="38">
        <v>269.3</v>
      </c>
      <c r="AJ1078" s="38"/>
      <c r="AK1078" s="38"/>
      <c r="AL1078" s="38">
        <v>3.6</v>
      </c>
      <c r="AM1078" s="38"/>
      <c r="AN1078" s="38"/>
      <c r="AO1078" s="38"/>
      <c r="AP1078" s="38"/>
      <c r="AQ1078" s="38"/>
      <c r="AR1078" s="38"/>
      <c r="AS1078" s="38"/>
      <c r="AT1078" s="38"/>
      <c r="AU1078" s="38"/>
      <c r="AV1078" s="38">
        <v>6400</v>
      </c>
      <c r="AW1078" s="38">
        <v>27600</v>
      </c>
      <c r="AX1078" s="38">
        <v>1200</v>
      </c>
      <c r="AY1078" s="38">
        <v>41200</v>
      </c>
      <c r="AZ1078" s="38"/>
      <c r="BA1078" s="38"/>
      <c r="BB1078" s="38"/>
    </row>
    <row r="1079" spans="1:54">
      <c r="A1079" s="38" t="s">
        <v>4899</v>
      </c>
      <c r="B1079" s="38" t="s">
        <v>3652</v>
      </c>
      <c r="C1079" s="38" t="s">
        <v>4900</v>
      </c>
      <c r="D1079" s="38" t="s">
        <v>3399</v>
      </c>
      <c r="E1079" s="38" t="s">
        <v>3961</v>
      </c>
      <c r="F1079" s="38"/>
      <c r="G1079" s="38" t="s">
        <v>4901</v>
      </c>
      <c r="H1079" s="38" t="s">
        <v>3400</v>
      </c>
      <c r="I1079" s="38" t="s">
        <v>4902</v>
      </c>
      <c r="J1079" s="38"/>
      <c r="K1079" s="38">
        <v>300</v>
      </c>
      <c r="L1079" s="38"/>
      <c r="M1079" s="38"/>
      <c r="N1079" s="38">
        <v>53.3</v>
      </c>
      <c r="O1079" s="38">
        <v>3</v>
      </c>
      <c r="P1079" s="38"/>
      <c r="Q1079" s="38"/>
      <c r="R1079" s="38">
        <v>7.97</v>
      </c>
      <c r="S1079" s="38"/>
      <c r="T1079" s="38"/>
      <c r="U1079" s="38"/>
      <c r="V1079" s="38"/>
      <c r="W1079" s="38"/>
      <c r="X1079" s="38"/>
      <c r="Y1079" s="38"/>
      <c r="Z1079" s="38"/>
      <c r="AA1079" s="38"/>
      <c r="AB1079" s="38"/>
      <c r="AC1079" s="38"/>
      <c r="AD1079" s="38"/>
      <c r="AE1079" s="38"/>
      <c r="AF1079" s="38"/>
      <c r="AG1079" s="38"/>
      <c r="AH1079" s="38"/>
      <c r="AI1079" s="38"/>
      <c r="AJ1079" s="38"/>
      <c r="AK1079" s="38"/>
      <c r="AL1079" s="38">
        <v>4025</v>
      </c>
      <c r="AM1079" s="38"/>
      <c r="AN1079" s="38"/>
      <c r="AO1079" s="38"/>
      <c r="AP1079" s="38"/>
      <c r="AQ1079" s="38"/>
      <c r="AR1079" s="38"/>
      <c r="AS1079" s="38"/>
      <c r="AT1079" s="38"/>
      <c r="AU1079" s="38">
        <v>43714</v>
      </c>
      <c r="AV1079" s="38">
        <v>15972</v>
      </c>
      <c r="AW1079" s="38">
        <v>6229080</v>
      </c>
      <c r="AX1079" s="38"/>
      <c r="AY1079" s="38"/>
      <c r="AZ1079" s="38"/>
      <c r="BA1079" s="38"/>
      <c r="BB1079" s="38"/>
    </row>
    <row r="1080" spans="1:54">
      <c r="A1080" s="38" t="s">
        <v>4903</v>
      </c>
      <c r="B1080" s="38" t="s">
        <v>3652</v>
      </c>
      <c r="C1080" s="38" t="s">
        <v>4904</v>
      </c>
      <c r="D1080" s="38" t="s">
        <v>3351</v>
      </c>
      <c r="E1080" s="38" t="s">
        <v>3973</v>
      </c>
      <c r="F1080" s="38"/>
      <c r="G1080" s="38"/>
      <c r="H1080" s="38" t="s">
        <v>3400</v>
      </c>
      <c r="I1080" s="38" t="s">
        <v>4905</v>
      </c>
      <c r="J1080" s="38"/>
      <c r="K1080" s="38"/>
      <c r="L1080" s="38"/>
      <c r="M1080" s="38">
        <v>26.6</v>
      </c>
      <c r="N1080" s="38">
        <v>28.7</v>
      </c>
      <c r="O1080" s="38">
        <v>6.11</v>
      </c>
      <c r="P1080" s="38"/>
      <c r="Q1080" s="38"/>
      <c r="R1080" s="38">
        <v>7.3</v>
      </c>
      <c r="S1080" s="38"/>
      <c r="T1080" s="38"/>
      <c r="U1080" s="38"/>
      <c r="V1080" s="38"/>
      <c r="W1080" s="38"/>
      <c r="X1080" s="38"/>
      <c r="Y1080" s="38">
        <v>16.3</v>
      </c>
      <c r="Z1080" s="38"/>
      <c r="AA1080" s="38"/>
      <c r="AB1080" s="38"/>
      <c r="AC1080" s="38">
        <v>22.7</v>
      </c>
      <c r="AD1080" s="38"/>
      <c r="AE1080" s="38"/>
      <c r="AF1080" s="38"/>
      <c r="AG1080" s="38">
        <v>11.7</v>
      </c>
      <c r="AH1080" s="38"/>
      <c r="AI1080" s="38">
        <v>71.7</v>
      </c>
      <c r="AJ1080" s="38"/>
      <c r="AK1080" s="38"/>
      <c r="AL1080" s="38"/>
      <c r="AM1080" s="38"/>
      <c r="AN1080" s="38"/>
      <c r="AO1080" s="38"/>
      <c r="AP1080" s="38"/>
      <c r="AQ1080" s="38"/>
      <c r="AR1080" s="38"/>
      <c r="AS1080" s="38"/>
      <c r="AT1080" s="38"/>
      <c r="AU1080" s="38"/>
      <c r="AV1080" s="38">
        <v>300</v>
      </c>
      <c r="AW1080" s="38"/>
      <c r="AX1080" s="38">
        <v>12400</v>
      </c>
      <c r="AY1080" s="38">
        <v>8500</v>
      </c>
      <c r="AZ1080" s="38" t="s">
        <v>4906</v>
      </c>
      <c r="BA1080" s="38"/>
      <c r="BB1080" s="38"/>
    </row>
    <row r="1081" spans="1:54">
      <c r="A1081" s="38" t="s">
        <v>4907</v>
      </c>
      <c r="B1081" s="38" t="s">
        <v>1948</v>
      </c>
      <c r="C1081" s="38" t="s">
        <v>4908</v>
      </c>
      <c r="D1081" s="38" t="s">
        <v>3399</v>
      </c>
      <c r="E1081" s="38"/>
      <c r="F1081" s="38"/>
      <c r="G1081" s="38" t="s">
        <v>3997</v>
      </c>
      <c r="H1081" s="38" t="s">
        <v>3400</v>
      </c>
      <c r="I1081" s="38" t="s">
        <v>4909</v>
      </c>
      <c r="J1081" s="38"/>
      <c r="K1081" s="38">
        <v>500</v>
      </c>
      <c r="L1081" s="38"/>
      <c r="M1081" s="38"/>
      <c r="N1081" s="38"/>
      <c r="O1081" s="38"/>
      <c r="P1081" s="38"/>
      <c r="Q1081" s="38"/>
      <c r="R1081" s="38">
        <v>10</v>
      </c>
      <c r="S1081" s="38"/>
      <c r="T1081" s="38"/>
      <c r="U1081" s="38"/>
      <c r="V1081" s="38"/>
      <c r="W1081" s="38"/>
      <c r="X1081" s="38"/>
      <c r="Y1081" s="38"/>
      <c r="Z1081" s="38">
        <v>2.2000000000000002</v>
      </c>
      <c r="AA1081" s="38">
        <v>385</v>
      </c>
      <c r="AB1081" s="38"/>
      <c r="AC1081" s="38">
        <v>767</v>
      </c>
      <c r="AD1081" s="38">
        <v>277</v>
      </c>
      <c r="AE1081" s="38"/>
      <c r="AF1081" s="38"/>
      <c r="AG1081" s="38">
        <v>249</v>
      </c>
      <c r="AH1081" s="38"/>
      <c r="AI1081" s="38">
        <v>3074</v>
      </c>
      <c r="AJ1081" s="38"/>
      <c r="AK1081" s="38"/>
      <c r="AL1081" s="38">
        <v>3800</v>
      </c>
      <c r="AM1081" s="38"/>
      <c r="AN1081" s="38"/>
      <c r="AO1081" s="38"/>
      <c r="AP1081" s="38"/>
      <c r="AQ1081" s="38"/>
      <c r="AR1081" s="38"/>
      <c r="AS1081" s="38"/>
      <c r="AT1081" s="38">
        <v>51200</v>
      </c>
      <c r="AU1081" s="38">
        <v>89100</v>
      </c>
      <c r="AV1081" s="38"/>
      <c r="AW1081" s="38">
        <v>9100</v>
      </c>
      <c r="AX1081" s="38"/>
      <c r="AY1081" s="38">
        <v>42700</v>
      </c>
      <c r="AZ1081" s="38"/>
      <c r="BA1081" s="38"/>
      <c r="BB1081" s="38"/>
    </row>
    <row r="1082" spans="1:54">
      <c r="A1082" s="38" t="s">
        <v>4910</v>
      </c>
      <c r="B1082" s="38" t="s">
        <v>3471</v>
      </c>
      <c r="C1082" s="38" t="s">
        <v>4911</v>
      </c>
      <c r="D1082" s="38" t="s">
        <v>3399</v>
      </c>
      <c r="E1082" s="38"/>
      <c r="F1082" s="38"/>
      <c r="G1082" s="38" t="s">
        <v>3997</v>
      </c>
      <c r="H1082" s="38" t="s">
        <v>3400</v>
      </c>
      <c r="I1082" s="38" t="s">
        <v>4909</v>
      </c>
      <c r="J1082" s="38"/>
      <c r="K1082" s="38">
        <v>500</v>
      </c>
      <c r="L1082" s="38"/>
      <c r="M1082" s="38"/>
      <c r="N1082" s="38"/>
      <c r="O1082" s="38"/>
      <c r="P1082" s="38"/>
      <c r="Q1082" s="38"/>
      <c r="R1082" s="38">
        <v>8.3000000000000007</v>
      </c>
      <c r="S1082" s="38"/>
      <c r="T1082" s="38"/>
      <c r="U1082" s="38"/>
      <c r="V1082" s="38"/>
      <c r="W1082" s="38"/>
      <c r="X1082" s="38"/>
      <c r="Y1082" s="38"/>
      <c r="Z1082" s="38"/>
      <c r="AA1082" s="38">
        <v>213</v>
      </c>
      <c r="AB1082" s="38"/>
      <c r="AC1082" s="38">
        <v>411.5</v>
      </c>
      <c r="AD1082" s="38">
        <v>75</v>
      </c>
      <c r="AE1082" s="38"/>
      <c r="AF1082" s="38"/>
      <c r="AG1082" s="38">
        <v>253</v>
      </c>
      <c r="AH1082" s="38"/>
      <c r="AI1082" s="38">
        <v>140</v>
      </c>
      <c r="AJ1082" s="38"/>
      <c r="AK1082" s="38"/>
      <c r="AL1082" s="38">
        <v>1000</v>
      </c>
      <c r="AM1082" s="38"/>
      <c r="AN1082" s="38"/>
      <c r="AO1082" s="38"/>
      <c r="AP1082" s="38"/>
      <c r="AQ1082" s="38"/>
      <c r="AR1082" s="38"/>
      <c r="AS1082" s="38"/>
      <c r="AT1082" s="38">
        <v>2000</v>
      </c>
      <c r="AU1082" s="38">
        <v>9600</v>
      </c>
      <c r="AV1082" s="38"/>
      <c r="AW1082" s="38">
        <v>6600</v>
      </c>
      <c r="AX1082" s="38"/>
      <c r="AY1082" s="38">
        <v>2000</v>
      </c>
      <c r="AZ1082" s="38"/>
      <c r="BA1082" s="38"/>
      <c r="BB1082" s="38"/>
    </row>
    <row r="1083" spans="1:54">
      <c r="A1083" s="38" t="s">
        <v>4912</v>
      </c>
      <c r="B1083" s="38" t="s">
        <v>3471</v>
      </c>
      <c r="C1083" s="38" t="s">
        <v>4911</v>
      </c>
      <c r="D1083" s="38" t="s">
        <v>3399</v>
      </c>
      <c r="E1083" s="38"/>
      <c r="F1083" s="38"/>
      <c r="G1083" s="38" t="s">
        <v>4660</v>
      </c>
      <c r="H1083" s="38" t="s">
        <v>3400</v>
      </c>
      <c r="I1083" s="38" t="s">
        <v>4909</v>
      </c>
      <c r="J1083" s="38"/>
      <c r="K1083" s="38">
        <v>450</v>
      </c>
      <c r="L1083" s="38"/>
      <c r="M1083" s="38"/>
      <c r="N1083" s="38"/>
      <c r="O1083" s="38"/>
      <c r="P1083" s="38"/>
      <c r="Q1083" s="38"/>
      <c r="R1083" s="38">
        <v>9</v>
      </c>
      <c r="S1083" s="38"/>
      <c r="T1083" s="38"/>
      <c r="U1083" s="38"/>
      <c r="V1083" s="38"/>
      <c r="W1083" s="38"/>
      <c r="X1083" s="38"/>
      <c r="Y1083" s="38"/>
      <c r="Z1083" s="38"/>
      <c r="AA1083" s="38">
        <v>40</v>
      </c>
      <c r="AB1083" s="38"/>
      <c r="AC1083" s="38">
        <v>29</v>
      </c>
      <c r="AD1083" s="38">
        <v>62</v>
      </c>
      <c r="AE1083" s="38"/>
      <c r="AF1083" s="38"/>
      <c r="AG1083" s="38">
        <v>23</v>
      </c>
      <c r="AH1083" s="38"/>
      <c r="AI1083" s="38">
        <v>540</v>
      </c>
      <c r="AJ1083" s="38"/>
      <c r="AK1083" s="38"/>
      <c r="AL1083" s="38">
        <v>1000</v>
      </c>
      <c r="AM1083" s="38"/>
      <c r="AN1083" s="38"/>
      <c r="AO1083" s="38"/>
      <c r="AP1083" s="38"/>
      <c r="AQ1083" s="38"/>
      <c r="AR1083" s="38"/>
      <c r="AS1083" s="38"/>
      <c r="AT1083" s="38">
        <v>600</v>
      </c>
      <c r="AU1083" s="38">
        <v>12200</v>
      </c>
      <c r="AV1083" s="38"/>
      <c r="AW1083" s="38">
        <v>9200</v>
      </c>
      <c r="AX1083" s="38"/>
      <c r="AY1083" s="38">
        <v>1900</v>
      </c>
      <c r="AZ1083" s="38"/>
      <c r="BA1083" s="38"/>
      <c r="BB1083" s="38"/>
    </row>
    <row r="1084" spans="1:54">
      <c r="A1084" s="38" t="s">
        <v>4913</v>
      </c>
      <c r="B1084" s="38" t="s">
        <v>3455</v>
      </c>
      <c r="C1084" s="38" t="s">
        <v>4864</v>
      </c>
      <c r="D1084" s="38" t="s">
        <v>3399</v>
      </c>
      <c r="E1084" s="38"/>
      <c r="F1084" s="38"/>
      <c r="G1084" s="38" t="s">
        <v>3997</v>
      </c>
      <c r="H1084" s="38" t="s">
        <v>3400</v>
      </c>
      <c r="I1084" s="38" t="s">
        <v>4909</v>
      </c>
      <c r="J1084" s="38"/>
      <c r="K1084" s="38">
        <v>500</v>
      </c>
      <c r="L1084" s="38"/>
      <c r="M1084" s="38"/>
      <c r="N1084" s="38"/>
      <c r="O1084" s="38"/>
      <c r="P1084" s="38"/>
      <c r="Q1084" s="38"/>
      <c r="R1084" s="38">
        <v>7.1</v>
      </c>
      <c r="S1084" s="38"/>
      <c r="T1084" s="38"/>
      <c r="U1084" s="38"/>
      <c r="V1084" s="38"/>
      <c r="W1084" s="38"/>
      <c r="X1084" s="38"/>
      <c r="Y1084" s="38"/>
      <c r="Z1084" s="38"/>
      <c r="AA1084" s="38">
        <v>83</v>
      </c>
      <c r="AB1084" s="38"/>
      <c r="AC1084" s="38">
        <v>120.25</v>
      </c>
      <c r="AD1084" s="38">
        <v>16</v>
      </c>
      <c r="AE1084" s="38"/>
      <c r="AF1084" s="38"/>
      <c r="AG1084" s="38">
        <v>97</v>
      </c>
      <c r="AH1084" s="38"/>
      <c r="AI1084" s="38">
        <v>205</v>
      </c>
      <c r="AJ1084" s="38"/>
      <c r="AK1084" s="38"/>
      <c r="AL1084" s="38">
        <v>300</v>
      </c>
      <c r="AM1084" s="38"/>
      <c r="AN1084" s="38"/>
      <c r="AO1084" s="38"/>
      <c r="AP1084" s="38"/>
      <c r="AQ1084" s="38"/>
      <c r="AR1084" s="38"/>
      <c r="AS1084" s="38"/>
      <c r="AT1084" s="38">
        <v>3500</v>
      </c>
      <c r="AU1084" s="38">
        <v>3800</v>
      </c>
      <c r="AV1084" s="38"/>
      <c r="AW1084" s="38">
        <v>3500</v>
      </c>
      <c r="AX1084" s="38"/>
      <c r="AY1084" s="38">
        <v>1200</v>
      </c>
      <c r="AZ1084" s="38"/>
      <c r="BA1084" s="38"/>
      <c r="BB1084" s="38"/>
    </row>
    <row r="1085" spans="1:54">
      <c r="A1085" s="38" t="s">
        <v>4914</v>
      </c>
      <c r="B1085" s="38" t="s">
        <v>3455</v>
      </c>
      <c r="C1085" s="38" t="s">
        <v>4864</v>
      </c>
      <c r="D1085" s="38" t="s">
        <v>3399</v>
      </c>
      <c r="E1085" s="38"/>
      <c r="F1085" s="38"/>
      <c r="G1085" s="38" t="s">
        <v>4660</v>
      </c>
      <c r="H1085" s="38" t="s">
        <v>3400</v>
      </c>
      <c r="I1085" s="38" t="s">
        <v>4909</v>
      </c>
      <c r="J1085" s="38"/>
      <c r="K1085" s="38">
        <v>450</v>
      </c>
      <c r="L1085" s="38"/>
      <c r="M1085" s="38"/>
      <c r="N1085" s="38"/>
      <c r="O1085" s="38"/>
      <c r="P1085" s="38"/>
      <c r="Q1085" s="38"/>
      <c r="R1085" s="38">
        <v>8.4</v>
      </c>
      <c r="S1085" s="38"/>
      <c r="T1085" s="38"/>
      <c r="U1085" s="38"/>
      <c r="V1085" s="38"/>
      <c r="W1085" s="38"/>
      <c r="X1085" s="38"/>
      <c r="Y1085" s="38"/>
      <c r="Z1085" s="38"/>
      <c r="AA1085" s="38">
        <v>26.2</v>
      </c>
      <c r="AB1085" s="38"/>
      <c r="AC1085" s="38">
        <v>12</v>
      </c>
      <c r="AD1085" s="38">
        <v>10.1</v>
      </c>
      <c r="AE1085" s="38"/>
      <c r="AF1085" s="38"/>
      <c r="AG1085" s="38">
        <v>24.5</v>
      </c>
      <c r="AH1085" s="38"/>
      <c r="AI1085" s="38">
        <v>181</v>
      </c>
      <c r="AJ1085" s="38"/>
      <c r="AK1085" s="38"/>
      <c r="AL1085" s="38">
        <v>500</v>
      </c>
      <c r="AM1085" s="38"/>
      <c r="AN1085" s="38"/>
      <c r="AO1085" s="38"/>
      <c r="AP1085" s="38"/>
      <c r="AQ1085" s="38"/>
      <c r="AR1085" s="38"/>
      <c r="AS1085" s="38"/>
      <c r="AT1085" s="38">
        <v>500</v>
      </c>
      <c r="AU1085" s="38">
        <v>8300</v>
      </c>
      <c r="AV1085" s="38"/>
      <c r="AW1085" s="38">
        <v>6400</v>
      </c>
      <c r="AX1085" s="38"/>
      <c r="AY1085" s="38">
        <v>1600</v>
      </c>
      <c r="AZ1085" s="38"/>
      <c r="BA1085" s="38"/>
      <c r="BB1085" s="38"/>
    </row>
    <row r="1086" spans="1:54">
      <c r="A1086" s="38" t="s">
        <v>4915</v>
      </c>
      <c r="B1086" s="38" t="s">
        <v>3455</v>
      </c>
      <c r="C1086" s="38" t="s">
        <v>4864</v>
      </c>
      <c r="D1086" s="38" t="s">
        <v>3399</v>
      </c>
      <c r="E1086" s="38"/>
      <c r="F1086" s="38"/>
      <c r="G1086" s="38" t="s">
        <v>4891</v>
      </c>
      <c r="H1086" s="38" t="s">
        <v>3400</v>
      </c>
      <c r="I1086" s="38" t="s">
        <v>4909</v>
      </c>
      <c r="J1086" s="38"/>
      <c r="K1086" s="38">
        <v>750</v>
      </c>
      <c r="L1086" s="38"/>
      <c r="M1086" s="38"/>
      <c r="N1086" s="38"/>
      <c r="O1086" s="38"/>
      <c r="P1086" s="38"/>
      <c r="Q1086" s="38"/>
      <c r="R1086" s="38">
        <v>11.8</v>
      </c>
      <c r="S1086" s="38"/>
      <c r="T1086" s="38"/>
      <c r="U1086" s="38"/>
      <c r="V1086" s="38"/>
      <c r="W1086" s="38"/>
      <c r="X1086" s="38"/>
      <c r="Y1086" s="38"/>
      <c r="Z1086" s="38">
        <v>1.2</v>
      </c>
      <c r="AA1086" s="38">
        <v>26</v>
      </c>
      <c r="AB1086" s="38"/>
      <c r="AC1086" s="38">
        <v>224</v>
      </c>
      <c r="AD1086" s="38">
        <v>9.1</v>
      </c>
      <c r="AE1086" s="38"/>
      <c r="AF1086" s="38"/>
      <c r="AG1086" s="38">
        <v>10</v>
      </c>
      <c r="AH1086" s="38"/>
      <c r="AI1086" s="38">
        <v>1243</v>
      </c>
      <c r="AJ1086" s="38"/>
      <c r="AK1086" s="38"/>
      <c r="AL1086" s="38">
        <v>800</v>
      </c>
      <c r="AM1086" s="38"/>
      <c r="AN1086" s="38"/>
      <c r="AO1086" s="38"/>
      <c r="AP1086" s="38"/>
      <c r="AQ1086" s="38"/>
      <c r="AR1086" s="38"/>
      <c r="AS1086" s="38"/>
      <c r="AT1086" s="38">
        <v>800</v>
      </c>
      <c r="AU1086" s="38">
        <v>92300</v>
      </c>
      <c r="AV1086" s="38"/>
      <c r="AW1086" s="38">
        <v>8300</v>
      </c>
      <c r="AX1086" s="38"/>
      <c r="AY1086" s="38">
        <v>80</v>
      </c>
      <c r="AZ1086" s="38"/>
      <c r="BA1086" s="38"/>
      <c r="BB1086" s="38"/>
    </row>
    <row r="1087" spans="1:54">
      <c r="A1087" s="38" t="s">
        <v>4916</v>
      </c>
      <c r="B1087" s="38" t="s">
        <v>3449</v>
      </c>
      <c r="C1087" s="38" t="s">
        <v>4873</v>
      </c>
      <c r="D1087" s="38" t="s">
        <v>3399</v>
      </c>
      <c r="E1087" s="38" t="s">
        <v>4917</v>
      </c>
      <c r="F1087" s="38"/>
      <c r="G1087" s="38" t="s">
        <v>3997</v>
      </c>
      <c r="H1087" s="38" t="s">
        <v>3400</v>
      </c>
      <c r="I1087" s="38" t="s">
        <v>4918</v>
      </c>
      <c r="J1087" s="38"/>
      <c r="K1087" s="38">
        <v>350</v>
      </c>
      <c r="L1087" s="38">
        <v>1.7</v>
      </c>
      <c r="M1087" s="38"/>
      <c r="N1087" s="38">
        <v>70</v>
      </c>
      <c r="O1087" s="38">
        <v>0.23</v>
      </c>
      <c r="P1087" s="38">
        <v>3.3</v>
      </c>
      <c r="Q1087" s="38"/>
      <c r="R1087" s="38">
        <v>5.0999999999999996</v>
      </c>
      <c r="S1087" s="38"/>
      <c r="T1087" s="38"/>
      <c r="U1087" s="38"/>
      <c r="V1087" s="38"/>
      <c r="W1087" s="38"/>
      <c r="X1087" s="38"/>
      <c r="Y1087" s="38"/>
      <c r="Z1087" s="38"/>
      <c r="AA1087" s="38"/>
      <c r="AB1087" s="38"/>
      <c r="AC1087" s="38"/>
      <c r="AD1087" s="38"/>
      <c r="AE1087" s="38"/>
      <c r="AF1087" s="38"/>
      <c r="AG1087" s="38"/>
      <c r="AH1087" s="38"/>
      <c r="AI1087" s="38"/>
      <c r="AJ1087" s="38"/>
      <c r="AK1087" s="38"/>
      <c r="AL1087" s="38"/>
      <c r="AM1087" s="38"/>
      <c r="AN1087" s="38"/>
      <c r="AO1087" s="38"/>
      <c r="AP1087" s="38">
        <v>48.1</v>
      </c>
      <c r="AQ1087" s="38">
        <v>6.4</v>
      </c>
      <c r="AR1087" s="38"/>
      <c r="AS1087" s="38"/>
      <c r="AT1087" s="38"/>
      <c r="AU1087" s="38"/>
      <c r="AV1087" s="38"/>
      <c r="AW1087" s="38"/>
      <c r="AX1087" s="38"/>
      <c r="AY1087" s="38"/>
      <c r="AZ1087" s="38"/>
      <c r="BA1087" s="38"/>
      <c r="BB1087" s="38"/>
    </row>
    <row r="1088" spans="1:54">
      <c r="A1088" s="38" t="s">
        <v>4919</v>
      </c>
      <c r="B1088" s="38" t="s">
        <v>3449</v>
      </c>
      <c r="C1088" s="38" t="s">
        <v>4920</v>
      </c>
      <c r="D1088" s="38" t="s">
        <v>3399</v>
      </c>
      <c r="E1088" s="38" t="s">
        <v>4917</v>
      </c>
      <c r="F1088" s="38"/>
      <c r="G1088" s="38" t="s">
        <v>3997</v>
      </c>
      <c r="H1088" s="38" t="s">
        <v>3400</v>
      </c>
      <c r="I1088" s="38" t="s">
        <v>4918</v>
      </c>
      <c r="J1088" s="38"/>
      <c r="K1088" s="38">
        <v>350</v>
      </c>
      <c r="L1088" s="38">
        <v>1.8</v>
      </c>
      <c r="M1088" s="38"/>
      <c r="N1088" s="38">
        <v>65.599999999999994</v>
      </c>
      <c r="O1088" s="38">
        <v>0.6</v>
      </c>
      <c r="P1088" s="38">
        <v>3</v>
      </c>
      <c r="Q1088" s="38"/>
      <c r="R1088" s="38">
        <v>4.9000000000000004</v>
      </c>
      <c r="S1088" s="38"/>
      <c r="T1088" s="38"/>
      <c r="U1088" s="38"/>
      <c r="V1088" s="38"/>
      <c r="W1088" s="38"/>
      <c r="X1088" s="38"/>
      <c r="Y1088" s="38"/>
      <c r="Z1088" s="38"/>
      <c r="AA1088" s="38"/>
      <c r="AB1088" s="38"/>
      <c r="AC1088" s="38"/>
      <c r="AD1088" s="38"/>
      <c r="AE1088" s="38"/>
      <c r="AF1088" s="38"/>
      <c r="AG1088" s="38"/>
      <c r="AH1088" s="38"/>
      <c r="AI1088" s="38"/>
      <c r="AJ1088" s="38"/>
      <c r="AK1088" s="38"/>
      <c r="AL1088" s="38"/>
      <c r="AM1088" s="38"/>
      <c r="AN1088" s="38"/>
      <c r="AO1088" s="38"/>
      <c r="AP1088" s="38">
        <v>40.9</v>
      </c>
      <c r="AQ1088" s="38">
        <v>3.2</v>
      </c>
      <c r="AR1088" s="38"/>
      <c r="AS1088" s="38"/>
      <c r="AT1088" s="38"/>
      <c r="AU1088" s="38"/>
      <c r="AV1088" s="38"/>
      <c r="AW1088" s="38"/>
      <c r="AX1088" s="38"/>
      <c r="AY1088" s="38"/>
      <c r="AZ1088" s="38"/>
      <c r="BA1088" s="38"/>
      <c r="BB1088" s="38"/>
    </row>
    <row r="1089" spans="1:54">
      <c r="A1089" s="38" t="s">
        <v>4921</v>
      </c>
      <c r="B1089" s="38" t="s">
        <v>3463</v>
      </c>
      <c r="C1089" s="38" t="s">
        <v>4657</v>
      </c>
      <c r="D1089" s="38" t="s">
        <v>3399</v>
      </c>
      <c r="E1089" s="38" t="s">
        <v>4917</v>
      </c>
      <c r="F1089" s="38"/>
      <c r="G1089" s="38" t="s">
        <v>3997</v>
      </c>
      <c r="H1089" s="38" t="s">
        <v>3400</v>
      </c>
      <c r="I1089" s="38" t="s">
        <v>4918</v>
      </c>
      <c r="J1089" s="38"/>
      <c r="K1089" s="38">
        <v>350</v>
      </c>
      <c r="L1089" s="38">
        <v>1.7</v>
      </c>
      <c r="M1089" s="38"/>
      <c r="N1089" s="38">
        <v>63.2</v>
      </c>
      <c r="O1089" s="38">
        <v>0.32</v>
      </c>
      <c r="P1089" s="38">
        <v>2.1</v>
      </c>
      <c r="Q1089" s="38"/>
      <c r="R1089" s="38">
        <v>4.5</v>
      </c>
      <c r="S1089" s="38"/>
      <c r="T1089" s="38"/>
      <c r="U1089" s="38"/>
      <c r="V1089" s="38"/>
      <c r="W1089" s="38"/>
      <c r="X1089" s="38"/>
      <c r="Y1089" s="38"/>
      <c r="Z1089" s="38"/>
      <c r="AA1089" s="38"/>
      <c r="AB1089" s="38"/>
      <c r="AC1089" s="38"/>
      <c r="AD1089" s="38"/>
      <c r="AE1089" s="38"/>
      <c r="AF1089" s="38"/>
      <c r="AG1089" s="38"/>
      <c r="AH1089" s="38"/>
      <c r="AI1089" s="38"/>
      <c r="AJ1089" s="38"/>
      <c r="AK1089" s="38"/>
      <c r="AL1089" s="38"/>
      <c r="AM1089" s="38"/>
      <c r="AN1089" s="38"/>
      <c r="AO1089" s="38"/>
      <c r="AP1089" s="38">
        <v>42.9</v>
      </c>
      <c r="AQ1089" s="38">
        <v>2.6</v>
      </c>
      <c r="AR1089" s="38"/>
      <c r="AS1089" s="38"/>
      <c r="AT1089" s="38"/>
      <c r="AU1089" s="38"/>
      <c r="AV1089" s="38"/>
      <c r="AW1089" s="38"/>
      <c r="AX1089" s="38"/>
      <c r="AY1089" s="38"/>
      <c r="AZ1089" s="38"/>
      <c r="BA1089" s="38"/>
      <c r="BB1089" s="38"/>
    </row>
    <row r="1090" spans="1:54">
      <c r="A1090" s="38" t="s">
        <v>4922</v>
      </c>
      <c r="B1090" s="38" t="s">
        <v>1948</v>
      </c>
      <c r="C1090" s="38" t="s">
        <v>4923</v>
      </c>
      <c r="D1090" s="38" t="s">
        <v>3399</v>
      </c>
      <c r="E1090" s="38"/>
      <c r="F1090" s="38"/>
      <c r="G1090" s="38"/>
      <c r="H1090" s="38" t="s">
        <v>3400</v>
      </c>
      <c r="I1090" s="38" t="s">
        <v>4924</v>
      </c>
      <c r="J1090" s="38"/>
      <c r="K1090" s="38">
        <v>450</v>
      </c>
      <c r="L1090" s="38">
        <v>3.03</v>
      </c>
      <c r="M1090" s="38"/>
      <c r="N1090" s="38">
        <v>17.47</v>
      </c>
      <c r="O1090" s="38"/>
      <c r="P1090" s="38"/>
      <c r="Q1090" s="38"/>
      <c r="R1090" s="38">
        <v>8.75</v>
      </c>
      <c r="S1090" s="38"/>
      <c r="T1090" s="38"/>
      <c r="U1090" s="38"/>
      <c r="V1090" s="38"/>
      <c r="W1090" s="38"/>
      <c r="X1090" s="38"/>
      <c r="Y1090" s="38"/>
      <c r="Z1090" s="38">
        <v>0.27</v>
      </c>
      <c r="AA1090" s="38">
        <v>99.2</v>
      </c>
      <c r="AB1090" s="38"/>
      <c r="AC1090" s="38">
        <v>52.8</v>
      </c>
      <c r="AD1090" s="38">
        <v>17.55</v>
      </c>
      <c r="AE1090" s="38"/>
      <c r="AF1090" s="38"/>
      <c r="AG1090" s="38">
        <v>24.51</v>
      </c>
      <c r="AH1090" s="38"/>
      <c r="AI1090" s="38">
        <v>78.56</v>
      </c>
      <c r="AJ1090" s="38"/>
      <c r="AK1090" s="38"/>
      <c r="AL1090" s="38"/>
      <c r="AM1090" s="38"/>
      <c r="AN1090" s="38"/>
      <c r="AO1090" s="38"/>
      <c r="AP1090" s="38"/>
      <c r="AQ1090" s="38"/>
      <c r="AR1090" s="38"/>
      <c r="AS1090" s="38"/>
      <c r="AT1090" s="38"/>
      <c r="AU1090" s="38"/>
      <c r="AV1090" s="38"/>
      <c r="AW1090" s="38"/>
      <c r="AX1090" s="38"/>
      <c r="AY1090" s="38"/>
      <c r="AZ1090" s="38"/>
      <c r="BA1090" s="38"/>
      <c r="BB1090" s="38"/>
    </row>
    <row r="1091" spans="1:54">
      <c r="A1091" s="38" t="s">
        <v>4925</v>
      </c>
      <c r="B1091" s="38" t="s">
        <v>1948</v>
      </c>
      <c r="C1091" s="38" t="s">
        <v>4923</v>
      </c>
      <c r="D1091" s="38" t="s">
        <v>3399</v>
      </c>
      <c r="E1091" s="38"/>
      <c r="F1091" s="38"/>
      <c r="G1091" s="38"/>
      <c r="H1091" s="38" t="s">
        <v>3400</v>
      </c>
      <c r="I1091" s="38" t="s">
        <v>4924</v>
      </c>
      <c r="J1091" s="38"/>
      <c r="K1091" s="38">
        <v>600</v>
      </c>
      <c r="L1091" s="38">
        <v>7.32</v>
      </c>
      <c r="M1091" s="38"/>
      <c r="N1091" s="38">
        <v>15.54</v>
      </c>
      <c r="O1091" s="38"/>
      <c r="P1091" s="38"/>
      <c r="Q1091" s="38"/>
      <c r="R1091" s="38">
        <v>9.7200000000000006</v>
      </c>
      <c r="S1091" s="38"/>
      <c r="T1091" s="38"/>
      <c r="U1091" s="38"/>
      <c r="V1091" s="38"/>
      <c r="W1091" s="38"/>
      <c r="X1091" s="38"/>
      <c r="Y1091" s="38"/>
      <c r="Z1091" s="38">
        <v>0.3</v>
      </c>
      <c r="AA1091" s="38">
        <v>115.92</v>
      </c>
      <c r="AB1091" s="38"/>
      <c r="AC1091" s="38">
        <v>54.9</v>
      </c>
      <c r="AD1091" s="38">
        <v>18.309999999999999</v>
      </c>
      <c r="AE1091" s="38"/>
      <c r="AF1091" s="38"/>
      <c r="AG1091" s="38">
        <v>24.69</v>
      </c>
      <c r="AH1091" s="38"/>
      <c r="AI1091" s="38">
        <v>82.6</v>
      </c>
      <c r="AJ1091" s="38"/>
      <c r="AK1091" s="38"/>
      <c r="AL1091" s="38"/>
      <c r="AM1091" s="38"/>
      <c r="AN1091" s="38"/>
      <c r="AO1091" s="38"/>
      <c r="AP1091" s="38"/>
      <c r="AQ1091" s="38"/>
      <c r="AR1091" s="38"/>
      <c r="AS1091" s="38"/>
      <c r="AT1091" s="38"/>
      <c r="AU1091" s="38"/>
      <c r="AV1091" s="38"/>
      <c r="AW1091" s="38"/>
      <c r="AX1091" s="38"/>
      <c r="AY1091" s="38"/>
      <c r="AZ1091" s="38"/>
      <c r="BA1091" s="38"/>
      <c r="BB1091" s="38"/>
    </row>
    <row r="1092" spans="1:54">
      <c r="A1092" s="38" t="s">
        <v>4926</v>
      </c>
      <c r="B1092" s="38" t="s">
        <v>1948</v>
      </c>
      <c r="C1092" s="38" t="s">
        <v>4927</v>
      </c>
      <c r="D1092" s="38" t="s">
        <v>3399</v>
      </c>
      <c r="E1092" s="38"/>
      <c r="F1092" s="38"/>
      <c r="G1092" s="38"/>
      <c r="H1092" s="38" t="s">
        <v>3400</v>
      </c>
      <c r="I1092" s="38" t="s">
        <v>4924</v>
      </c>
      <c r="J1092" s="38"/>
      <c r="K1092" s="38">
        <v>450</v>
      </c>
      <c r="L1092" s="38">
        <v>15.45</v>
      </c>
      <c r="M1092" s="38"/>
      <c r="N1092" s="38">
        <v>23.44</v>
      </c>
      <c r="O1092" s="38"/>
      <c r="P1092" s="38"/>
      <c r="Q1092" s="38"/>
      <c r="R1092" s="38">
        <v>8.7100000000000009</v>
      </c>
      <c r="S1092" s="38"/>
      <c r="T1092" s="38"/>
      <c r="U1092" s="38"/>
      <c r="V1092" s="38"/>
      <c r="W1092" s="38"/>
      <c r="X1092" s="38"/>
      <c r="Y1092" s="38"/>
      <c r="Z1092" s="38">
        <v>0.59</v>
      </c>
      <c r="AA1092" s="38">
        <v>1178.1099999999999</v>
      </c>
      <c r="AB1092" s="38"/>
      <c r="AC1092" s="38">
        <v>82.02</v>
      </c>
      <c r="AD1092" s="38">
        <v>20.8</v>
      </c>
      <c r="AE1092" s="38"/>
      <c r="AF1092" s="38"/>
      <c r="AG1092" s="38">
        <v>53.46</v>
      </c>
      <c r="AH1092" s="38"/>
      <c r="AI1092" s="38">
        <v>137.53</v>
      </c>
      <c r="AJ1092" s="38"/>
      <c r="AK1092" s="38"/>
      <c r="AL1092" s="38"/>
      <c r="AM1092" s="38"/>
      <c r="AN1092" s="38"/>
      <c r="AO1092" s="38"/>
      <c r="AP1092" s="38"/>
      <c r="AQ1092" s="38"/>
      <c r="AR1092" s="38"/>
      <c r="AS1092" s="38"/>
      <c r="AT1092" s="38"/>
      <c r="AU1092" s="38"/>
      <c r="AV1092" s="38"/>
      <c r="AW1092" s="38"/>
      <c r="AX1092" s="38"/>
      <c r="AY1092" s="38"/>
      <c r="AZ1092" s="38"/>
      <c r="BA1092" s="38"/>
      <c r="BB1092" s="38"/>
    </row>
    <row r="1093" spans="1:54">
      <c r="A1093" s="38" t="s">
        <v>4928</v>
      </c>
      <c r="B1093" s="38" t="s">
        <v>1948</v>
      </c>
      <c r="C1093" s="38" t="s">
        <v>4927</v>
      </c>
      <c r="D1093" s="38" t="s">
        <v>3399</v>
      </c>
      <c r="E1093" s="38"/>
      <c r="F1093" s="38"/>
      <c r="G1093" s="38"/>
      <c r="H1093" s="38" t="s">
        <v>3400</v>
      </c>
      <c r="I1093" s="38" t="s">
        <v>4924</v>
      </c>
      <c r="J1093" s="38"/>
      <c r="K1093" s="38">
        <v>600</v>
      </c>
      <c r="L1093" s="38">
        <v>13.34</v>
      </c>
      <c r="M1093" s="38"/>
      <c r="N1093" s="38">
        <v>20.170000000000002</v>
      </c>
      <c r="O1093" s="38"/>
      <c r="P1093" s="38"/>
      <c r="Q1093" s="38"/>
      <c r="R1093" s="38">
        <v>9.57</v>
      </c>
      <c r="S1093" s="38"/>
      <c r="T1093" s="38"/>
      <c r="U1093" s="38"/>
      <c r="V1093" s="38"/>
      <c r="W1093" s="38"/>
      <c r="X1093" s="38"/>
      <c r="Y1093" s="38"/>
      <c r="Z1093" s="38">
        <v>0.6</v>
      </c>
      <c r="AA1093" s="38">
        <v>1358.47</v>
      </c>
      <c r="AB1093" s="38"/>
      <c r="AC1093" s="38">
        <v>86.09</v>
      </c>
      <c r="AD1093" s="38">
        <v>21.09</v>
      </c>
      <c r="AE1093" s="38"/>
      <c r="AF1093" s="38"/>
      <c r="AG1093" s="38">
        <v>62.63</v>
      </c>
      <c r="AH1093" s="38"/>
      <c r="AI1093" s="38">
        <v>148.97</v>
      </c>
      <c r="AJ1093" s="38"/>
      <c r="AK1093" s="38"/>
      <c r="AL1093" s="38"/>
      <c r="AM1093" s="38"/>
      <c r="AN1093" s="38"/>
      <c r="AO1093" s="38"/>
      <c r="AP1093" s="38"/>
      <c r="AQ1093" s="38"/>
      <c r="AR1093" s="38"/>
      <c r="AS1093" s="38"/>
      <c r="AT1093" s="38"/>
      <c r="AU1093" s="38"/>
      <c r="AV1093" s="38"/>
      <c r="AW1093" s="38"/>
      <c r="AX1093" s="38"/>
      <c r="AY1093" s="38"/>
      <c r="AZ1093" s="38"/>
      <c r="BA1093" s="38"/>
      <c r="BB1093" s="38"/>
    </row>
    <row r="1094" spans="1:54">
      <c r="A1094" s="38" t="s">
        <v>4929</v>
      </c>
      <c r="B1094" s="38" t="s">
        <v>3652</v>
      </c>
      <c r="C1094" s="38"/>
      <c r="D1094" s="38" t="s">
        <v>3399</v>
      </c>
      <c r="E1094" s="38" t="s">
        <v>4930</v>
      </c>
      <c r="F1094" s="38"/>
      <c r="G1094" s="38"/>
      <c r="H1094" s="38" t="s">
        <v>3400</v>
      </c>
      <c r="I1094" s="38" t="s">
        <v>4931</v>
      </c>
      <c r="J1094" s="38">
        <v>16.8</v>
      </c>
      <c r="K1094" s="38">
        <v>900</v>
      </c>
      <c r="L1094" s="38">
        <v>24.4</v>
      </c>
      <c r="M1094" s="38">
        <v>48.5</v>
      </c>
      <c r="N1094" s="38">
        <v>48.5</v>
      </c>
      <c r="O1094" s="38">
        <v>0.4</v>
      </c>
      <c r="P1094" s="38">
        <v>2</v>
      </c>
      <c r="Q1094" s="38">
        <v>24.8</v>
      </c>
      <c r="R1094" s="38">
        <v>5</v>
      </c>
      <c r="S1094" s="38">
        <v>2.4E-2</v>
      </c>
      <c r="T1094" s="38"/>
      <c r="U1094" s="38"/>
      <c r="V1094" s="38"/>
      <c r="W1094" s="38"/>
      <c r="X1094" s="38"/>
      <c r="Y1094" s="38"/>
      <c r="Z1094" s="38"/>
      <c r="AA1094" s="38"/>
      <c r="AB1094" s="38"/>
      <c r="AC1094" s="38"/>
      <c r="AD1094" s="38"/>
      <c r="AE1094" s="38"/>
      <c r="AF1094" s="38"/>
      <c r="AG1094" s="38"/>
      <c r="AH1094" s="38"/>
      <c r="AI1094" s="38"/>
      <c r="AJ1094" s="38"/>
      <c r="AK1094" s="38"/>
      <c r="AL1094" s="38"/>
      <c r="AM1094" s="38"/>
      <c r="AN1094" s="38"/>
      <c r="AO1094" s="38"/>
      <c r="AP1094" s="38">
        <v>31.7</v>
      </c>
      <c r="AQ1094" s="38"/>
      <c r="AR1094" s="38"/>
      <c r="AS1094" s="38"/>
      <c r="AT1094" s="38"/>
      <c r="AU1094" s="38"/>
      <c r="AV1094" s="38"/>
      <c r="AW1094" s="38"/>
      <c r="AX1094" s="38"/>
      <c r="AY1094" s="38"/>
      <c r="AZ1094" s="38"/>
      <c r="BA1094" s="38"/>
      <c r="BB1094" s="38"/>
    </row>
    <row r="1095" spans="1:54">
      <c r="A1095" s="38" t="s">
        <v>4932</v>
      </c>
      <c r="B1095" s="38" t="s">
        <v>3652</v>
      </c>
      <c r="C1095" s="38"/>
      <c r="D1095" s="38" t="s">
        <v>3399</v>
      </c>
      <c r="E1095" s="38" t="s">
        <v>4930</v>
      </c>
      <c r="F1095" s="38"/>
      <c r="G1095" s="38"/>
      <c r="H1095" s="38" t="s">
        <v>3400</v>
      </c>
      <c r="I1095" s="38" t="s">
        <v>4931</v>
      </c>
      <c r="J1095" s="38">
        <v>17.7</v>
      </c>
      <c r="K1095" s="38">
        <v>900</v>
      </c>
      <c r="L1095" s="38">
        <v>8.8000000000000007</v>
      </c>
      <c r="M1095" s="38">
        <v>61.3</v>
      </c>
      <c r="N1095" s="38">
        <v>61.3</v>
      </c>
      <c r="O1095" s="38">
        <v>0.4</v>
      </c>
      <c r="P1095" s="38">
        <v>27</v>
      </c>
      <c r="Q1095" s="38">
        <v>26.7</v>
      </c>
      <c r="R1095" s="38">
        <v>6</v>
      </c>
      <c r="S1095" s="38">
        <v>1.7000000000000001E-2</v>
      </c>
      <c r="T1095" s="38"/>
      <c r="U1095" s="38"/>
      <c r="V1095" s="38"/>
      <c r="W1095" s="38"/>
      <c r="X1095" s="38"/>
      <c r="Y1095" s="38"/>
      <c r="Z1095" s="38"/>
      <c r="AA1095" s="38"/>
      <c r="AB1095" s="38"/>
      <c r="AC1095" s="38"/>
      <c r="AD1095" s="38"/>
      <c r="AE1095" s="38"/>
      <c r="AF1095" s="38"/>
      <c r="AG1095" s="38"/>
      <c r="AH1095" s="38"/>
      <c r="AI1095" s="38"/>
      <c r="AJ1095" s="38"/>
      <c r="AK1095" s="38"/>
      <c r="AL1095" s="38"/>
      <c r="AM1095" s="38"/>
      <c r="AN1095" s="38"/>
      <c r="AO1095" s="38"/>
      <c r="AP1095" s="38">
        <v>35.4</v>
      </c>
      <c r="AQ1095" s="38"/>
      <c r="AR1095" s="38"/>
      <c r="AS1095" s="38"/>
      <c r="AT1095" s="38"/>
      <c r="AU1095" s="38"/>
      <c r="AV1095" s="38"/>
      <c r="AW1095" s="38"/>
      <c r="AX1095" s="38"/>
      <c r="AY1095" s="38"/>
      <c r="AZ1095" s="38"/>
      <c r="BA1095" s="38"/>
      <c r="BB1095" s="38"/>
    </row>
    <row r="1096" spans="1:54">
      <c r="A1096" s="38" t="s">
        <v>4933</v>
      </c>
      <c r="B1096" s="38" t="s">
        <v>3652</v>
      </c>
      <c r="C1096" s="38"/>
      <c r="D1096" s="38" t="s">
        <v>3399</v>
      </c>
      <c r="E1096" s="38" t="s">
        <v>4930</v>
      </c>
      <c r="F1096" s="38"/>
      <c r="G1096" s="38"/>
      <c r="H1096" s="38" t="s">
        <v>3400</v>
      </c>
      <c r="I1096" s="38" t="s">
        <v>4931</v>
      </c>
      <c r="J1096" s="38">
        <v>17.8</v>
      </c>
      <c r="K1096" s="38">
        <v>900</v>
      </c>
      <c r="L1096" s="38">
        <v>11.6</v>
      </c>
      <c r="M1096" s="38">
        <v>60.9</v>
      </c>
      <c r="N1096" s="38">
        <v>60.9</v>
      </c>
      <c r="O1096" s="38">
        <v>1</v>
      </c>
      <c r="P1096" s="38">
        <v>2.2000000000000002</v>
      </c>
      <c r="Q1096" s="38">
        <v>24.3</v>
      </c>
      <c r="R1096" s="38">
        <v>5.5</v>
      </c>
      <c r="S1096" s="38">
        <v>0.04</v>
      </c>
      <c r="T1096" s="38"/>
      <c r="U1096" s="38"/>
      <c r="V1096" s="38"/>
      <c r="W1096" s="38"/>
      <c r="X1096" s="38"/>
      <c r="Y1096" s="38"/>
      <c r="Z1096" s="38"/>
      <c r="AA1096" s="38"/>
      <c r="AB1096" s="38"/>
      <c r="AC1096" s="38"/>
      <c r="AD1096" s="38"/>
      <c r="AE1096" s="38"/>
      <c r="AF1096" s="38"/>
      <c r="AG1096" s="38"/>
      <c r="AH1096" s="38"/>
      <c r="AI1096" s="38"/>
      <c r="AJ1096" s="38"/>
      <c r="AK1096" s="38"/>
      <c r="AL1096" s="38"/>
      <c r="AM1096" s="38"/>
      <c r="AN1096" s="38"/>
      <c r="AO1096" s="38"/>
      <c r="AP1096" s="38">
        <v>38.299999999999997</v>
      </c>
      <c r="AQ1096" s="38"/>
      <c r="AR1096" s="38"/>
      <c r="AS1096" s="38"/>
      <c r="AT1096" s="38"/>
      <c r="AU1096" s="38"/>
      <c r="AV1096" s="38"/>
      <c r="AW1096" s="38"/>
      <c r="AX1096" s="38"/>
      <c r="AY1096" s="38"/>
      <c r="AZ1096" s="38"/>
      <c r="BA1096" s="38"/>
      <c r="BB1096" s="38"/>
    </row>
    <row r="1097" spans="1:54">
      <c r="A1097" s="38" t="s">
        <v>4069</v>
      </c>
      <c r="B1097" s="38" t="s">
        <v>3455</v>
      </c>
      <c r="C1097" s="38" t="s">
        <v>4934</v>
      </c>
      <c r="D1097" s="38" t="s">
        <v>3351</v>
      </c>
      <c r="E1097" s="38" t="s">
        <v>1326</v>
      </c>
      <c r="F1097" s="38" t="s">
        <v>4935</v>
      </c>
      <c r="G1097" s="38" t="s">
        <v>3997</v>
      </c>
      <c r="H1097" s="38" t="s">
        <v>3400</v>
      </c>
      <c r="I1097" s="38" t="s">
        <v>4936</v>
      </c>
      <c r="J1097" s="38">
        <v>3.88</v>
      </c>
      <c r="K1097" s="38">
        <v>350</v>
      </c>
      <c r="L1097" s="38">
        <v>1.36</v>
      </c>
      <c r="M1097" s="38">
        <v>78.3</v>
      </c>
      <c r="N1097" s="38"/>
      <c r="O1097" s="38">
        <v>0.33889999999999998</v>
      </c>
      <c r="P1097" s="38"/>
      <c r="Q1097" s="38"/>
      <c r="R1097" s="38">
        <v>7.2</v>
      </c>
      <c r="S1097" s="38">
        <v>0.26</v>
      </c>
      <c r="T1097" s="38"/>
      <c r="U1097" s="38"/>
      <c r="V1097" s="38"/>
      <c r="W1097" s="38"/>
      <c r="X1097" s="38"/>
      <c r="Y1097" s="38"/>
      <c r="Z1097" s="38"/>
      <c r="AA1097" s="38"/>
      <c r="AB1097" s="38"/>
      <c r="AC1097" s="38">
        <v>98</v>
      </c>
      <c r="AD1097" s="38"/>
      <c r="AE1097" s="38"/>
      <c r="AF1097" s="38"/>
      <c r="AG1097" s="38"/>
      <c r="AH1097" s="38"/>
      <c r="AI1097" s="38">
        <v>36</v>
      </c>
      <c r="AJ1097" s="38"/>
      <c r="AK1097" s="38"/>
      <c r="AL1097" s="38"/>
      <c r="AM1097" s="38"/>
      <c r="AN1097" s="38">
        <v>17.600000000000001</v>
      </c>
      <c r="AO1097" s="38" t="s">
        <v>4937</v>
      </c>
      <c r="AP1097" s="38">
        <v>30.16</v>
      </c>
      <c r="AQ1097" s="38">
        <v>254</v>
      </c>
      <c r="AR1097" s="38"/>
      <c r="AS1097" s="38"/>
      <c r="AT1097" s="38">
        <v>158</v>
      </c>
      <c r="AU1097" s="38">
        <v>2780</v>
      </c>
      <c r="AV1097" s="38">
        <v>624</v>
      </c>
      <c r="AW1097" s="38">
        <v>1567</v>
      </c>
      <c r="AX1097" s="38"/>
      <c r="AY1097" s="38">
        <v>241</v>
      </c>
      <c r="AZ1097" s="38"/>
      <c r="BA1097" s="38"/>
      <c r="BB1097" s="38"/>
    </row>
    <row r="1098" spans="1:54">
      <c r="A1098" s="38" t="s">
        <v>4938</v>
      </c>
      <c r="B1098" s="38" t="s">
        <v>3455</v>
      </c>
      <c r="C1098" s="38" t="s">
        <v>4934</v>
      </c>
      <c r="D1098" s="38" t="s">
        <v>3351</v>
      </c>
      <c r="E1098" s="38" t="s">
        <v>1326</v>
      </c>
      <c r="F1098" s="38" t="s">
        <v>4935</v>
      </c>
      <c r="G1098" s="38" t="s">
        <v>3997</v>
      </c>
      <c r="H1098" s="38" t="s">
        <v>3400</v>
      </c>
      <c r="I1098" s="38" t="s">
        <v>4936</v>
      </c>
      <c r="J1098" s="38">
        <v>3.58</v>
      </c>
      <c r="K1098" s="38">
        <v>450</v>
      </c>
      <c r="L1098" s="38">
        <v>1.7</v>
      </c>
      <c r="M1098" s="38">
        <v>83.62</v>
      </c>
      <c r="N1098" s="38"/>
      <c r="O1098" s="38">
        <v>0.36330000000000001</v>
      </c>
      <c r="P1098" s="38"/>
      <c r="Q1098" s="38"/>
      <c r="R1098" s="38">
        <v>7.5</v>
      </c>
      <c r="S1098" s="38">
        <v>0.26</v>
      </c>
      <c r="T1098" s="38"/>
      <c r="U1098" s="38"/>
      <c r="V1098" s="38"/>
      <c r="W1098" s="38"/>
      <c r="X1098" s="38"/>
      <c r="Y1098" s="38"/>
      <c r="Z1098" s="38"/>
      <c r="AA1098" s="38"/>
      <c r="AB1098" s="38"/>
      <c r="AC1098" s="38">
        <v>134</v>
      </c>
      <c r="AD1098" s="38"/>
      <c r="AE1098" s="38"/>
      <c r="AF1098" s="38"/>
      <c r="AG1098" s="38"/>
      <c r="AH1098" s="38"/>
      <c r="AI1098" s="38">
        <v>42</v>
      </c>
      <c r="AJ1098" s="38"/>
      <c r="AK1098" s="38"/>
      <c r="AL1098" s="38"/>
      <c r="AM1098" s="38"/>
      <c r="AN1098" s="38">
        <v>12.6</v>
      </c>
      <c r="AO1098" s="38" t="s">
        <v>4937</v>
      </c>
      <c r="AP1098" s="38">
        <v>19.13</v>
      </c>
      <c r="AQ1098" s="38">
        <v>288</v>
      </c>
      <c r="AR1098" s="38"/>
      <c r="AS1098" s="38"/>
      <c r="AT1098" s="38">
        <v>148</v>
      </c>
      <c r="AU1098" s="38">
        <v>3316</v>
      </c>
      <c r="AV1098" s="38">
        <v>574</v>
      </c>
      <c r="AW1098" s="38">
        <v>1708</v>
      </c>
      <c r="AX1098" s="38"/>
      <c r="AY1098" s="38">
        <v>200</v>
      </c>
      <c r="AZ1098" s="38"/>
      <c r="BA1098" s="38"/>
      <c r="BB1098" s="38"/>
    </row>
    <row r="1099" spans="1:54">
      <c r="A1099" s="38" t="s">
        <v>4239</v>
      </c>
      <c r="B1099" s="38" t="s">
        <v>3455</v>
      </c>
      <c r="C1099" s="38" t="s">
        <v>4934</v>
      </c>
      <c r="D1099" s="38" t="s">
        <v>3351</v>
      </c>
      <c r="E1099" s="38" t="s">
        <v>1326</v>
      </c>
      <c r="F1099" s="38" t="s">
        <v>4935</v>
      </c>
      <c r="G1099" s="38" t="s">
        <v>3997</v>
      </c>
      <c r="H1099" s="38" t="s">
        <v>3400</v>
      </c>
      <c r="I1099" s="38" t="s">
        <v>4936</v>
      </c>
      <c r="J1099" s="38">
        <v>4.2699999999999996</v>
      </c>
      <c r="K1099" s="38">
        <v>550</v>
      </c>
      <c r="L1099" s="38">
        <v>2.48</v>
      </c>
      <c r="M1099" s="38">
        <v>86.02</v>
      </c>
      <c r="N1099" s="38"/>
      <c r="O1099" s="38">
        <v>0.42070000000000002</v>
      </c>
      <c r="P1099" s="38"/>
      <c r="Q1099" s="38"/>
      <c r="R1099" s="38">
        <v>8.1999999999999993</v>
      </c>
      <c r="S1099" s="38">
        <v>0.51</v>
      </c>
      <c r="T1099" s="38"/>
      <c r="U1099" s="38"/>
      <c r="V1099" s="38"/>
      <c r="W1099" s="38"/>
      <c r="X1099" s="38"/>
      <c r="Y1099" s="38"/>
      <c r="Z1099" s="38"/>
      <c r="AA1099" s="38"/>
      <c r="AB1099" s="38"/>
      <c r="AC1099" s="38">
        <v>170</v>
      </c>
      <c r="AD1099" s="38"/>
      <c r="AE1099" s="38"/>
      <c r="AF1099" s="38"/>
      <c r="AG1099" s="38"/>
      <c r="AH1099" s="38"/>
      <c r="AI1099" s="38">
        <v>38</v>
      </c>
      <c r="AJ1099" s="38"/>
      <c r="AK1099" s="38"/>
      <c r="AL1099" s="38"/>
      <c r="AM1099" s="38"/>
      <c r="AN1099" s="38">
        <v>10.199999999999999</v>
      </c>
      <c r="AO1099" s="38" t="s">
        <v>4937</v>
      </c>
      <c r="AP1099" s="38">
        <v>13.17</v>
      </c>
      <c r="AQ1099" s="38">
        <v>399</v>
      </c>
      <c r="AR1099" s="38"/>
      <c r="AS1099" s="38"/>
      <c r="AT1099" s="38">
        <v>162</v>
      </c>
      <c r="AU1099" s="38">
        <v>3873</v>
      </c>
      <c r="AV1099" s="38">
        <v>812</v>
      </c>
      <c r="AW1099" s="38">
        <v>2013</v>
      </c>
      <c r="AX1099" s="38"/>
      <c r="AY1099" s="38">
        <v>285</v>
      </c>
      <c r="AZ1099" s="38"/>
      <c r="BA1099" s="38"/>
      <c r="BB1099" s="38"/>
    </row>
    <row r="1100" spans="1:54">
      <c r="A1100" s="38" t="s">
        <v>4939</v>
      </c>
      <c r="B1100" s="38" t="s">
        <v>3487</v>
      </c>
      <c r="C1100" s="38" t="s">
        <v>4940</v>
      </c>
      <c r="D1100" s="38" t="s">
        <v>3351</v>
      </c>
      <c r="E1100" s="38" t="s">
        <v>1326</v>
      </c>
      <c r="F1100" s="38" t="s">
        <v>4941</v>
      </c>
      <c r="G1100" s="38" t="s">
        <v>3997</v>
      </c>
      <c r="H1100" s="38" t="s">
        <v>3400</v>
      </c>
      <c r="I1100" s="38" t="s">
        <v>4936</v>
      </c>
      <c r="J1100" s="38">
        <v>3.2989999999999999</v>
      </c>
      <c r="K1100" s="38">
        <v>350</v>
      </c>
      <c r="L1100" s="38">
        <v>1.55</v>
      </c>
      <c r="M1100" s="38">
        <v>82.79</v>
      </c>
      <c r="N1100" s="38"/>
      <c r="O1100" s="38">
        <v>0.30719999999999997</v>
      </c>
      <c r="P1100" s="38"/>
      <c r="Q1100" s="38"/>
      <c r="R1100" s="38">
        <v>8</v>
      </c>
      <c r="S1100" s="38">
        <v>1.25</v>
      </c>
      <c r="T1100" s="38"/>
      <c r="U1100" s="38"/>
      <c r="V1100" s="38"/>
      <c r="W1100" s="38"/>
      <c r="X1100" s="38"/>
      <c r="Y1100" s="38"/>
      <c r="Z1100" s="38"/>
      <c r="AA1100" s="38"/>
      <c r="AB1100" s="38"/>
      <c r="AC1100" s="38">
        <v>19</v>
      </c>
      <c r="AD1100" s="38"/>
      <c r="AE1100" s="38"/>
      <c r="AF1100" s="38"/>
      <c r="AG1100" s="38"/>
      <c r="AH1100" s="38"/>
      <c r="AI1100" s="38">
        <v>17</v>
      </c>
      <c r="AJ1100" s="38"/>
      <c r="AK1100" s="38"/>
      <c r="AL1100" s="38"/>
      <c r="AM1100" s="38"/>
      <c r="AN1100" s="38">
        <v>25.5</v>
      </c>
      <c r="AO1100" s="38" t="s">
        <v>4937</v>
      </c>
      <c r="AP1100" s="38">
        <v>17.079999999999998</v>
      </c>
      <c r="AQ1100" s="38">
        <v>267</v>
      </c>
      <c r="AR1100" s="38"/>
      <c r="AS1100" s="38"/>
      <c r="AT1100" s="38">
        <v>104</v>
      </c>
      <c r="AU1100" s="38">
        <v>2546</v>
      </c>
      <c r="AV1100" s="38">
        <v>184</v>
      </c>
      <c r="AW1100" s="38">
        <v>2078</v>
      </c>
      <c r="AX1100" s="38"/>
      <c r="AY1100" s="38">
        <v>217</v>
      </c>
      <c r="AZ1100" s="38"/>
      <c r="BA1100" s="38"/>
      <c r="BB1100" s="38"/>
    </row>
    <row r="1101" spans="1:54">
      <c r="A1101" s="38" t="s">
        <v>4942</v>
      </c>
      <c r="B1101" s="38" t="s">
        <v>3487</v>
      </c>
      <c r="C1101" s="38" t="s">
        <v>4940</v>
      </c>
      <c r="D1101" s="38" t="s">
        <v>3351</v>
      </c>
      <c r="E1101" s="38" t="s">
        <v>1326</v>
      </c>
      <c r="F1101" s="38" t="s">
        <v>4941</v>
      </c>
      <c r="G1101" s="38" t="s">
        <v>3997</v>
      </c>
      <c r="H1101" s="38" t="s">
        <v>3400</v>
      </c>
      <c r="I1101" s="38" t="s">
        <v>4936</v>
      </c>
      <c r="J1101" s="38">
        <v>2.85</v>
      </c>
      <c r="K1101" s="38">
        <v>450</v>
      </c>
      <c r="L1101" s="38">
        <v>1.64</v>
      </c>
      <c r="M1101" s="38">
        <v>86.19</v>
      </c>
      <c r="N1101" s="38"/>
      <c r="O1101" s="38">
        <v>0.34279999999999999</v>
      </c>
      <c r="P1101" s="38"/>
      <c r="Q1101" s="38"/>
      <c r="R1101" s="38">
        <v>9.1</v>
      </c>
      <c r="S1101" s="38">
        <v>1.03</v>
      </c>
      <c r="T1101" s="38"/>
      <c r="U1101" s="38"/>
      <c r="V1101" s="38"/>
      <c r="W1101" s="38"/>
      <c r="X1101" s="38"/>
      <c r="Y1101" s="38"/>
      <c r="Z1101" s="38"/>
      <c r="AA1101" s="38"/>
      <c r="AB1101" s="38"/>
      <c r="AC1101" s="38">
        <v>13</v>
      </c>
      <c r="AD1101" s="38"/>
      <c r="AE1101" s="38"/>
      <c r="AF1101" s="38"/>
      <c r="AG1101" s="38"/>
      <c r="AH1101" s="38"/>
      <c r="AI1101" s="38">
        <v>19</v>
      </c>
      <c r="AJ1101" s="38"/>
      <c r="AK1101" s="38"/>
      <c r="AL1101" s="38"/>
      <c r="AM1101" s="38"/>
      <c r="AN1101" s="38">
        <v>18.600000000000001</v>
      </c>
      <c r="AO1101" s="38" t="s">
        <v>4937</v>
      </c>
      <c r="AP1101" s="38">
        <v>11.71</v>
      </c>
      <c r="AQ1101" s="38">
        <v>358</v>
      </c>
      <c r="AR1101" s="38"/>
      <c r="AS1101" s="38"/>
      <c r="AT1101" s="38">
        <v>88</v>
      </c>
      <c r="AU1101" s="38">
        <v>2328</v>
      </c>
      <c r="AV1101" s="38">
        <v>345</v>
      </c>
      <c r="AW1101" s="38">
        <v>1501</v>
      </c>
      <c r="AX1101" s="38"/>
      <c r="AY1101" s="38">
        <v>125</v>
      </c>
      <c r="AZ1101" s="38"/>
      <c r="BA1101" s="38"/>
      <c r="BB1101" s="38"/>
    </row>
    <row r="1102" spans="1:54">
      <c r="A1102" s="38" t="s">
        <v>4943</v>
      </c>
      <c r="B1102" s="38" t="s">
        <v>3487</v>
      </c>
      <c r="C1102" s="38" t="s">
        <v>4944</v>
      </c>
      <c r="D1102" s="38" t="s">
        <v>3351</v>
      </c>
      <c r="E1102" s="38" t="s">
        <v>1326</v>
      </c>
      <c r="F1102" s="38" t="s">
        <v>4941</v>
      </c>
      <c r="G1102" s="38" t="s">
        <v>3997</v>
      </c>
      <c r="H1102" s="38" t="s">
        <v>3400</v>
      </c>
      <c r="I1102" s="38" t="s">
        <v>4936</v>
      </c>
      <c r="J1102" s="38">
        <v>3.34</v>
      </c>
      <c r="K1102" s="38">
        <v>550</v>
      </c>
      <c r="L1102" s="38">
        <v>1.91</v>
      </c>
      <c r="M1102" s="38">
        <v>88.71</v>
      </c>
      <c r="N1102" s="38"/>
      <c r="O1102" s="38">
        <v>0.35830000000000001</v>
      </c>
      <c r="P1102" s="38"/>
      <c r="Q1102" s="38"/>
      <c r="R1102" s="38">
        <v>9.8000000000000007</v>
      </c>
      <c r="S1102" s="38">
        <v>1.39</v>
      </c>
      <c r="T1102" s="38"/>
      <c r="U1102" s="38"/>
      <c r="V1102" s="38"/>
      <c r="W1102" s="38"/>
      <c r="X1102" s="38"/>
      <c r="Y1102" s="38"/>
      <c r="Z1102" s="38"/>
      <c r="AA1102" s="38"/>
      <c r="AB1102" s="38"/>
      <c r="AC1102" s="38">
        <v>18</v>
      </c>
      <c r="AD1102" s="38"/>
      <c r="AE1102" s="38"/>
      <c r="AF1102" s="38"/>
      <c r="AG1102" s="38"/>
      <c r="AH1102" s="38"/>
      <c r="AI1102" s="38">
        <v>30</v>
      </c>
      <c r="AJ1102" s="38"/>
      <c r="AK1102" s="38"/>
      <c r="AL1102" s="38"/>
      <c r="AM1102" s="38"/>
      <c r="AN1102" s="38">
        <v>14.3</v>
      </c>
      <c r="AO1102" s="38" t="s">
        <v>4937</v>
      </c>
      <c r="AP1102" s="38">
        <v>6.44</v>
      </c>
      <c r="AQ1102" s="38">
        <v>362</v>
      </c>
      <c r="AR1102" s="38"/>
      <c r="AS1102" s="38"/>
      <c r="AT1102" s="38">
        <v>85</v>
      </c>
      <c r="AU1102" s="38">
        <v>3412</v>
      </c>
      <c r="AV1102" s="38">
        <v>472</v>
      </c>
      <c r="AW1102" s="38">
        <v>181</v>
      </c>
      <c r="AX1102" s="38"/>
      <c r="AY1102" s="38">
        <v>158</v>
      </c>
      <c r="AZ1102" s="38"/>
      <c r="BA1102" s="38"/>
      <c r="BB1102" s="38"/>
    </row>
    <row r="1103" spans="1:54">
      <c r="A1103" s="38" t="s">
        <v>4945</v>
      </c>
      <c r="B1103" s="38" t="s">
        <v>3449</v>
      </c>
      <c r="C1103" s="38" t="s">
        <v>4946</v>
      </c>
      <c r="D1103" s="38" t="s">
        <v>3351</v>
      </c>
      <c r="E1103" s="38" t="s">
        <v>1326</v>
      </c>
      <c r="F1103" s="38" t="s">
        <v>4941</v>
      </c>
      <c r="G1103" s="38" t="s">
        <v>3997</v>
      </c>
      <c r="H1103" s="38" t="s">
        <v>3400</v>
      </c>
      <c r="I1103" s="38" t="s">
        <v>4936</v>
      </c>
      <c r="J1103" s="38">
        <v>3.7</v>
      </c>
      <c r="K1103" s="38">
        <v>350</v>
      </c>
      <c r="L1103" s="38">
        <v>2.21</v>
      </c>
      <c r="M1103" s="38">
        <v>74.47</v>
      </c>
      <c r="N1103" s="38"/>
      <c r="O1103" s="38">
        <v>0.28110000000000002</v>
      </c>
      <c r="P1103" s="38"/>
      <c r="Q1103" s="38"/>
      <c r="R1103" s="38">
        <v>8</v>
      </c>
      <c r="S1103" s="38">
        <v>0.77</v>
      </c>
      <c r="T1103" s="38"/>
      <c r="U1103" s="38"/>
      <c r="V1103" s="38"/>
      <c r="W1103" s="38"/>
      <c r="X1103" s="38"/>
      <c r="Y1103" s="38"/>
      <c r="Z1103" s="38"/>
      <c r="AA1103" s="38"/>
      <c r="AB1103" s="38"/>
      <c r="AC1103" s="38">
        <v>17</v>
      </c>
      <c r="AD1103" s="38"/>
      <c r="AE1103" s="38"/>
      <c r="AF1103" s="38"/>
      <c r="AG1103" s="38"/>
      <c r="AH1103" s="38"/>
      <c r="AI1103" s="38">
        <v>26</v>
      </c>
      <c r="AJ1103" s="38"/>
      <c r="AK1103" s="38"/>
      <c r="AL1103" s="38"/>
      <c r="AM1103" s="38"/>
      <c r="AN1103" s="38">
        <v>19.100000000000001</v>
      </c>
      <c r="AO1103" s="38" t="s">
        <v>4937</v>
      </c>
      <c r="AP1103" s="38">
        <v>31.85</v>
      </c>
      <c r="AQ1103" s="38">
        <v>268</v>
      </c>
      <c r="AR1103" s="38"/>
      <c r="AS1103" s="38"/>
      <c r="AT1103" s="38">
        <v>213</v>
      </c>
      <c r="AU1103" s="38">
        <v>3398</v>
      </c>
      <c r="AV1103" s="38">
        <v>427</v>
      </c>
      <c r="AW1103" s="38">
        <v>7797</v>
      </c>
      <c r="AX1103" s="38"/>
      <c r="AY1103" s="38">
        <v>256</v>
      </c>
      <c r="AZ1103" s="38"/>
      <c r="BA1103" s="38"/>
      <c r="BB1103" s="38"/>
    </row>
    <row r="1104" spans="1:54">
      <c r="A1104" s="38" t="s">
        <v>4947</v>
      </c>
      <c r="B1104" s="38" t="s">
        <v>3449</v>
      </c>
      <c r="C1104" s="38" t="s">
        <v>4946</v>
      </c>
      <c r="D1104" s="38" t="s">
        <v>3351</v>
      </c>
      <c r="E1104" s="38" t="s">
        <v>1326</v>
      </c>
      <c r="F1104" s="38" t="s">
        <v>4941</v>
      </c>
      <c r="G1104" s="38" t="s">
        <v>3997</v>
      </c>
      <c r="H1104" s="38" t="s">
        <v>3400</v>
      </c>
      <c r="I1104" s="38" t="s">
        <v>4936</v>
      </c>
      <c r="J1104" s="38">
        <v>3.97</v>
      </c>
      <c r="K1104" s="38">
        <v>450</v>
      </c>
      <c r="L1104" s="38">
        <v>2.19</v>
      </c>
      <c r="M1104" s="38">
        <v>84.46</v>
      </c>
      <c r="N1104" s="38"/>
      <c r="O1104" s="38">
        <v>0.36809999999999998</v>
      </c>
      <c r="P1104" s="38"/>
      <c r="Q1104" s="38"/>
      <c r="R1104" s="38">
        <v>8.9</v>
      </c>
      <c r="S1104" s="38">
        <v>1.1499999999999999</v>
      </c>
      <c r="T1104" s="38"/>
      <c r="U1104" s="38"/>
      <c r="V1104" s="38"/>
      <c r="W1104" s="38"/>
      <c r="X1104" s="38"/>
      <c r="Y1104" s="38"/>
      <c r="Z1104" s="38"/>
      <c r="AA1104" s="38"/>
      <c r="AB1104" s="38"/>
      <c r="AC1104" s="38">
        <v>17</v>
      </c>
      <c r="AD1104" s="38"/>
      <c r="AE1104" s="38"/>
      <c r="AF1104" s="38"/>
      <c r="AG1104" s="38"/>
      <c r="AH1104" s="38"/>
      <c r="AI1104" s="38">
        <v>12</v>
      </c>
      <c r="AJ1104" s="38"/>
      <c r="AK1104" s="38"/>
      <c r="AL1104" s="38"/>
      <c r="AM1104" s="38"/>
      <c r="AN1104" s="38">
        <v>15.8</v>
      </c>
      <c r="AO1104" s="38" t="s">
        <v>4937</v>
      </c>
      <c r="AP1104" s="38">
        <v>14.42</v>
      </c>
      <c r="AQ1104" s="38">
        <v>330</v>
      </c>
      <c r="AR1104" s="38"/>
      <c r="AS1104" s="38"/>
      <c r="AT1104" s="38">
        <v>264</v>
      </c>
      <c r="AU1104" s="38">
        <v>3516</v>
      </c>
      <c r="AV1104" s="38">
        <v>438</v>
      </c>
      <c r="AW1104" s="38">
        <v>9383</v>
      </c>
      <c r="AX1104" s="38"/>
      <c r="AY1104" s="38">
        <v>162</v>
      </c>
      <c r="AZ1104" s="38"/>
      <c r="BA1104" s="38"/>
      <c r="BB1104" s="38"/>
    </row>
    <row r="1105" spans="1:54">
      <c r="A1105" s="38" t="s">
        <v>4948</v>
      </c>
      <c r="B1105" s="38" t="s">
        <v>3449</v>
      </c>
      <c r="C1105" s="38" t="s">
        <v>4946</v>
      </c>
      <c r="D1105" s="38" t="s">
        <v>3351</v>
      </c>
      <c r="E1105" s="38" t="s">
        <v>1326</v>
      </c>
      <c r="F1105" s="38" t="s">
        <v>4941</v>
      </c>
      <c r="G1105" s="38" t="s">
        <v>3997</v>
      </c>
      <c r="H1105" s="38" t="s">
        <v>3400</v>
      </c>
      <c r="I1105" s="38" t="s">
        <v>4936</v>
      </c>
      <c r="J1105" s="38">
        <v>3.86</v>
      </c>
      <c r="K1105" s="38">
        <v>550</v>
      </c>
      <c r="L1105" s="38">
        <v>3.12</v>
      </c>
      <c r="M1105" s="38">
        <v>87.21</v>
      </c>
      <c r="N1105" s="38"/>
      <c r="O1105" s="38">
        <v>0.40710000000000002</v>
      </c>
      <c r="P1105" s="38"/>
      <c r="Q1105" s="38"/>
      <c r="R1105" s="38">
        <v>9.1</v>
      </c>
      <c r="S1105" s="38">
        <v>1.79</v>
      </c>
      <c r="T1105" s="38"/>
      <c r="U1105" s="38"/>
      <c r="V1105" s="38"/>
      <c r="W1105" s="38"/>
      <c r="X1105" s="38"/>
      <c r="Y1105" s="38"/>
      <c r="Z1105" s="38"/>
      <c r="AA1105" s="38"/>
      <c r="AB1105" s="38"/>
      <c r="AC1105" s="38">
        <v>15</v>
      </c>
      <c r="AD1105" s="38"/>
      <c r="AE1105" s="38"/>
      <c r="AF1105" s="38"/>
      <c r="AG1105" s="38"/>
      <c r="AH1105" s="38"/>
      <c r="AI1105" s="38">
        <v>35</v>
      </c>
      <c r="AJ1105" s="38"/>
      <c r="AK1105" s="38"/>
      <c r="AL1105" s="38"/>
      <c r="AM1105" s="38"/>
      <c r="AN1105" s="38">
        <v>14.2</v>
      </c>
      <c r="AO1105" s="38" t="s">
        <v>4937</v>
      </c>
      <c r="AP1105" s="38">
        <v>8.86</v>
      </c>
      <c r="AQ1105" s="38">
        <v>396</v>
      </c>
      <c r="AR1105" s="38"/>
      <c r="AS1105" s="38"/>
      <c r="AT1105" s="38">
        <v>288</v>
      </c>
      <c r="AU1105" s="38">
        <v>4273</v>
      </c>
      <c r="AV1105" s="38">
        <v>464</v>
      </c>
      <c r="AW1105" s="38">
        <v>9745</v>
      </c>
      <c r="AX1105" s="38"/>
      <c r="AY1105" s="38">
        <v>159</v>
      </c>
      <c r="AZ1105" s="38"/>
      <c r="BA1105" s="38"/>
      <c r="BB1105" s="38"/>
    </row>
    <row r="1106" spans="1:54">
      <c r="A1106" s="38" t="s">
        <v>4949</v>
      </c>
      <c r="B1106" s="38" t="s">
        <v>3652</v>
      </c>
      <c r="C1106" s="38" t="s">
        <v>4673</v>
      </c>
      <c r="D1106" s="38" t="s">
        <v>3351</v>
      </c>
      <c r="E1106" s="38" t="s">
        <v>1326</v>
      </c>
      <c r="F1106" s="38" t="s">
        <v>4941</v>
      </c>
      <c r="G1106" s="38" t="s">
        <v>3997</v>
      </c>
      <c r="H1106" s="38" t="s">
        <v>3400</v>
      </c>
      <c r="I1106" s="38" t="s">
        <v>4936</v>
      </c>
      <c r="J1106" s="38">
        <v>4.21</v>
      </c>
      <c r="K1106" s="38">
        <v>350</v>
      </c>
      <c r="L1106" s="38">
        <v>8.2200000000000006</v>
      </c>
      <c r="M1106" s="38">
        <v>67.260000000000005</v>
      </c>
      <c r="N1106" s="38"/>
      <c r="O1106" s="38">
        <v>1.0478000000000001</v>
      </c>
      <c r="P1106" s="38"/>
      <c r="Q1106" s="38"/>
      <c r="R1106" s="38">
        <v>8.6999999999999993</v>
      </c>
      <c r="S1106" s="38">
        <v>2.0299999999999998</v>
      </c>
      <c r="T1106" s="38"/>
      <c r="U1106" s="38"/>
      <c r="V1106" s="38"/>
      <c r="W1106" s="38"/>
      <c r="X1106" s="38"/>
      <c r="Y1106" s="38"/>
      <c r="Z1106" s="38"/>
      <c r="AA1106" s="38"/>
      <c r="AB1106" s="38"/>
      <c r="AC1106" s="38">
        <v>96</v>
      </c>
      <c r="AD1106" s="38"/>
      <c r="AE1106" s="38"/>
      <c r="AF1106" s="38"/>
      <c r="AG1106" s="38"/>
      <c r="AH1106" s="38"/>
      <c r="AI1106" s="38">
        <v>29</v>
      </c>
      <c r="AJ1106" s="38"/>
      <c r="AK1106" s="38"/>
      <c r="AL1106" s="38"/>
      <c r="AM1106" s="38"/>
      <c r="AN1106" s="38">
        <v>34.4</v>
      </c>
      <c r="AO1106" s="38" t="s">
        <v>4937</v>
      </c>
      <c r="AP1106" s="38">
        <v>29.75</v>
      </c>
      <c r="AQ1106" s="38">
        <v>170</v>
      </c>
      <c r="AR1106" s="38"/>
      <c r="AS1106" s="38"/>
      <c r="AT1106" s="38">
        <v>1047</v>
      </c>
      <c r="AU1106" s="38">
        <v>23230</v>
      </c>
      <c r="AV1106" s="38">
        <v>1664</v>
      </c>
      <c r="AW1106" s="38">
        <v>7026</v>
      </c>
      <c r="AX1106" s="38"/>
      <c r="AY1106" s="38">
        <v>494</v>
      </c>
      <c r="AZ1106" s="38"/>
      <c r="BA1106" s="38"/>
      <c r="BB1106" s="38"/>
    </row>
    <row r="1107" spans="1:54">
      <c r="A1107" s="38" t="s">
        <v>4950</v>
      </c>
      <c r="B1107" s="38" t="s">
        <v>3652</v>
      </c>
      <c r="C1107" s="38" t="s">
        <v>4673</v>
      </c>
      <c r="D1107" s="38" t="s">
        <v>3351</v>
      </c>
      <c r="E1107" s="38" t="s">
        <v>1326</v>
      </c>
      <c r="F1107" s="38" t="s">
        <v>4941</v>
      </c>
      <c r="G1107" s="38" t="s">
        <v>3997</v>
      </c>
      <c r="H1107" s="38" t="s">
        <v>3400</v>
      </c>
      <c r="I1107" s="38" t="s">
        <v>4936</v>
      </c>
      <c r="J1107" s="38">
        <v>3.94</v>
      </c>
      <c r="K1107" s="38">
        <v>450</v>
      </c>
      <c r="L1107" s="38">
        <v>8.9</v>
      </c>
      <c r="M1107" s="38">
        <v>74.56</v>
      </c>
      <c r="N1107" s="38"/>
      <c r="O1107" s="38">
        <v>1.1033999999999999</v>
      </c>
      <c r="P1107" s="38"/>
      <c r="Q1107" s="38"/>
      <c r="R1107" s="38">
        <v>9.3000000000000007</v>
      </c>
      <c r="S1107" s="38">
        <v>2.4300000000000002</v>
      </c>
      <c r="T1107" s="38"/>
      <c r="U1107" s="38"/>
      <c r="V1107" s="38"/>
      <c r="W1107" s="38"/>
      <c r="X1107" s="38"/>
      <c r="Y1107" s="38"/>
      <c r="Z1107" s="38"/>
      <c r="AA1107" s="38"/>
      <c r="AB1107" s="38"/>
      <c r="AC1107" s="38">
        <v>114</v>
      </c>
      <c r="AD1107" s="38"/>
      <c r="AE1107" s="38"/>
      <c r="AF1107" s="38"/>
      <c r="AG1107" s="38"/>
      <c r="AH1107" s="38"/>
      <c r="AI1107" s="38">
        <v>24</v>
      </c>
      <c r="AJ1107" s="38"/>
      <c r="AK1107" s="38"/>
      <c r="AL1107" s="38"/>
      <c r="AM1107" s="38"/>
      <c r="AN1107" s="38">
        <v>36.6</v>
      </c>
      <c r="AO1107" s="38" t="s">
        <v>4937</v>
      </c>
      <c r="AP1107" s="38">
        <v>19.16</v>
      </c>
      <c r="AQ1107" s="38">
        <v>265</v>
      </c>
      <c r="AR1107" s="38"/>
      <c r="AS1107" s="38"/>
      <c r="AT1107" s="38">
        <v>1464</v>
      </c>
      <c r="AU1107" s="38">
        <v>28524</v>
      </c>
      <c r="AV1107" s="38">
        <v>2088</v>
      </c>
      <c r="AW1107" s="38">
        <v>9156</v>
      </c>
      <c r="AX1107" s="38"/>
      <c r="AY1107" s="38">
        <v>496</v>
      </c>
      <c r="AZ1107" s="38"/>
      <c r="BA1107" s="38"/>
      <c r="BB1107" s="38"/>
    </row>
    <row r="1108" spans="1:54">
      <c r="A1108" s="38" t="s">
        <v>4951</v>
      </c>
      <c r="B1108" s="38" t="s">
        <v>3652</v>
      </c>
      <c r="C1108" s="38" t="s">
        <v>4673</v>
      </c>
      <c r="D1108" s="38" t="s">
        <v>3351</v>
      </c>
      <c r="E1108" s="38" t="s">
        <v>1326</v>
      </c>
      <c r="F1108" s="38" t="s">
        <v>4941</v>
      </c>
      <c r="G1108" s="38" t="s">
        <v>3997</v>
      </c>
      <c r="H1108" s="38" t="s">
        <v>3400</v>
      </c>
      <c r="I1108" s="38" t="s">
        <v>4936</v>
      </c>
      <c r="J1108" s="38">
        <v>3.7</v>
      </c>
      <c r="K1108" s="38">
        <v>550</v>
      </c>
      <c r="L1108" s="38">
        <v>7.71</v>
      </c>
      <c r="M1108" s="38">
        <v>78.67</v>
      </c>
      <c r="N1108" s="38"/>
      <c r="O1108" s="38">
        <v>0.95909999999999995</v>
      </c>
      <c r="P1108" s="38"/>
      <c r="Q1108" s="38"/>
      <c r="R1108" s="38">
        <v>9.3000000000000007</v>
      </c>
      <c r="S1108" s="38">
        <v>2.86</v>
      </c>
      <c r="T1108" s="38"/>
      <c r="U1108" s="38"/>
      <c r="V1108" s="38"/>
      <c r="W1108" s="38"/>
      <c r="X1108" s="38"/>
      <c r="Y1108" s="38"/>
      <c r="Z1108" s="38"/>
      <c r="AA1108" s="38"/>
      <c r="AB1108" s="38"/>
      <c r="AC1108" s="38">
        <v>121</v>
      </c>
      <c r="AD1108" s="38"/>
      <c r="AE1108" s="38"/>
      <c r="AF1108" s="38"/>
      <c r="AG1108" s="38"/>
      <c r="AH1108" s="38"/>
      <c r="AI1108" s="38">
        <v>21</v>
      </c>
      <c r="AJ1108" s="38"/>
      <c r="AK1108" s="38"/>
      <c r="AL1108" s="38"/>
      <c r="AM1108" s="38"/>
      <c r="AN1108" s="38">
        <v>32.799999999999997</v>
      </c>
      <c r="AO1108" s="38" t="s">
        <v>4937</v>
      </c>
      <c r="AP1108" s="38">
        <v>13.68</v>
      </c>
      <c r="AQ1108" s="38">
        <v>291</v>
      </c>
      <c r="AR1108" s="38"/>
      <c r="AS1108" s="38"/>
      <c r="AT1108" s="38">
        <v>988</v>
      </c>
      <c r="AU1108" s="38">
        <v>29940</v>
      </c>
      <c r="AV1108" s="38">
        <v>1646</v>
      </c>
      <c r="AW1108" s="38">
        <v>6145</v>
      </c>
      <c r="AX1108" s="38"/>
      <c r="AY1108" s="38">
        <v>828</v>
      </c>
      <c r="AZ1108" s="38"/>
      <c r="BA1108" s="38"/>
      <c r="BB1108" s="38"/>
    </row>
    <row r="1109" spans="1:54">
      <c r="A1109" s="38" t="s">
        <v>4952</v>
      </c>
      <c r="B1109" s="38" t="s">
        <v>3652</v>
      </c>
      <c r="C1109" s="38" t="s">
        <v>4953</v>
      </c>
      <c r="D1109" s="38" t="s">
        <v>3399</v>
      </c>
      <c r="E1109" s="38"/>
      <c r="F1109" s="38"/>
      <c r="G1109" s="38"/>
      <c r="H1109" s="38" t="s">
        <v>3400</v>
      </c>
      <c r="I1109" s="38" t="s">
        <v>4954</v>
      </c>
      <c r="J1109" s="38"/>
      <c r="K1109" s="38">
        <v>280</v>
      </c>
      <c r="L1109" s="38">
        <v>68.56</v>
      </c>
      <c r="M1109" s="38"/>
      <c r="N1109" s="38">
        <v>18.010000000000002</v>
      </c>
      <c r="O1109" s="38"/>
      <c r="P1109" s="38">
        <v>1.57</v>
      </c>
      <c r="Q1109" s="38">
        <v>10.46</v>
      </c>
      <c r="R1109" s="38">
        <v>6.2</v>
      </c>
      <c r="S1109" s="38"/>
      <c r="T1109" s="38"/>
      <c r="U1109" s="38"/>
      <c r="V1109" s="38"/>
      <c r="W1109" s="38"/>
      <c r="X1109" s="38"/>
      <c r="Y1109" s="38"/>
      <c r="Z1109" s="38">
        <v>2.9</v>
      </c>
      <c r="AA1109" s="38">
        <v>133</v>
      </c>
      <c r="AB1109" s="38"/>
      <c r="AC1109" s="38">
        <v>247</v>
      </c>
      <c r="AD1109" s="38">
        <v>98</v>
      </c>
      <c r="AE1109" s="38"/>
      <c r="AF1109" s="38"/>
      <c r="AG1109" s="38">
        <v>67</v>
      </c>
      <c r="AH1109" s="38"/>
      <c r="AI1109" s="38">
        <v>1120</v>
      </c>
      <c r="AJ1109" s="38"/>
      <c r="AK1109" s="38"/>
      <c r="AL1109" s="38"/>
      <c r="AM1109" s="38"/>
      <c r="AN1109" s="38"/>
      <c r="AO1109" s="38"/>
      <c r="AP1109" s="38"/>
      <c r="AQ1109" s="38">
        <v>12</v>
      </c>
      <c r="AR1109" s="38"/>
      <c r="AS1109" s="38"/>
      <c r="AT1109" s="38"/>
      <c r="AU1109" s="38"/>
      <c r="AV1109" s="38"/>
      <c r="AW1109" s="38"/>
      <c r="AX1109" s="38"/>
      <c r="AY1109" s="38"/>
      <c r="AZ1109" s="38"/>
      <c r="BA1109" s="38"/>
      <c r="BB1109" s="38"/>
    </row>
    <row r="1110" spans="1:54">
      <c r="A1110" s="38" t="s">
        <v>4955</v>
      </c>
      <c r="B1110" s="38" t="s">
        <v>3652</v>
      </c>
      <c r="C1110" s="38" t="s">
        <v>4956</v>
      </c>
      <c r="D1110" s="38" t="s">
        <v>3399</v>
      </c>
      <c r="E1110" s="38"/>
      <c r="F1110" s="38"/>
      <c r="G1110" s="38"/>
      <c r="H1110" s="38" t="s">
        <v>3400</v>
      </c>
      <c r="I1110" s="38" t="s">
        <v>4954</v>
      </c>
      <c r="J1110" s="38"/>
      <c r="K1110" s="38">
        <v>280</v>
      </c>
      <c r="L1110" s="38">
        <v>70.209999999999994</v>
      </c>
      <c r="M1110" s="38"/>
      <c r="N1110" s="38">
        <v>16.53</v>
      </c>
      <c r="O1110" s="38"/>
      <c r="P1110" s="38">
        <v>2.17</v>
      </c>
      <c r="Q1110" s="38">
        <v>10.17</v>
      </c>
      <c r="R1110" s="38">
        <v>6</v>
      </c>
      <c r="S1110" s="38"/>
      <c r="T1110" s="38"/>
      <c r="U1110" s="38"/>
      <c r="V1110" s="38"/>
      <c r="W1110" s="38"/>
      <c r="X1110" s="38"/>
      <c r="Y1110" s="38"/>
      <c r="Z1110" s="38">
        <v>2.5</v>
      </c>
      <c r="AA1110" s="38">
        <v>128</v>
      </c>
      <c r="AB1110" s="38"/>
      <c r="AC1110" s="38">
        <v>220</v>
      </c>
      <c r="AD1110" s="38">
        <v>95</v>
      </c>
      <c r="AE1110" s="38"/>
      <c r="AF1110" s="38"/>
      <c r="AG1110" s="38">
        <v>66</v>
      </c>
      <c r="AH1110" s="38"/>
      <c r="AI1110" s="38">
        <v>1020</v>
      </c>
      <c r="AJ1110" s="38"/>
      <c r="AK1110" s="38"/>
      <c r="AL1110" s="38"/>
      <c r="AM1110" s="38"/>
      <c r="AN1110" s="38"/>
      <c r="AO1110" s="38"/>
      <c r="AP1110" s="38"/>
      <c r="AQ1110" s="38">
        <v>17</v>
      </c>
      <c r="AR1110" s="38"/>
      <c r="AS1110" s="38"/>
      <c r="AT1110" s="38"/>
      <c r="AU1110" s="38"/>
      <c r="AV1110" s="38"/>
      <c r="AW1110" s="38"/>
      <c r="AX1110" s="38"/>
      <c r="AY1110" s="38"/>
      <c r="AZ1110" s="38"/>
      <c r="BA1110" s="38"/>
      <c r="BB1110" s="38"/>
    </row>
    <row r="1111" spans="1:54">
      <c r="A1111" s="38" t="s">
        <v>4957</v>
      </c>
      <c r="B1111" s="38" t="s">
        <v>3652</v>
      </c>
      <c r="C1111" s="38" t="s">
        <v>4958</v>
      </c>
      <c r="D1111" s="38" t="s">
        <v>3399</v>
      </c>
      <c r="E1111" s="38"/>
      <c r="F1111" s="38"/>
      <c r="G1111" s="38"/>
      <c r="H1111" s="38" t="s">
        <v>3400</v>
      </c>
      <c r="I1111" s="38" t="s">
        <v>4954</v>
      </c>
      <c r="J1111" s="38"/>
      <c r="K1111" s="38">
        <v>260</v>
      </c>
      <c r="L1111" s="38">
        <v>71.849999999999994</v>
      </c>
      <c r="M1111" s="38"/>
      <c r="N1111" s="38">
        <v>14.11</v>
      </c>
      <c r="O1111" s="38"/>
      <c r="P1111" s="38">
        <v>1.5</v>
      </c>
      <c r="Q1111" s="38">
        <v>11.29</v>
      </c>
      <c r="R1111" s="38">
        <v>6.6</v>
      </c>
      <c r="S1111" s="38"/>
      <c r="T1111" s="38"/>
      <c r="U1111" s="38"/>
      <c r="V1111" s="38"/>
      <c r="W1111" s="38"/>
      <c r="X1111" s="38"/>
      <c r="Y1111" s="38"/>
      <c r="Z1111" s="38">
        <v>3</v>
      </c>
      <c r="AA1111" s="38">
        <v>135</v>
      </c>
      <c r="AB1111" s="38"/>
      <c r="AC1111" s="38">
        <v>256</v>
      </c>
      <c r="AD1111" s="38">
        <v>101</v>
      </c>
      <c r="AE1111" s="38"/>
      <c r="AF1111" s="38"/>
      <c r="AG1111" s="38">
        <v>67</v>
      </c>
      <c r="AH1111" s="38"/>
      <c r="AI1111" s="38">
        <v>1152</v>
      </c>
      <c r="AJ1111" s="38"/>
      <c r="AK1111" s="38"/>
      <c r="AL1111" s="38"/>
      <c r="AM1111" s="38"/>
      <c r="AN1111" s="38"/>
      <c r="AO1111" s="38"/>
      <c r="AP1111" s="38"/>
      <c r="AQ1111" s="38">
        <v>16</v>
      </c>
      <c r="AR1111" s="38"/>
      <c r="AS1111" s="38"/>
      <c r="AT1111" s="38"/>
      <c r="AU1111" s="38"/>
      <c r="AV1111" s="38"/>
      <c r="AW1111" s="38"/>
      <c r="AX1111" s="38"/>
      <c r="AY1111" s="38"/>
      <c r="AZ1111" s="38"/>
      <c r="BA1111" s="38"/>
      <c r="BB1111" s="38"/>
    </row>
    <row r="1112" spans="1:54">
      <c r="A1112" s="38" t="s">
        <v>4959</v>
      </c>
      <c r="B1112" s="38" t="s">
        <v>3455</v>
      </c>
      <c r="C1112" s="38" t="s">
        <v>4960</v>
      </c>
      <c r="D1112" s="38" t="s">
        <v>3399</v>
      </c>
      <c r="E1112" s="38"/>
      <c r="F1112" s="38"/>
      <c r="G1112" s="38"/>
      <c r="H1112" s="38" t="s">
        <v>3400</v>
      </c>
      <c r="I1112" s="38" t="s">
        <v>4961</v>
      </c>
      <c r="J1112" s="38"/>
      <c r="K1112" s="38">
        <v>500</v>
      </c>
      <c r="L1112" s="38"/>
      <c r="M1112" s="38"/>
      <c r="N1112" s="38">
        <v>79.36</v>
      </c>
      <c r="O1112" s="38">
        <v>0.13</v>
      </c>
      <c r="P1112" s="38">
        <v>2.68</v>
      </c>
      <c r="Q1112" s="38">
        <v>17.829999999999998</v>
      </c>
      <c r="R1112" s="38"/>
      <c r="S1112" s="38"/>
      <c r="T1112" s="38"/>
      <c r="U1112" s="38"/>
      <c r="V1112" s="38"/>
      <c r="W1112" s="38"/>
      <c r="X1112" s="38"/>
      <c r="Y1112" s="38"/>
      <c r="Z1112" s="38"/>
      <c r="AA1112" s="38"/>
      <c r="AB1112" s="38"/>
      <c r="AC1112" s="38"/>
      <c r="AD1112" s="38"/>
      <c r="AE1112" s="38"/>
      <c r="AF1112" s="38"/>
      <c r="AG1112" s="38"/>
      <c r="AH1112" s="38"/>
      <c r="AI1112" s="38"/>
      <c r="AJ1112" s="38"/>
      <c r="AK1112" s="38"/>
      <c r="AL1112" s="38"/>
      <c r="AM1112" s="38"/>
      <c r="AN1112" s="38"/>
      <c r="AO1112" s="38"/>
      <c r="AP1112" s="38"/>
      <c r="AQ1112" s="38"/>
      <c r="AR1112" s="38"/>
      <c r="AS1112" s="38"/>
      <c r="AT1112" s="38"/>
      <c r="AU1112" s="38"/>
      <c r="AV1112" s="38"/>
      <c r="AW1112" s="38"/>
      <c r="AX1112" s="38"/>
      <c r="AY1112" s="38"/>
      <c r="AZ1112" s="38"/>
      <c r="BA1112" s="38"/>
      <c r="BB1112" s="38"/>
    </row>
    <row r="1113" spans="1:54">
      <c r="A1113" s="38" t="s">
        <v>4962</v>
      </c>
      <c r="B1113" s="38" t="s">
        <v>3652</v>
      </c>
      <c r="C1113" s="38" t="s">
        <v>4963</v>
      </c>
      <c r="D1113" s="38" t="s">
        <v>3351</v>
      </c>
      <c r="E1113" s="38" t="s">
        <v>3961</v>
      </c>
      <c r="F1113" s="38"/>
      <c r="G1113" s="38"/>
      <c r="H1113" s="38" t="s">
        <v>3400</v>
      </c>
      <c r="I1113" s="38" t="s">
        <v>4964</v>
      </c>
      <c r="J1113" s="38"/>
      <c r="K1113" s="38">
        <v>450</v>
      </c>
      <c r="L1113" s="38">
        <v>22.37</v>
      </c>
      <c r="M1113" s="38">
        <v>48.8</v>
      </c>
      <c r="N1113" s="38">
        <v>59.33</v>
      </c>
      <c r="O1113" s="38">
        <v>2.78</v>
      </c>
      <c r="P1113" s="38">
        <v>1.06</v>
      </c>
      <c r="Q1113" s="38"/>
      <c r="R1113" s="38">
        <v>9.27</v>
      </c>
      <c r="S1113" s="38">
        <v>4.7300000000000004</v>
      </c>
      <c r="T1113" s="38"/>
      <c r="U1113" s="38"/>
      <c r="V1113" s="38"/>
      <c r="W1113" s="38"/>
      <c r="X1113" s="38"/>
      <c r="Y1113" s="38"/>
      <c r="Z1113" s="38">
        <v>4.3099999999999996</v>
      </c>
      <c r="AA1113" s="38"/>
      <c r="AB1113" s="38"/>
      <c r="AC1113" s="38"/>
      <c r="AD1113" s="38"/>
      <c r="AE1113" s="38"/>
      <c r="AF1113" s="38"/>
      <c r="AG1113" s="38"/>
      <c r="AH1113" s="38"/>
      <c r="AI1113" s="38">
        <v>136.69</v>
      </c>
      <c r="AJ1113" s="38"/>
      <c r="AK1113" s="38"/>
      <c r="AL1113" s="38"/>
      <c r="AM1113" s="38"/>
      <c r="AN1113" s="38">
        <v>31.94</v>
      </c>
      <c r="AO1113" s="38"/>
      <c r="AP1113" s="38"/>
      <c r="AQ1113" s="38">
        <v>6.95</v>
      </c>
      <c r="AR1113" s="38" t="s">
        <v>4965</v>
      </c>
      <c r="AS1113" s="38"/>
      <c r="AT1113" s="38">
        <v>2220</v>
      </c>
      <c r="AU1113" s="38"/>
      <c r="AV1113" s="38"/>
      <c r="AW1113" s="38">
        <v>10960</v>
      </c>
      <c r="AX1113" s="38"/>
      <c r="AY1113" s="38"/>
      <c r="AZ1113" s="38"/>
      <c r="BA1113" s="38"/>
      <c r="BB1113" s="38"/>
    </row>
    <row r="1114" spans="1:54">
      <c r="A1114" s="38" t="s">
        <v>4966</v>
      </c>
      <c r="B1114" s="38" t="s">
        <v>3652</v>
      </c>
      <c r="C1114" s="38" t="s">
        <v>4967</v>
      </c>
      <c r="D1114" s="38" t="s">
        <v>3399</v>
      </c>
      <c r="E1114" s="38" t="s">
        <v>3961</v>
      </c>
      <c r="F1114" s="38"/>
      <c r="G1114" s="38"/>
      <c r="H1114" s="38" t="s">
        <v>3400</v>
      </c>
      <c r="I1114" s="38" t="s">
        <v>4964</v>
      </c>
      <c r="J1114" s="38"/>
      <c r="K1114" s="38">
        <v>650</v>
      </c>
      <c r="L1114" s="38">
        <v>47.86</v>
      </c>
      <c r="M1114" s="38">
        <v>25.8</v>
      </c>
      <c r="N1114" s="38">
        <v>30.22</v>
      </c>
      <c r="O1114" s="38">
        <v>3.64</v>
      </c>
      <c r="P1114" s="38">
        <v>1.06</v>
      </c>
      <c r="Q1114" s="38"/>
      <c r="R1114" s="38">
        <v>9.36</v>
      </c>
      <c r="S1114" s="38">
        <v>6.23</v>
      </c>
      <c r="T1114" s="38"/>
      <c r="U1114" s="38"/>
      <c r="V1114" s="38"/>
      <c r="W1114" s="38"/>
      <c r="X1114" s="38"/>
      <c r="Y1114" s="38"/>
      <c r="Z1114" s="38">
        <v>0.11</v>
      </c>
      <c r="AA1114" s="38"/>
      <c r="AB1114" s="38"/>
      <c r="AC1114" s="38"/>
      <c r="AD1114" s="38"/>
      <c r="AE1114" s="38"/>
      <c r="AF1114" s="38"/>
      <c r="AG1114" s="38"/>
      <c r="AH1114" s="38"/>
      <c r="AI1114" s="38">
        <v>472.91</v>
      </c>
      <c r="AJ1114" s="38"/>
      <c r="AK1114" s="38"/>
      <c r="AL1114" s="38"/>
      <c r="AM1114" s="38"/>
      <c r="AN1114" s="38">
        <v>20.75</v>
      </c>
      <c r="AO1114" s="38"/>
      <c r="AP1114" s="38"/>
      <c r="AQ1114" s="38">
        <v>29.15</v>
      </c>
      <c r="AR1114" s="38" t="s">
        <v>4965</v>
      </c>
      <c r="AS1114" s="38"/>
      <c r="AT1114" s="38">
        <v>83300</v>
      </c>
      <c r="AU1114" s="38"/>
      <c r="AV1114" s="38"/>
      <c r="AW1114" s="38">
        <v>13890</v>
      </c>
      <c r="AX1114" s="38"/>
      <c r="AY1114" s="38"/>
      <c r="AZ1114" s="38"/>
      <c r="BA1114" s="38"/>
      <c r="BB1114" s="38"/>
    </row>
    <row r="1115" spans="1:54">
      <c r="A1115" s="38" t="s">
        <v>4968</v>
      </c>
      <c r="B1115" s="38" t="s">
        <v>3409</v>
      </c>
      <c r="C1115" s="38" t="s">
        <v>4445</v>
      </c>
      <c r="D1115" s="38" t="s">
        <v>3399</v>
      </c>
      <c r="E1115" s="38" t="s">
        <v>3961</v>
      </c>
      <c r="F1115" s="38"/>
      <c r="G1115" s="38"/>
      <c r="H1115" s="38" t="s">
        <v>3400</v>
      </c>
      <c r="I1115" s="38" t="s">
        <v>4969</v>
      </c>
      <c r="J1115" s="38"/>
      <c r="K1115" s="38"/>
      <c r="L1115" s="38">
        <v>3.92</v>
      </c>
      <c r="M1115" s="38"/>
      <c r="N1115" s="38">
        <v>68.56</v>
      </c>
      <c r="O1115" s="38">
        <v>0.92</v>
      </c>
      <c r="P1115" s="38">
        <v>3.85</v>
      </c>
      <c r="Q1115" s="38">
        <v>26.54</v>
      </c>
      <c r="R1115" s="38"/>
      <c r="S1115" s="38"/>
      <c r="T1115" s="38"/>
      <c r="U1115" s="38"/>
      <c r="V1115" s="38"/>
      <c r="W1115" s="38"/>
      <c r="X1115" s="38"/>
      <c r="Y1115" s="38"/>
      <c r="Z1115" s="38"/>
      <c r="AA1115" s="38"/>
      <c r="AB1115" s="38"/>
      <c r="AC1115" s="38"/>
      <c r="AD1115" s="38"/>
      <c r="AE1115" s="38"/>
      <c r="AF1115" s="38"/>
      <c r="AG1115" s="38"/>
      <c r="AH1115" s="38"/>
      <c r="AI1115" s="38"/>
      <c r="AJ1115" s="38"/>
      <c r="AK1115" s="38"/>
      <c r="AL1115" s="38"/>
      <c r="AM1115" s="38"/>
      <c r="AN1115" s="38"/>
      <c r="AO1115" s="38"/>
      <c r="AP1115" s="38">
        <v>30.92</v>
      </c>
      <c r="AQ1115" s="38">
        <v>12.31</v>
      </c>
      <c r="AR1115" s="38"/>
      <c r="AS1115" s="38"/>
      <c r="AT1115" s="38"/>
      <c r="AU1115" s="38"/>
      <c r="AV1115" s="38"/>
      <c r="AW1115" s="38"/>
      <c r="AX1115" s="38"/>
      <c r="AY1115" s="38"/>
      <c r="AZ1115" s="38"/>
      <c r="BA1115" s="38"/>
      <c r="BB1115" s="38"/>
    </row>
    <row r="1116" spans="1:54">
      <c r="A1116" s="38" t="s">
        <v>4970</v>
      </c>
      <c r="B1116" s="38" t="s">
        <v>3409</v>
      </c>
      <c r="C1116" s="38" t="s">
        <v>4445</v>
      </c>
      <c r="D1116" s="38" t="s">
        <v>3399</v>
      </c>
      <c r="E1116" s="38" t="s">
        <v>3961</v>
      </c>
      <c r="F1116" s="38"/>
      <c r="G1116" s="38"/>
      <c r="H1116" s="38" t="s">
        <v>3400</v>
      </c>
      <c r="I1116" s="38" t="s">
        <v>4969</v>
      </c>
      <c r="J1116" s="38"/>
      <c r="K1116" s="38"/>
      <c r="L1116" s="38">
        <v>3.33</v>
      </c>
      <c r="M1116" s="38"/>
      <c r="N1116" s="38">
        <v>74.64</v>
      </c>
      <c r="O1116" s="38">
        <v>0.94</v>
      </c>
      <c r="P1116" s="38">
        <v>3.48</v>
      </c>
      <c r="Q1116" s="38">
        <v>20.8</v>
      </c>
      <c r="R1116" s="38"/>
      <c r="S1116" s="38"/>
      <c r="T1116" s="38"/>
      <c r="U1116" s="38"/>
      <c r="V1116" s="38"/>
      <c r="W1116" s="38"/>
      <c r="X1116" s="38"/>
      <c r="Y1116" s="38"/>
      <c r="Z1116" s="38"/>
      <c r="AA1116" s="38"/>
      <c r="AB1116" s="38"/>
      <c r="AC1116" s="38"/>
      <c r="AD1116" s="38"/>
      <c r="AE1116" s="38"/>
      <c r="AF1116" s="38"/>
      <c r="AG1116" s="38"/>
      <c r="AH1116" s="38"/>
      <c r="AI1116" s="38"/>
      <c r="AJ1116" s="38"/>
      <c r="AK1116" s="38"/>
      <c r="AL1116" s="38"/>
      <c r="AM1116" s="38"/>
      <c r="AN1116" s="38"/>
      <c r="AO1116" s="38"/>
      <c r="AP1116" s="38">
        <v>25.16</v>
      </c>
      <c r="AQ1116" s="38">
        <v>26.12</v>
      </c>
      <c r="AR1116" s="38"/>
      <c r="AS1116" s="38"/>
      <c r="AT1116" s="38"/>
      <c r="AU1116" s="38"/>
      <c r="AV1116" s="38"/>
      <c r="AW1116" s="38"/>
      <c r="AX1116" s="38"/>
      <c r="AY1116" s="38"/>
      <c r="AZ1116" s="38"/>
      <c r="BA1116" s="38"/>
      <c r="BB1116" s="38"/>
    </row>
    <row r="1117" spans="1:54">
      <c r="A1117" s="38" t="s">
        <v>4971</v>
      </c>
      <c r="B1117" s="38" t="s">
        <v>3409</v>
      </c>
      <c r="C1117" s="38" t="s">
        <v>4445</v>
      </c>
      <c r="D1117" s="38" t="s">
        <v>3399</v>
      </c>
      <c r="E1117" s="38" t="s">
        <v>3961</v>
      </c>
      <c r="F1117" s="38"/>
      <c r="G1117" s="38"/>
      <c r="H1117" s="38" t="s">
        <v>3400</v>
      </c>
      <c r="I1117" s="38" t="s">
        <v>4969</v>
      </c>
      <c r="J1117" s="38"/>
      <c r="K1117" s="38"/>
      <c r="L1117" s="38">
        <v>4.08</v>
      </c>
      <c r="M1117" s="38"/>
      <c r="N1117" s="38">
        <v>79.12</v>
      </c>
      <c r="O1117" s="38">
        <v>1.03</v>
      </c>
      <c r="P1117" s="38">
        <v>2.5299999999999998</v>
      </c>
      <c r="Q1117" s="38">
        <v>17.190000000000001</v>
      </c>
      <c r="R1117" s="38"/>
      <c r="S1117" s="38"/>
      <c r="T1117" s="38"/>
      <c r="U1117" s="38"/>
      <c r="V1117" s="38"/>
      <c r="W1117" s="38"/>
      <c r="X1117" s="38"/>
      <c r="Y1117" s="38"/>
      <c r="Z1117" s="38"/>
      <c r="AA1117" s="38"/>
      <c r="AB1117" s="38"/>
      <c r="AC1117" s="38"/>
      <c r="AD1117" s="38"/>
      <c r="AE1117" s="38"/>
      <c r="AF1117" s="38"/>
      <c r="AG1117" s="38"/>
      <c r="AH1117" s="38"/>
      <c r="AI1117" s="38"/>
      <c r="AJ1117" s="38"/>
      <c r="AK1117" s="38"/>
      <c r="AL1117" s="38"/>
      <c r="AM1117" s="38"/>
      <c r="AN1117" s="38"/>
      <c r="AO1117" s="38"/>
      <c r="AP1117" s="38">
        <v>20.53</v>
      </c>
      <c r="AQ1117" s="38">
        <v>48.35</v>
      </c>
      <c r="AR1117" s="38"/>
      <c r="AS1117" s="38"/>
      <c r="AT1117" s="38"/>
      <c r="AU1117" s="38"/>
      <c r="AV1117" s="38"/>
      <c r="AW1117" s="38"/>
      <c r="AX1117" s="38"/>
      <c r="AY1117" s="38"/>
      <c r="AZ1117" s="38"/>
      <c r="BA1117" s="38"/>
      <c r="BB1117" s="38"/>
    </row>
    <row r="1118" spans="1:54">
      <c r="A1118" s="38" t="s">
        <v>4972</v>
      </c>
      <c r="B1118" s="38" t="s">
        <v>3409</v>
      </c>
      <c r="C1118" s="38" t="s">
        <v>4445</v>
      </c>
      <c r="D1118" s="38" t="s">
        <v>3399</v>
      </c>
      <c r="E1118" s="38" t="s">
        <v>3961</v>
      </c>
      <c r="F1118" s="38"/>
      <c r="G1118" s="38"/>
      <c r="H1118" s="38" t="s">
        <v>3400</v>
      </c>
      <c r="I1118" s="38" t="s">
        <v>4969</v>
      </c>
      <c r="J1118" s="38"/>
      <c r="K1118" s="38"/>
      <c r="L1118" s="38">
        <v>4.25</v>
      </c>
      <c r="M1118" s="38"/>
      <c r="N1118" s="38">
        <v>83.95</v>
      </c>
      <c r="O1118" s="38">
        <v>1.01</v>
      </c>
      <c r="P1118" s="38">
        <v>1.67</v>
      </c>
      <c r="Q1118" s="38">
        <v>13.23</v>
      </c>
      <c r="R1118" s="38"/>
      <c r="S1118" s="38"/>
      <c r="T1118" s="38"/>
      <c r="U1118" s="38"/>
      <c r="V1118" s="38"/>
      <c r="W1118" s="38"/>
      <c r="X1118" s="38"/>
      <c r="Y1118" s="38"/>
      <c r="Z1118" s="38"/>
      <c r="AA1118" s="38"/>
      <c r="AB1118" s="38"/>
      <c r="AC1118" s="38"/>
      <c r="AD1118" s="38"/>
      <c r="AE1118" s="38"/>
      <c r="AF1118" s="38"/>
      <c r="AG1118" s="38"/>
      <c r="AH1118" s="38"/>
      <c r="AI1118" s="38"/>
      <c r="AJ1118" s="38"/>
      <c r="AK1118" s="38"/>
      <c r="AL1118" s="38"/>
      <c r="AM1118" s="38"/>
      <c r="AN1118" s="38"/>
      <c r="AO1118" s="38"/>
      <c r="AP1118" s="38">
        <v>12.92</v>
      </c>
      <c r="AQ1118" s="38">
        <v>60.93</v>
      </c>
      <c r="AR1118" s="38"/>
      <c r="AS1118" s="38"/>
      <c r="AT1118" s="38"/>
      <c r="AU1118" s="38"/>
      <c r="AV1118" s="38"/>
      <c r="AW1118" s="38"/>
      <c r="AX1118" s="38"/>
      <c r="AY1118" s="38"/>
      <c r="AZ1118" s="38"/>
      <c r="BA1118" s="38"/>
      <c r="BB1118" s="38"/>
    </row>
    <row r="1119" spans="1:54">
      <c r="A1119" s="38" t="s">
        <v>4973</v>
      </c>
      <c r="B1119" s="38" t="s">
        <v>3409</v>
      </c>
      <c r="C1119" s="38" t="s">
        <v>4445</v>
      </c>
      <c r="D1119" s="38" t="s">
        <v>3399</v>
      </c>
      <c r="E1119" s="38" t="s">
        <v>3961</v>
      </c>
      <c r="F1119" s="38"/>
      <c r="G1119" s="38"/>
      <c r="H1119" s="38" t="s">
        <v>3400</v>
      </c>
      <c r="I1119" s="38" t="s">
        <v>4969</v>
      </c>
      <c r="J1119" s="38"/>
      <c r="K1119" s="38"/>
      <c r="L1119" s="38">
        <v>4.26</v>
      </c>
      <c r="M1119" s="38"/>
      <c r="N1119" s="38">
        <v>88.34</v>
      </c>
      <c r="O1119" s="38">
        <v>1.06</v>
      </c>
      <c r="P1119" s="38">
        <v>1.26</v>
      </c>
      <c r="Q1119" s="38">
        <v>9.1999999999999993</v>
      </c>
      <c r="R1119" s="38"/>
      <c r="S1119" s="38"/>
      <c r="T1119" s="38"/>
      <c r="U1119" s="38"/>
      <c r="V1119" s="38"/>
      <c r="W1119" s="38"/>
      <c r="X1119" s="38"/>
      <c r="Y1119" s="38"/>
      <c r="Z1119" s="38"/>
      <c r="AA1119" s="38"/>
      <c r="AB1119" s="38"/>
      <c r="AC1119" s="38"/>
      <c r="AD1119" s="38"/>
      <c r="AE1119" s="38"/>
      <c r="AF1119" s="38"/>
      <c r="AG1119" s="38"/>
      <c r="AH1119" s="38"/>
      <c r="AI1119" s="38"/>
      <c r="AJ1119" s="38"/>
      <c r="AK1119" s="38"/>
      <c r="AL1119" s="38"/>
      <c r="AM1119" s="38"/>
      <c r="AN1119" s="38"/>
      <c r="AO1119" s="38"/>
      <c r="AP1119" s="38">
        <v>9.3699999999999992</v>
      </c>
      <c r="AQ1119" s="38">
        <v>64.45</v>
      </c>
      <c r="AR1119" s="38"/>
      <c r="AS1119" s="38"/>
      <c r="AT1119" s="38"/>
      <c r="AU1119" s="38"/>
      <c r="AV1119" s="38"/>
      <c r="AW1119" s="38"/>
      <c r="AX1119" s="38"/>
      <c r="AY1119" s="38"/>
      <c r="AZ1119" s="38"/>
      <c r="BA1119" s="38"/>
      <c r="BB1119" s="38"/>
    </row>
    <row r="1120" spans="1:54">
      <c r="A1120" s="38" t="s">
        <v>4974</v>
      </c>
      <c r="B1120" s="38" t="s">
        <v>3455</v>
      </c>
      <c r="C1120" s="38" t="s">
        <v>4975</v>
      </c>
      <c r="D1120" s="38" t="s">
        <v>3399</v>
      </c>
      <c r="E1120" s="38" t="s">
        <v>3481</v>
      </c>
      <c r="F1120" s="38"/>
      <c r="G1120" s="38"/>
      <c r="H1120" s="38" t="s">
        <v>3400</v>
      </c>
      <c r="I1120" s="38" t="s">
        <v>4976</v>
      </c>
      <c r="J1120" s="38"/>
      <c r="K1120" s="38"/>
      <c r="L1120" s="38"/>
      <c r="M1120" s="38"/>
      <c r="N1120" s="38">
        <v>47.5</v>
      </c>
      <c r="O1120" s="38">
        <v>0.38</v>
      </c>
      <c r="P1120" s="38"/>
      <c r="Q1120" s="38"/>
      <c r="R1120" s="38">
        <v>8.3000000000000007</v>
      </c>
      <c r="S1120" s="38">
        <v>0.71</v>
      </c>
      <c r="T1120" s="38"/>
      <c r="U1120" s="38"/>
      <c r="V1120" s="38"/>
      <c r="W1120" s="38"/>
      <c r="X1120" s="38"/>
      <c r="Y1120" s="38"/>
      <c r="Z1120" s="38"/>
      <c r="AA1120" s="38"/>
      <c r="AB1120" s="38">
        <v>0.4</v>
      </c>
      <c r="AC1120" s="38">
        <v>2.5499999999999998</v>
      </c>
      <c r="AD1120" s="38"/>
      <c r="AE1120" s="38">
        <v>0.3</v>
      </c>
      <c r="AF1120" s="38"/>
      <c r="AG1120" s="38"/>
      <c r="AH1120" s="38"/>
      <c r="AI1120" s="38">
        <v>83.5</v>
      </c>
      <c r="AJ1120" s="38">
        <v>9.25</v>
      </c>
      <c r="AK1120" s="38"/>
      <c r="AL1120" s="38">
        <v>55.2</v>
      </c>
      <c r="AM1120" s="38"/>
      <c r="AN1120" s="38">
        <v>11.2</v>
      </c>
      <c r="AO1120" s="38"/>
      <c r="AP1120" s="38"/>
      <c r="AQ1120" s="38"/>
      <c r="AR1120" s="38"/>
      <c r="AS1120" s="38"/>
      <c r="AT1120" s="38">
        <v>79.5</v>
      </c>
      <c r="AU1120" s="38">
        <v>440</v>
      </c>
      <c r="AV1120" s="38">
        <v>174</v>
      </c>
      <c r="AW1120" s="38">
        <v>2827.5</v>
      </c>
      <c r="AX1120" s="38">
        <v>9</v>
      </c>
      <c r="AY1120" s="38">
        <v>4.4999999999999998E-2</v>
      </c>
      <c r="AZ1120" s="38" t="s">
        <v>4977</v>
      </c>
      <c r="BA1120" s="38"/>
      <c r="BB1120" s="38"/>
    </row>
    <row r="1121" spans="1:54">
      <c r="A1121" s="38" t="s">
        <v>4978</v>
      </c>
      <c r="B1121" s="38" t="s">
        <v>3471</v>
      </c>
      <c r="C1121" s="38" t="s">
        <v>4979</v>
      </c>
      <c r="D1121" s="38" t="s">
        <v>3399</v>
      </c>
      <c r="E1121" s="38" t="s">
        <v>4980</v>
      </c>
      <c r="F1121" s="38"/>
      <c r="G1121" s="38" t="s">
        <v>4981</v>
      </c>
      <c r="H1121" s="38" t="s">
        <v>3400</v>
      </c>
      <c r="I1121" s="38" t="s">
        <v>4982</v>
      </c>
      <c r="J1121" s="38"/>
      <c r="K1121" s="38">
        <v>350</v>
      </c>
      <c r="L1121" s="38">
        <v>2.35</v>
      </c>
      <c r="M1121" s="38"/>
      <c r="N1121" s="38">
        <v>61.86</v>
      </c>
      <c r="O1121" s="38"/>
      <c r="P1121" s="38"/>
      <c r="Q1121" s="38"/>
      <c r="R1121" s="38">
        <v>6.52</v>
      </c>
      <c r="S1121" s="38"/>
      <c r="T1121" s="38"/>
      <c r="U1121" s="38"/>
      <c r="V1121" s="38"/>
      <c r="W1121" s="38"/>
      <c r="X1121" s="38"/>
      <c r="Y1121" s="38"/>
      <c r="Z1121" s="38"/>
      <c r="AA1121" s="38"/>
      <c r="AB1121" s="38"/>
      <c r="AC1121" s="38"/>
      <c r="AD1121" s="38"/>
      <c r="AE1121" s="38"/>
      <c r="AF1121" s="38"/>
      <c r="AG1121" s="38"/>
      <c r="AH1121" s="38"/>
      <c r="AI1121" s="38"/>
      <c r="AJ1121" s="38"/>
      <c r="AK1121" s="38"/>
      <c r="AL1121" s="38"/>
      <c r="AM1121" s="38"/>
      <c r="AN1121" s="38"/>
      <c r="AO1121" s="38"/>
      <c r="AP1121" s="38">
        <v>35.79</v>
      </c>
      <c r="AQ1121" s="38"/>
      <c r="AR1121" s="38"/>
      <c r="AS1121" s="38"/>
      <c r="AT1121" s="38">
        <v>500</v>
      </c>
      <c r="AU1121" s="38">
        <v>5410</v>
      </c>
      <c r="AV1121" s="38">
        <v>430</v>
      </c>
      <c r="AW1121" s="38">
        <v>5100</v>
      </c>
      <c r="AX1121" s="38">
        <v>140</v>
      </c>
      <c r="AY1121" s="38">
        <v>500</v>
      </c>
      <c r="AZ1121" s="38"/>
      <c r="BA1121" s="38"/>
      <c r="BB1121" s="38"/>
    </row>
    <row r="1122" spans="1:54">
      <c r="A1122" s="38" t="s">
        <v>4983</v>
      </c>
      <c r="B1122" s="38" t="s">
        <v>3471</v>
      </c>
      <c r="C1122" s="38" t="s">
        <v>4979</v>
      </c>
      <c r="D1122" s="38" t="s">
        <v>3399</v>
      </c>
      <c r="E1122" s="38" t="s">
        <v>4984</v>
      </c>
      <c r="F1122" s="38"/>
      <c r="G1122" s="38" t="s">
        <v>4985</v>
      </c>
      <c r="H1122" s="38" t="s">
        <v>3400</v>
      </c>
      <c r="I1122" s="38" t="s">
        <v>4982</v>
      </c>
      <c r="J1122" s="38"/>
      <c r="K1122" s="38">
        <v>800</v>
      </c>
      <c r="L1122" s="38">
        <v>3.85</v>
      </c>
      <c r="M1122" s="38"/>
      <c r="N1122" s="38">
        <v>81.5</v>
      </c>
      <c r="O1122" s="38"/>
      <c r="P1122" s="38"/>
      <c r="Q1122" s="38"/>
      <c r="R1122" s="38">
        <v>8.92</v>
      </c>
      <c r="S1122" s="38"/>
      <c r="T1122" s="38"/>
      <c r="U1122" s="38"/>
      <c r="V1122" s="38"/>
      <c r="W1122" s="38"/>
      <c r="X1122" s="38"/>
      <c r="Y1122" s="38"/>
      <c r="Z1122" s="38"/>
      <c r="AA1122" s="38"/>
      <c r="AB1122" s="38"/>
      <c r="AC1122" s="38"/>
      <c r="AD1122" s="38"/>
      <c r="AE1122" s="38"/>
      <c r="AF1122" s="38"/>
      <c r="AG1122" s="38"/>
      <c r="AH1122" s="38"/>
      <c r="AI1122" s="38"/>
      <c r="AJ1122" s="38"/>
      <c r="AK1122" s="38"/>
      <c r="AL1122" s="38"/>
      <c r="AM1122" s="38"/>
      <c r="AN1122" s="38"/>
      <c r="AO1122" s="38"/>
      <c r="AP1122" s="38">
        <v>14.65</v>
      </c>
      <c r="AQ1122" s="38"/>
      <c r="AR1122" s="38"/>
      <c r="AS1122" s="38"/>
      <c r="AT1122" s="38">
        <v>860</v>
      </c>
      <c r="AU1122" s="38">
        <v>10420</v>
      </c>
      <c r="AV1122" s="38">
        <v>590</v>
      </c>
      <c r="AW1122" s="38">
        <v>7810</v>
      </c>
      <c r="AX1122" s="38">
        <v>330</v>
      </c>
      <c r="AY1122" s="38">
        <v>2290</v>
      </c>
      <c r="AZ1122" s="38"/>
      <c r="BA1122" s="38"/>
      <c r="BB1122" s="38"/>
    </row>
    <row r="1123" spans="1:54">
      <c r="A1123" s="38" t="s">
        <v>4986</v>
      </c>
      <c r="B1123" s="38" t="s">
        <v>1948</v>
      </c>
      <c r="C1123" s="38" t="s">
        <v>2026</v>
      </c>
      <c r="D1123" s="38" t="s">
        <v>3399</v>
      </c>
      <c r="E1123" s="38" t="s">
        <v>1326</v>
      </c>
      <c r="F1123" s="38"/>
      <c r="G1123" s="38" t="s">
        <v>3997</v>
      </c>
      <c r="H1123" s="38" t="s">
        <v>3400</v>
      </c>
      <c r="I1123" s="38" t="s">
        <v>4987</v>
      </c>
      <c r="J1123" s="38"/>
      <c r="K1123" s="38">
        <v>300</v>
      </c>
      <c r="L1123" s="38">
        <v>20.55</v>
      </c>
      <c r="M1123" s="38">
        <v>8.49</v>
      </c>
      <c r="N1123" s="38">
        <v>63.37</v>
      </c>
      <c r="O1123" s="38">
        <v>0.126</v>
      </c>
      <c r="P1123" s="38"/>
      <c r="Q1123" s="38"/>
      <c r="R1123" s="38">
        <v>7.53</v>
      </c>
      <c r="S1123" s="38">
        <v>306</v>
      </c>
      <c r="T1123" s="38"/>
      <c r="U1123" s="38"/>
      <c r="V1123" s="38"/>
      <c r="W1123" s="38"/>
      <c r="X1123" s="38"/>
      <c r="Y1123" s="38"/>
      <c r="Z1123" s="38"/>
      <c r="AA1123" s="38"/>
      <c r="AB1123" s="38"/>
      <c r="AC1123" s="38"/>
      <c r="AD1123" s="38"/>
      <c r="AE1123" s="38"/>
      <c r="AF1123" s="38"/>
      <c r="AG1123" s="38"/>
      <c r="AH1123" s="38"/>
      <c r="AI1123" s="38"/>
      <c r="AJ1123" s="38"/>
      <c r="AK1123" s="38"/>
      <c r="AL1123" s="38"/>
      <c r="AM1123" s="38"/>
      <c r="AN1123" s="38">
        <v>26.01</v>
      </c>
      <c r="AO1123" s="38"/>
      <c r="AP1123" s="38">
        <v>24.57</v>
      </c>
      <c r="AQ1123" s="38">
        <v>6.4095000000000004</v>
      </c>
      <c r="AR1123" s="38" t="s">
        <v>4965</v>
      </c>
      <c r="AS1123" s="38"/>
      <c r="AT1123" s="38"/>
      <c r="AU1123" s="38"/>
      <c r="AV1123" s="38"/>
      <c r="AW1123" s="38"/>
      <c r="AX1123" s="38"/>
      <c r="AY1123" s="38"/>
      <c r="AZ1123" s="38"/>
      <c r="BA1123" s="38"/>
      <c r="BB1123" s="38"/>
    </row>
    <row r="1124" spans="1:54">
      <c r="A1124" s="38" t="s">
        <v>4988</v>
      </c>
      <c r="B1124" s="38" t="s">
        <v>1948</v>
      </c>
      <c r="C1124" s="38" t="s">
        <v>2026</v>
      </c>
      <c r="D1124" s="38" t="s">
        <v>3399</v>
      </c>
      <c r="E1124" s="38" t="s">
        <v>1326</v>
      </c>
      <c r="F1124" s="38"/>
      <c r="G1124" s="38" t="s">
        <v>3997</v>
      </c>
      <c r="H1124" s="38" t="s">
        <v>3400</v>
      </c>
      <c r="I1124" s="38" t="s">
        <v>4987</v>
      </c>
      <c r="J1124" s="38"/>
      <c r="K1124" s="38">
        <v>500</v>
      </c>
      <c r="L1124" s="38">
        <v>22.46</v>
      </c>
      <c r="M1124" s="38">
        <v>4.7</v>
      </c>
      <c r="N1124" s="38">
        <v>76.73</v>
      </c>
      <c r="O1124" s="38">
        <v>3.7999999999999999E-2</v>
      </c>
      <c r="P1124" s="38"/>
      <c r="Q1124" s="38"/>
      <c r="R1124" s="38">
        <v>10.3</v>
      </c>
      <c r="S1124" s="38">
        <v>946</v>
      </c>
      <c r="T1124" s="38"/>
      <c r="U1124" s="38"/>
      <c r="V1124" s="38"/>
      <c r="W1124" s="38"/>
      <c r="X1124" s="38"/>
      <c r="Y1124" s="38"/>
      <c r="Z1124" s="38"/>
      <c r="AA1124" s="38"/>
      <c r="AB1124" s="38"/>
      <c r="AC1124" s="38"/>
      <c r="AD1124" s="38"/>
      <c r="AE1124" s="38"/>
      <c r="AF1124" s="38"/>
      <c r="AG1124" s="38"/>
      <c r="AH1124" s="38"/>
      <c r="AI1124" s="38"/>
      <c r="AJ1124" s="38"/>
      <c r="AK1124" s="38"/>
      <c r="AL1124" s="38"/>
      <c r="AM1124" s="38"/>
      <c r="AN1124" s="38">
        <v>15.23</v>
      </c>
      <c r="AO1124" s="38"/>
      <c r="AP1124" s="38">
        <v>2.5099999999999998</v>
      </c>
      <c r="AQ1124" s="38">
        <v>174.55</v>
      </c>
      <c r="AR1124" s="38" t="s">
        <v>4965</v>
      </c>
      <c r="AS1124" s="38"/>
      <c r="AT1124" s="38"/>
      <c r="AU1124" s="38"/>
      <c r="AV1124" s="38"/>
      <c r="AW1124" s="38"/>
      <c r="AX1124" s="38"/>
      <c r="AY1124" s="38"/>
      <c r="AZ1124" s="38"/>
      <c r="BA1124" s="38"/>
      <c r="BB1124" s="38"/>
    </row>
    <row r="1125" spans="1:54">
      <c r="A1125" s="38" t="s">
        <v>4989</v>
      </c>
      <c r="B1125" s="38" t="s">
        <v>3424</v>
      </c>
      <c r="C1125" s="38"/>
      <c r="D1125" s="38" t="s">
        <v>3399</v>
      </c>
      <c r="E1125" s="38" t="s">
        <v>4990</v>
      </c>
      <c r="F1125" s="38"/>
      <c r="G1125" s="38" t="s">
        <v>4991</v>
      </c>
      <c r="H1125" s="38" t="s">
        <v>3571</v>
      </c>
      <c r="I1125" s="38" t="s">
        <v>4992</v>
      </c>
      <c r="J1125" s="38"/>
      <c r="K1125" s="38">
        <v>550</v>
      </c>
      <c r="L1125" s="38">
        <v>23.42</v>
      </c>
      <c r="M1125" s="38"/>
      <c r="N1125" s="38">
        <v>68.010000000000005</v>
      </c>
      <c r="O1125" s="38">
        <v>0.74</v>
      </c>
      <c r="P1125" s="38">
        <v>1.84</v>
      </c>
      <c r="Q1125" s="38">
        <v>5.94</v>
      </c>
      <c r="R1125" s="38"/>
      <c r="S1125" s="38"/>
      <c r="T1125" s="38"/>
      <c r="U1125" s="38"/>
      <c r="V1125" s="38"/>
      <c r="W1125" s="38"/>
      <c r="X1125" s="38"/>
      <c r="Y1125" s="38"/>
      <c r="Z1125" s="38"/>
      <c r="AA1125" s="38"/>
      <c r="AB1125" s="38"/>
      <c r="AC1125" s="38"/>
      <c r="AD1125" s="38"/>
      <c r="AE1125" s="38"/>
      <c r="AF1125" s="38"/>
      <c r="AG1125" s="38"/>
      <c r="AH1125" s="38"/>
      <c r="AI1125" s="38"/>
      <c r="AJ1125" s="38"/>
      <c r="AK1125" s="38"/>
      <c r="AL1125" s="38"/>
      <c r="AM1125" s="38"/>
      <c r="AN1125" s="38"/>
      <c r="AO1125" s="38"/>
      <c r="AP1125" s="38"/>
      <c r="AQ1125" s="38">
        <v>13.7</v>
      </c>
      <c r="AR1125" s="38" t="s">
        <v>4965</v>
      </c>
      <c r="AS1125" s="38"/>
      <c r="AT1125" s="38"/>
      <c r="AU1125" s="38"/>
      <c r="AV1125" s="38"/>
      <c r="AW1125" s="38"/>
      <c r="AX1125" s="38"/>
      <c r="AY1125" s="38"/>
      <c r="AZ1125" s="38"/>
      <c r="BA1125" s="38"/>
      <c r="BB1125" s="38"/>
    </row>
    <row r="1126" spans="1:54">
      <c r="A1126" s="38" t="s">
        <v>4993</v>
      </c>
      <c r="B1126" s="38" t="s">
        <v>3424</v>
      </c>
      <c r="C1126" s="38"/>
      <c r="D1126" s="38" t="s">
        <v>3399</v>
      </c>
      <c r="E1126" s="38" t="s">
        <v>4994</v>
      </c>
      <c r="F1126" s="38"/>
      <c r="G1126" s="38" t="s">
        <v>4991</v>
      </c>
      <c r="H1126" s="38" t="s">
        <v>3400</v>
      </c>
      <c r="I1126" s="38" t="s">
        <v>4992</v>
      </c>
      <c r="J1126" s="38"/>
      <c r="K1126" s="38">
        <v>650</v>
      </c>
      <c r="L1126" s="38">
        <v>12.7</v>
      </c>
      <c r="M1126" s="38"/>
      <c r="N1126" s="38">
        <v>81.47</v>
      </c>
      <c r="O1126" s="38">
        <v>0.69</v>
      </c>
      <c r="P1126" s="38">
        <v>0.72</v>
      </c>
      <c r="Q1126" s="38">
        <v>4.38</v>
      </c>
      <c r="R1126" s="38"/>
      <c r="S1126" s="38"/>
      <c r="T1126" s="38"/>
      <c r="U1126" s="38"/>
      <c r="V1126" s="38"/>
      <c r="W1126" s="38"/>
      <c r="X1126" s="38"/>
      <c r="Y1126" s="38"/>
      <c r="Z1126" s="38"/>
      <c r="AA1126" s="38"/>
      <c r="AB1126" s="38"/>
      <c r="AC1126" s="38"/>
      <c r="AD1126" s="38"/>
      <c r="AE1126" s="38"/>
      <c r="AF1126" s="38"/>
      <c r="AG1126" s="38"/>
      <c r="AH1126" s="38"/>
      <c r="AI1126" s="38"/>
      <c r="AJ1126" s="38"/>
      <c r="AK1126" s="38"/>
      <c r="AL1126" s="38"/>
      <c r="AM1126" s="38"/>
      <c r="AN1126" s="38"/>
      <c r="AO1126" s="38"/>
      <c r="AP1126" s="38"/>
      <c r="AQ1126" s="38">
        <v>45</v>
      </c>
      <c r="AR1126" s="38" t="s">
        <v>4965</v>
      </c>
      <c r="AS1126" s="38"/>
      <c r="AT1126" s="38"/>
      <c r="AU1126" s="38"/>
      <c r="AV1126" s="38"/>
      <c r="AW1126" s="38"/>
      <c r="AX1126" s="38"/>
      <c r="AY1126" s="38"/>
      <c r="AZ1126" s="38"/>
      <c r="BA1126" s="38"/>
      <c r="BB1126" s="38"/>
    </row>
    <row r="1127" spans="1:54">
      <c r="A1127" s="38" t="s">
        <v>4995</v>
      </c>
      <c r="B1127" s="38" t="s">
        <v>3463</v>
      </c>
      <c r="C1127" s="38" t="s">
        <v>4996</v>
      </c>
      <c r="D1127" s="38" t="s">
        <v>3399</v>
      </c>
      <c r="E1127" s="38" t="s">
        <v>4997</v>
      </c>
      <c r="F1127" s="38"/>
      <c r="G1127" s="38"/>
      <c r="H1127" s="38" t="s">
        <v>3400</v>
      </c>
      <c r="I1127" s="38" t="s">
        <v>4998</v>
      </c>
      <c r="J1127" s="38">
        <v>3.29</v>
      </c>
      <c r="K1127" s="38">
        <v>300</v>
      </c>
      <c r="L1127" s="38">
        <v>14.42</v>
      </c>
      <c r="M1127" s="38"/>
      <c r="N1127" s="38">
        <v>57.99</v>
      </c>
      <c r="O1127" s="38">
        <v>0.54</v>
      </c>
      <c r="P1127" s="38">
        <v>4.08</v>
      </c>
      <c r="Q1127" s="38">
        <v>20.82</v>
      </c>
      <c r="R1127" s="38">
        <v>8.32</v>
      </c>
      <c r="S1127" s="38">
        <v>3.26</v>
      </c>
      <c r="T1127" s="38"/>
      <c r="U1127" s="38"/>
      <c r="V1127" s="38"/>
      <c r="W1127" s="38"/>
      <c r="X1127" s="38"/>
      <c r="Y1127" s="38"/>
      <c r="Z1127" s="38"/>
      <c r="AA1127" s="38"/>
      <c r="AB1127" s="38"/>
      <c r="AC1127" s="38"/>
      <c r="AD1127" s="38"/>
      <c r="AE1127" s="38"/>
      <c r="AF1127" s="38"/>
      <c r="AG1127" s="38"/>
      <c r="AH1127" s="38"/>
      <c r="AI1127" s="38"/>
      <c r="AJ1127" s="38"/>
      <c r="AK1127" s="38"/>
      <c r="AL1127" s="38">
        <v>4000</v>
      </c>
      <c r="AM1127" s="38"/>
      <c r="AN1127" s="38"/>
      <c r="AO1127" s="38"/>
      <c r="AP1127" s="38">
        <v>40.08</v>
      </c>
      <c r="AQ1127" s="38"/>
      <c r="AR1127" s="38"/>
      <c r="AS1127" s="38"/>
      <c r="AT1127" s="38"/>
      <c r="AU1127" s="38">
        <v>48500</v>
      </c>
      <c r="AV1127" s="38">
        <v>15300</v>
      </c>
      <c r="AW1127" s="38">
        <v>21800</v>
      </c>
      <c r="AX1127" s="38"/>
      <c r="AY1127" s="38"/>
      <c r="AZ1127" s="38"/>
      <c r="BA1127" s="38"/>
      <c r="BB1127" s="38"/>
    </row>
    <row r="1128" spans="1:54">
      <c r="A1128" s="38" t="s">
        <v>4999</v>
      </c>
      <c r="B1128" s="38" t="s">
        <v>3463</v>
      </c>
      <c r="C1128" s="38" t="s">
        <v>4996</v>
      </c>
      <c r="D1128" s="38" t="s">
        <v>3399</v>
      </c>
      <c r="E1128" s="38" t="s">
        <v>4997</v>
      </c>
      <c r="F1128" s="38"/>
      <c r="G1128" s="38"/>
      <c r="H1128" s="38" t="s">
        <v>3400</v>
      </c>
      <c r="I1128" s="38" t="s">
        <v>4998</v>
      </c>
      <c r="J1128" s="38">
        <v>3.13</v>
      </c>
      <c r="K1128" s="38">
        <v>400</v>
      </c>
      <c r="L1128" s="38">
        <v>16.34</v>
      </c>
      <c r="M1128" s="38"/>
      <c r="N1128" s="38">
        <v>66.87</v>
      </c>
      <c r="O1128" s="38">
        <v>0.45</v>
      </c>
      <c r="P1128" s="38">
        <v>3.54</v>
      </c>
      <c r="Q1128" s="38">
        <v>11.44</v>
      </c>
      <c r="R1128" s="38">
        <v>9.25</v>
      </c>
      <c r="S1128" s="38">
        <v>3.28</v>
      </c>
      <c r="T1128" s="38"/>
      <c r="U1128" s="38"/>
      <c r="V1128" s="38"/>
      <c r="W1128" s="38"/>
      <c r="X1128" s="38"/>
      <c r="Y1128" s="38"/>
      <c r="Z1128" s="38"/>
      <c r="AA1128" s="38"/>
      <c r="AB1128" s="38"/>
      <c r="AC1128" s="38"/>
      <c r="AD1128" s="38"/>
      <c r="AE1128" s="38"/>
      <c r="AF1128" s="38"/>
      <c r="AG1128" s="38"/>
      <c r="AH1128" s="38"/>
      <c r="AI1128" s="38"/>
      <c r="AJ1128" s="38"/>
      <c r="AK1128" s="38"/>
      <c r="AL1128" s="38">
        <v>4200</v>
      </c>
      <c r="AM1128" s="38"/>
      <c r="AN1128" s="38"/>
      <c r="AO1128" s="38"/>
      <c r="AP1128" s="38">
        <v>20.25</v>
      </c>
      <c r="AQ1128" s="38"/>
      <c r="AR1128" s="38"/>
      <c r="AS1128" s="38"/>
      <c r="AT1128" s="38"/>
      <c r="AU1128" s="38">
        <v>60400</v>
      </c>
      <c r="AV1128" s="38">
        <v>15700</v>
      </c>
      <c r="AW1128" s="38">
        <v>21700</v>
      </c>
      <c r="AX1128" s="38"/>
      <c r="AY1128" s="38"/>
      <c r="AZ1128" s="38"/>
      <c r="BA1128" s="38"/>
      <c r="BB1128" s="38"/>
    </row>
    <row r="1129" spans="1:54">
      <c r="A1129" s="38" t="s">
        <v>5000</v>
      </c>
      <c r="B1129" s="38" t="s">
        <v>3463</v>
      </c>
      <c r="C1129" s="38" t="s">
        <v>4996</v>
      </c>
      <c r="D1129" s="38" t="s">
        <v>3399</v>
      </c>
      <c r="E1129" s="38" t="s">
        <v>4997</v>
      </c>
      <c r="F1129" s="38"/>
      <c r="G1129" s="38"/>
      <c r="H1129" s="38" t="s">
        <v>3400</v>
      </c>
      <c r="I1129" s="38" t="s">
        <v>4998</v>
      </c>
      <c r="J1129" s="38">
        <v>2.96</v>
      </c>
      <c r="K1129" s="38">
        <v>500</v>
      </c>
      <c r="L1129" s="38">
        <v>19.68</v>
      </c>
      <c r="M1129" s="38"/>
      <c r="N1129" s="38">
        <v>72.3</v>
      </c>
      <c r="O1129" s="38">
        <v>0.42</v>
      </c>
      <c r="P1129" s="38">
        <v>2.11</v>
      </c>
      <c r="Q1129" s="38">
        <v>4.5</v>
      </c>
      <c r="R1129" s="38">
        <v>9.59</v>
      </c>
      <c r="S1129" s="38">
        <v>3.5</v>
      </c>
      <c r="T1129" s="38"/>
      <c r="U1129" s="38"/>
      <c r="V1129" s="38"/>
      <c r="W1129" s="38"/>
      <c r="X1129" s="38"/>
      <c r="Y1129" s="38"/>
      <c r="Z1129" s="38"/>
      <c r="AA1129" s="38"/>
      <c r="AB1129" s="38"/>
      <c r="AC1129" s="38"/>
      <c r="AD1129" s="38"/>
      <c r="AE1129" s="38"/>
      <c r="AF1129" s="38"/>
      <c r="AG1129" s="38"/>
      <c r="AH1129" s="38"/>
      <c r="AI1129" s="38"/>
      <c r="AJ1129" s="38"/>
      <c r="AK1129" s="38"/>
      <c r="AL1129" s="38">
        <v>4800</v>
      </c>
      <c r="AM1129" s="38"/>
      <c r="AN1129" s="38"/>
      <c r="AO1129" s="38"/>
      <c r="AP1129" s="38">
        <v>9.31</v>
      </c>
      <c r="AQ1129" s="38"/>
      <c r="AR1129" s="38"/>
      <c r="AS1129" s="38"/>
      <c r="AT1129" s="38"/>
      <c r="AU1129" s="38">
        <v>58100</v>
      </c>
      <c r="AV1129" s="38">
        <v>19300</v>
      </c>
      <c r="AW1129" s="38">
        <v>22300</v>
      </c>
      <c r="AX1129" s="38"/>
      <c r="AY1129" s="38"/>
      <c r="AZ1129" s="38"/>
      <c r="BA1129" s="38"/>
      <c r="BB1129" s="38"/>
    </row>
    <row r="1130" spans="1:54">
      <c r="A1130" s="38" t="s">
        <v>5001</v>
      </c>
      <c r="B1130" s="38" t="s">
        <v>3463</v>
      </c>
      <c r="C1130" s="38" t="s">
        <v>4996</v>
      </c>
      <c r="D1130" s="38" t="s">
        <v>3399</v>
      </c>
      <c r="E1130" s="38" t="s">
        <v>4997</v>
      </c>
      <c r="F1130" s="38"/>
      <c r="G1130" s="38"/>
      <c r="H1130" s="38" t="s">
        <v>3400</v>
      </c>
      <c r="I1130" s="38" t="s">
        <v>4998</v>
      </c>
      <c r="J1130" s="38">
        <v>2.25</v>
      </c>
      <c r="K1130" s="38">
        <v>600</v>
      </c>
      <c r="L1130" s="38">
        <v>20.71</v>
      </c>
      <c r="M1130" s="38"/>
      <c r="N1130" s="38">
        <v>72.89</v>
      </c>
      <c r="O1130" s="38">
        <v>0.39</v>
      </c>
      <c r="P1130" s="38">
        <v>1.74</v>
      </c>
      <c r="Q1130" s="38">
        <v>3.28</v>
      </c>
      <c r="R1130" s="38">
        <v>9.57</v>
      </c>
      <c r="S1130" s="38">
        <v>3.59</v>
      </c>
      <c r="T1130" s="38"/>
      <c r="U1130" s="38"/>
      <c r="V1130" s="38"/>
      <c r="W1130" s="38"/>
      <c r="X1130" s="38"/>
      <c r="Y1130" s="38"/>
      <c r="Z1130" s="38"/>
      <c r="AA1130" s="38"/>
      <c r="AB1130" s="38"/>
      <c r="AC1130" s="38"/>
      <c r="AD1130" s="38"/>
      <c r="AE1130" s="38"/>
      <c r="AF1130" s="38"/>
      <c r="AG1130" s="38"/>
      <c r="AH1130" s="38"/>
      <c r="AI1130" s="38"/>
      <c r="AJ1130" s="38"/>
      <c r="AK1130" s="38"/>
      <c r="AL1130" s="38">
        <v>5300</v>
      </c>
      <c r="AM1130" s="38"/>
      <c r="AN1130" s="38"/>
      <c r="AO1130" s="38"/>
      <c r="AP1130" s="38">
        <v>6.85</v>
      </c>
      <c r="AQ1130" s="38"/>
      <c r="AR1130" s="38"/>
      <c r="AS1130" s="38"/>
      <c r="AT1130" s="38"/>
      <c r="AU1130" s="38">
        <v>77700</v>
      </c>
      <c r="AV1130" s="38">
        <v>19000</v>
      </c>
      <c r="AW1130" s="38">
        <v>25800</v>
      </c>
      <c r="AX1130" s="38"/>
      <c r="AY1130" s="38"/>
      <c r="AZ1130" s="38"/>
      <c r="BA1130" s="38"/>
      <c r="BB1130" s="38"/>
    </row>
    <row r="1131" spans="1:54">
      <c r="A1131" s="38" t="s">
        <v>5002</v>
      </c>
      <c r="B1131" s="38" t="s">
        <v>3463</v>
      </c>
      <c r="C1131" s="38" t="s">
        <v>4996</v>
      </c>
      <c r="D1131" s="38" t="s">
        <v>3399</v>
      </c>
      <c r="E1131" s="38" t="s">
        <v>4997</v>
      </c>
      <c r="F1131" s="38"/>
      <c r="G1131" s="38"/>
      <c r="H1131" s="38" t="s">
        <v>3400</v>
      </c>
      <c r="I1131" s="38" t="s">
        <v>4998</v>
      </c>
      <c r="J1131" s="38">
        <v>2.1</v>
      </c>
      <c r="K1131" s="38">
        <v>700</v>
      </c>
      <c r="L1131" s="38">
        <v>21.05</v>
      </c>
      <c r="M1131" s="38"/>
      <c r="N1131" s="38">
        <v>73.42</v>
      </c>
      <c r="O1131" s="38">
        <v>0.35</v>
      </c>
      <c r="P1131" s="38">
        <v>1.1399999999999999</v>
      </c>
      <c r="Q1131" s="38">
        <v>3.19</v>
      </c>
      <c r="R1131" s="38">
        <v>11.5</v>
      </c>
      <c r="S1131" s="38">
        <v>3.66</v>
      </c>
      <c r="T1131" s="38"/>
      <c r="U1131" s="38"/>
      <c r="V1131" s="38"/>
      <c r="W1131" s="38"/>
      <c r="X1131" s="38"/>
      <c r="Y1131" s="38"/>
      <c r="Z1131" s="38"/>
      <c r="AA1131" s="38"/>
      <c r="AB1131" s="38"/>
      <c r="AC1131" s="38"/>
      <c r="AD1131" s="38"/>
      <c r="AE1131" s="38"/>
      <c r="AF1131" s="38"/>
      <c r="AG1131" s="38"/>
      <c r="AH1131" s="38"/>
      <c r="AI1131" s="38"/>
      <c r="AJ1131" s="38"/>
      <c r="AK1131" s="38"/>
      <c r="AL1131" s="38">
        <v>5000</v>
      </c>
      <c r="AM1131" s="38"/>
      <c r="AN1131" s="38"/>
      <c r="AO1131" s="38"/>
      <c r="AP1131" s="38">
        <v>5.47</v>
      </c>
      <c r="AQ1131" s="38"/>
      <c r="AR1131" s="38"/>
      <c r="AS1131" s="38"/>
      <c r="AT1131" s="38"/>
      <c r="AU1131" s="38">
        <v>76500</v>
      </c>
      <c r="AV1131" s="38">
        <v>19200</v>
      </c>
      <c r="AW1131" s="38">
        <v>26900</v>
      </c>
      <c r="AX1131" s="38"/>
      <c r="AY1131" s="38"/>
      <c r="AZ1131" s="38"/>
      <c r="BA1131" s="38"/>
      <c r="BB1131" s="38"/>
    </row>
    <row r="1132" spans="1:54">
      <c r="A1132" s="38" t="s">
        <v>5003</v>
      </c>
      <c r="B1132" s="38" t="s">
        <v>3463</v>
      </c>
      <c r="C1132" s="38" t="s">
        <v>4996</v>
      </c>
      <c r="D1132" s="38" t="s">
        <v>3399</v>
      </c>
      <c r="E1132" s="38" t="s">
        <v>4997</v>
      </c>
      <c r="F1132" s="38"/>
      <c r="G1132" s="38"/>
      <c r="H1132" s="38" t="s">
        <v>3400</v>
      </c>
      <c r="I1132" s="38" t="s">
        <v>4998</v>
      </c>
      <c r="J1132" s="38">
        <v>2.09</v>
      </c>
      <c r="K1132" s="38">
        <v>800</v>
      </c>
      <c r="L1132" s="38">
        <v>21.39</v>
      </c>
      <c r="M1132" s="38"/>
      <c r="N1132" s="38">
        <v>74.63</v>
      </c>
      <c r="O1132" s="38">
        <v>0.31</v>
      </c>
      <c r="P1132" s="38">
        <v>0.86</v>
      </c>
      <c r="Q1132" s="38">
        <v>2.27</v>
      </c>
      <c r="R1132" s="38">
        <v>11.49</v>
      </c>
      <c r="S1132" s="38">
        <v>4.2699999999999996</v>
      </c>
      <c r="T1132" s="38"/>
      <c r="U1132" s="38"/>
      <c r="V1132" s="38"/>
      <c r="W1132" s="38"/>
      <c r="X1132" s="38"/>
      <c r="Y1132" s="38"/>
      <c r="Z1132" s="38"/>
      <c r="AA1132" s="38"/>
      <c r="AB1132" s="38"/>
      <c r="AC1132" s="38"/>
      <c r="AD1132" s="38"/>
      <c r="AE1132" s="38"/>
      <c r="AF1132" s="38"/>
      <c r="AG1132" s="38"/>
      <c r="AH1132" s="38"/>
      <c r="AI1132" s="38"/>
      <c r="AJ1132" s="38"/>
      <c r="AK1132" s="38"/>
      <c r="AL1132" s="38">
        <v>5800</v>
      </c>
      <c r="AM1132" s="38"/>
      <c r="AN1132" s="38"/>
      <c r="AO1132" s="38"/>
      <c r="AP1132" s="38">
        <v>3.91</v>
      </c>
      <c r="AQ1132" s="38"/>
      <c r="AR1132" s="38"/>
      <c r="AS1132" s="38"/>
      <c r="AT1132" s="38"/>
      <c r="AU1132" s="38">
        <v>80800</v>
      </c>
      <c r="AV1132" s="38">
        <v>20200</v>
      </c>
      <c r="AW1132" s="38">
        <v>27100</v>
      </c>
      <c r="AX1132" s="38"/>
      <c r="AY1132" s="38"/>
      <c r="AZ1132" s="38"/>
      <c r="BA1132" s="38"/>
      <c r="BB1132" s="38"/>
    </row>
    <row r="1133" spans="1:54">
      <c r="A1133" s="38" t="s">
        <v>5004</v>
      </c>
      <c r="B1133" s="38" t="s">
        <v>3652</v>
      </c>
      <c r="C1133" s="38" t="s">
        <v>4440</v>
      </c>
      <c r="D1133" s="38" t="s">
        <v>3399</v>
      </c>
      <c r="E1133" s="38" t="s">
        <v>5005</v>
      </c>
      <c r="F1133" s="38"/>
      <c r="G1133" s="38"/>
      <c r="H1133" s="38" t="s">
        <v>3400</v>
      </c>
      <c r="I1133" s="38" t="s">
        <v>5006</v>
      </c>
      <c r="J1133" s="38"/>
      <c r="K1133" s="38">
        <v>400</v>
      </c>
      <c r="L1133" s="38"/>
      <c r="M1133" s="38"/>
      <c r="N1133" s="38">
        <v>46.36</v>
      </c>
      <c r="O1133" s="38">
        <v>1.59</v>
      </c>
      <c r="P1133" s="38"/>
      <c r="Q1133" s="38"/>
      <c r="R1133" s="38">
        <v>9.9</v>
      </c>
      <c r="S1133" s="38">
        <v>3.53</v>
      </c>
      <c r="T1133" s="38"/>
      <c r="U1133" s="38"/>
      <c r="V1133" s="38"/>
      <c r="W1133" s="38"/>
      <c r="X1133" s="38"/>
      <c r="Y1133" s="38"/>
      <c r="Z1133" s="38"/>
      <c r="AA1133" s="38"/>
      <c r="AB1133" s="38"/>
      <c r="AC1133" s="38"/>
      <c r="AD1133" s="38"/>
      <c r="AE1133" s="38"/>
      <c r="AF1133" s="38"/>
      <c r="AG1133" s="38"/>
      <c r="AH1133" s="38"/>
      <c r="AI1133" s="38"/>
      <c r="AJ1133" s="38"/>
      <c r="AK1133" s="38"/>
      <c r="AL1133" s="38"/>
      <c r="AM1133" s="38"/>
      <c r="AN1133" s="38"/>
      <c r="AO1133" s="38"/>
      <c r="AP1133" s="38"/>
      <c r="AQ1133" s="38"/>
      <c r="AR1133" s="38"/>
      <c r="AS1133" s="38"/>
      <c r="AT1133" s="38">
        <v>900</v>
      </c>
      <c r="AU1133" s="38">
        <v>3800</v>
      </c>
      <c r="AV1133" s="38">
        <v>2500</v>
      </c>
      <c r="AW1133" s="38">
        <v>32200</v>
      </c>
      <c r="AX1133" s="38">
        <v>18300</v>
      </c>
      <c r="AY1133" s="38">
        <v>2800</v>
      </c>
      <c r="AZ1133" s="38"/>
      <c r="BA1133" s="38"/>
      <c r="BB1133" s="38"/>
    </row>
    <row r="1134" spans="1:54">
      <c r="A1134" s="38" t="s">
        <v>5007</v>
      </c>
      <c r="B1134" s="38" t="s">
        <v>3652</v>
      </c>
      <c r="C1134" s="38" t="s">
        <v>4381</v>
      </c>
      <c r="D1134" s="38" t="s">
        <v>3399</v>
      </c>
      <c r="E1134" s="38" t="s">
        <v>5005</v>
      </c>
      <c r="F1134" s="38"/>
      <c r="G1134" s="38"/>
      <c r="H1134" s="38" t="s">
        <v>3400</v>
      </c>
      <c r="I1134" s="38" t="s">
        <v>5006</v>
      </c>
      <c r="J1134" s="38"/>
      <c r="K1134" s="38">
        <v>400</v>
      </c>
      <c r="L1134" s="38"/>
      <c r="M1134" s="38"/>
      <c r="N1134" s="38">
        <v>56.39</v>
      </c>
      <c r="O1134" s="38">
        <v>1.89</v>
      </c>
      <c r="P1134" s="38"/>
      <c r="Q1134" s="38"/>
      <c r="R1134" s="38">
        <v>9.81</v>
      </c>
      <c r="S1134" s="38">
        <v>2.87</v>
      </c>
      <c r="T1134" s="38"/>
      <c r="U1134" s="38"/>
      <c r="V1134" s="38"/>
      <c r="W1134" s="38"/>
      <c r="X1134" s="38"/>
      <c r="Y1134" s="38"/>
      <c r="Z1134" s="38"/>
      <c r="AA1134" s="38"/>
      <c r="AB1134" s="38"/>
      <c r="AC1134" s="38"/>
      <c r="AD1134" s="38"/>
      <c r="AE1134" s="38"/>
      <c r="AF1134" s="38"/>
      <c r="AG1134" s="38"/>
      <c r="AH1134" s="38"/>
      <c r="AI1134" s="38"/>
      <c r="AJ1134" s="38"/>
      <c r="AK1134" s="38"/>
      <c r="AL1134" s="38"/>
      <c r="AM1134" s="38"/>
      <c r="AN1134" s="38"/>
      <c r="AO1134" s="38"/>
      <c r="AP1134" s="38"/>
      <c r="AQ1134" s="38"/>
      <c r="AR1134" s="38"/>
      <c r="AS1134" s="38"/>
      <c r="AT1134" s="38"/>
      <c r="AU1134" s="38">
        <v>1900</v>
      </c>
      <c r="AV1134" s="38">
        <v>1700</v>
      </c>
      <c r="AW1134" s="38">
        <v>2100</v>
      </c>
      <c r="AX1134" s="38">
        <v>33600</v>
      </c>
      <c r="AY1134" s="38">
        <v>3100</v>
      </c>
      <c r="AZ1134" s="38">
        <v>3600</v>
      </c>
      <c r="BA1134" s="38"/>
      <c r="BB1134" s="38"/>
    </row>
    <row r="1135" spans="1:54">
      <c r="A1135" s="38" t="s">
        <v>5008</v>
      </c>
      <c r="B1135" s="38" t="s">
        <v>3424</v>
      </c>
      <c r="C1135" s="38" t="s">
        <v>5009</v>
      </c>
      <c r="D1135" s="38" t="s">
        <v>3399</v>
      </c>
      <c r="E1135" s="38" t="s">
        <v>5005</v>
      </c>
      <c r="F1135" s="38"/>
      <c r="G1135" s="38"/>
      <c r="H1135" s="38" t="s">
        <v>3400</v>
      </c>
      <c r="I1135" s="38" t="s">
        <v>5010</v>
      </c>
      <c r="J1135" s="38"/>
      <c r="K1135" s="38"/>
      <c r="L1135" s="38"/>
      <c r="M1135" s="38"/>
      <c r="N1135" s="38">
        <v>66</v>
      </c>
      <c r="O1135" s="38">
        <v>1.31</v>
      </c>
      <c r="P1135" s="38"/>
      <c r="Q1135" s="38"/>
      <c r="R1135" s="38">
        <v>10.7</v>
      </c>
      <c r="S1135" s="38">
        <v>3.84</v>
      </c>
      <c r="T1135" s="38"/>
      <c r="U1135" s="38"/>
      <c r="V1135" s="38"/>
      <c r="W1135" s="38"/>
      <c r="X1135" s="38"/>
      <c r="Y1135" s="38"/>
      <c r="Z1135" s="38"/>
      <c r="AA1135" s="38"/>
      <c r="AB1135" s="38"/>
      <c r="AC1135" s="38"/>
      <c r="AD1135" s="38"/>
      <c r="AE1135" s="38"/>
      <c r="AF1135" s="38"/>
      <c r="AG1135" s="38"/>
      <c r="AH1135" s="38"/>
      <c r="AI1135" s="38"/>
      <c r="AJ1135" s="38"/>
      <c r="AK1135" s="38"/>
      <c r="AL1135" s="38"/>
      <c r="AM1135" s="38"/>
      <c r="AN1135" s="38">
        <v>63.5</v>
      </c>
      <c r="AO1135" s="38"/>
      <c r="AP1135" s="38"/>
      <c r="AQ1135" s="38"/>
      <c r="AR1135" s="38"/>
      <c r="AS1135" s="38"/>
      <c r="AT1135" s="38">
        <v>17900</v>
      </c>
      <c r="AU1135" s="38"/>
      <c r="AV1135" s="38"/>
      <c r="AW1135" s="38">
        <v>19600</v>
      </c>
      <c r="AX1135" s="38"/>
      <c r="AY1135" s="38">
        <v>3200</v>
      </c>
      <c r="AZ1135" s="38"/>
      <c r="BA1135" s="38"/>
      <c r="BB1135" s="38"/>
    </row>
    <row r="1136" spans="1:54">
      <c r="A1136" s="38" t="s">
        <v>5011</v>
      </c>
      <c r="B1136" s="38" t="s">
        <v>3652</v>
      </c>
      <c r="C1136" s="38" t="s">
        <v>5012</v>
      </c>
      <c r="D1136" s="38" t="s">
        <v>3399</v>
      </c>
      <c r="E1136" s="38" t="s">
        <v>5005</v>
      </c>
      <c r="F1136" s="38"/>
      <c r="G1136" s="38"/>
      <c r="H1136" s="38" t="s">
        <v>3400</v>
      </c>
      <c r="I1136" s="38" t="s">
        <v>5010</v>
      </c>
      <c r="J1136" s="38"/>
      <c r="K1136" s="38"/>
      <c r="L1136" s="38"/>
      <c r="M1136" s="38"/>
      <c r="N1136" s="38">
        <v>64</v>
      </c>
      <c r="O1136" s="38">
        <v>1.1000000000000001</v>
      </c>
      <c r="P1136" s="38"/>
      <c r="Q1136" s="38"/>
      <c r="R1136" s="38">
        <v>10.6</v>
      </c>
      <c r="S1136" s="38">
        <v>10.9</v>
      </c>
      <c r="T1136" s="38"/>
      <c r="U1136" s="38"/>
      <c r="V1136" s="38"/>
      <c r="W1136" s="38"/>
      <c r="X1136" s="38"/>
      <c r="Y1136" s="38"/>
      <c r="Z1136" s="38"/>
      <c r="AA1136" s="38"/>
      <c r="AB1136" s="38"/>
      <c r="AC1136" s="38"/>
      <c r="AD1136" s="38"/>
      <c r="AE1136" s="38"/>
      <c r="AF1136" s="38"/>
      <c r="AG1136" s="38"/>
      <c r="AH1136" s="38"/>
      <c r="AI1136" s="38"/>
      <c r="AJ1136" s="38"/>
      <c r="AK1136" s="38"/>
      <c r="AL1136" s="38"/>
      <c r="AM1136" s="38"/>
      <c r="AN1136" s="38">
        <v>57.6</v>
      </c>
      <c r="AO1136" s="38"/>
      <c r="AP1136" s="38"/>
      <c r="AQ1136" s="38"/>
      <c r="AR1136" s="38"/>
      <c r="AS1136" s="38"/>
      <c r="AT1136" s="38">
        <v>16000</v>
      </c>
      <c r="AU1136" s="38"/>
      <c r="AV1136" s="38"/>
      <c r="AW1136" s="38">
        <v>25200</v>
      </c>
      <c r="AX1136" s="38"/>
      <c r="AY1136" s="38">
        <v>3200</v>
      </c>
      <c r="AZ1136" s="38"/>
      <c r="BA1136" s="38"/>
      <c r="BB1136" s="38"/>
    </row>
    <row r="1137" spans="1:54">
      <c r="A1137" s="38" t="s">
        <v>5013</v>
      </c>
      <c r="B1137" s="38" t="s">
        <v>3652</v>
      </c>
      <c r="C1137" s="38" t="s">
        <v>4440</v>
      </c>
      <c r="D1137" s="38" t="s">
        <v>3399</v>
      </c>
      <c r="E1137" s="38" t="s">
        <v>5005</v>
      </c>
      <c r="F1137" s="38"/>
      <c r="G1137" s="38"/>
      <c r="H1137" s="38" t="s">
        <v>3400</v>
      </c>
      <c r="I1137" s="38" t="s">
        <v>5010</v>
      </c>
      <c r="J1137" s="38"/>
      <c r="K1137" s="38"/>
      <c r="L1137" s="38"/>
      <c r="M1137" s="38"/>
      <c r="N1137" s="38">
        <v>60</v>
      </c>
      <c r="O1137" s="38">
        <v>0.95</v>
      </c>
      <c r="P1137" s="38"/>
      <c r="Q1137" s="38">
        <v>29.6</v>
      </c>
      <c r="R1137" s="38">
        <v>8.6</v>
      </c>
      <c r="S1137" s="38">
        <v>7.68</v>
      </c>
      <c r="T1137" s="38"/>
      <c r="U1137" s="38"/>
      <c r="V1137" s="38"/>
      <c r="W1137" s="38"/>
      <c r="X1137" s="38"/>
      <c r="Y1137" s="38"/>
      <c r="Z1137" s="38"/>
      <c r="AA1137" s="38"/>
      <c r="AB1137" s="38"/>
      <c r="AC1137" s="38"/>
      <c r="AD1137" s="38"/>
      <c r="AE1137" s="38"/>
      <c r="AF1137" s="38"/>
      <c r="AG1137" s="38"/>
      <c r="AH1137" s="38"/>
      <c r="AI1137" s="38"/>
      <c r="AJ1137" s="38"/>
      <c r="AK1137" s="38"/>
      <c r="AL1137" s="38"/>
      <c r="AM1137" s="38"/>
      <c r="AN1137" s="38">
        <v>97.3</v>
      </c>
      <c r="AO1137" s="38"/>
      <c r="AP1137" s="38"/>
      <c r="AQ1137" s="38"/>
      <c r="AR1137" s="38"/>
      <c r="AS1137" s="38"/>
      <c r="AT1137" s="38">
        <v>15200</v>
      </c>
      <c r="AU1137" s="38"/>
      <c r="AV1137" s="38"/>
      <c r="AW1137" s="38">
        <v>15000</v>
      </c>
      <c r="AX1137" s="38"/>
      <c r="AY1137" s="38">
        <v>1200</v>
      </c>
      <c r="AZ1137" s="38"/>
      <c r="BA1137" s="38"/>
      <c r="BB1137" s="38"/>
    </row>
    <row r="1138" spans="1:54">
      <c r="A1138" s="38" t="s">
        <v>5014</v>
      </c>
      <c r="B1138" s="38" t="s">
        <v>3652</v>
      </c>
      <c r="C1138" s="38" t="s">
        <v>4381</v>
      </c>
      <c r="D1138" s="38" t="s">
        <v>3399</v>
      </c>
      <c r="E1138" s="38" t="s">
        <v>5005</v>
      </c>
      <c r="F1138" s="38"/>
      <c r="G1138" s="38"/>
      <c r="H1138" s="38" t="s">
        <v>3400</v>
      </c>
      <c r="I1138" s="38" t="s">
        <v>5010</v>
      </c>
      <c r="J1138" s="38"/>
      <c r="K1138" s="38"/>
      <c r="L1138" s="38"/>
      <c r="M1138" s="38"/>
      <c r="N1138" s="38">
        <v>64</v>
      </c>
      <c r="O1138" s="38">
        <v>1.23</v>
      </c>
      <c r="P1138" s="38"/>
      <c r="Q1138" s="38"/>
      <c r="R1138" s="38">
        <v>8.76</v>
      </c>
      <c r="S1138" s="38">
        <v>13.3</v>
      </c>
      <c r="T1138" s="38"/>
      <c r="U1138" s="38"/>
      <c r="V1138" s="38"/>
      <c r="W1138" s="38"/>
      <c r="X1138" s="38"/>
      <c r="Y1138" s="38"/>
      <c r="Z1138" s="38"/>
      <c r="AA1138" s="38"/>
      <c r="AB1138" s="38"/>
      <c r="AC1138" s="38"/>
      <c r="AD1138" s="38"/>
      <c r="AE1138" s="38"/>
      <c r="AF1138" s="38"/>
      <c r="AG1138" s="38"/>
      <c r="AH1138" s="38"/>
      <c r="AI1138" s="38"/>
      <c r="AJ1138" s="38"/>
      <c r="AK1138" s="38"/>
      <c r="AL1138" s="38"/>
      <c r="AM1138" s="38"/>
      <c r="AN1138" s="38">
        <v>10.9</v>
      </c>
      <c r="AO1138" s="38"/>
      <c r="AP1138" s="38"/>
      <c r="AQ1138" s="38"/>
      <c r="AR1138" s="38"/>
      <c r="AS1138" s="38"/>
      <c r="AT1138" s="38">
        <v>7400</v>
      </c>
      <c r="AU1138" s="38"/>
      <c r="AV1138" s="38"/>
      <c r="AW1138" s="38">
        <v>31500</v>
      </c>
      <c r="AX1138" s="38"/>
      <c r="AY1138" s="38">
        <v>1800</v>
      </c>
      <c r="AZ1138" s="38"/>
      <c r="BA1138" s="38"/>
      <c r="BB1138" s="38"/>
    </row>
    <row r="1139" spans="1:54">
      <c r="A1139" s="38" t="s">
        <v>5015</v>
      </c>
      <c r="B1139" s="38" t="s">
        <v>3652</v>
      </c>
      <c r="C1139" s="38" t="s">
        <v>4452</v>
      </c>
      <c r="D1139" s="38" t="s">
        <v>3399</v>
      </c>
      <c r="E1139" s="38" t="s">
        <v>3961</v>
      </c>
      <c r="F1139" s="38"/>
      <c r="G1139" s="38"/>
      <c r="H1139" s="38" t="s">
        <v>3400</v>
      </c>
      <c r="I1139" s="38" t="s">
        <v>5016</v>
      </c>
      <c r="J1139" s="38"/>
      <c r="K1139" s="38">
        <v>300</v>
      </c>
      <c r="L1139" s="38">
        <v>16.34</v>
      </c>
      <c r="M1139" s="38"/>
      <c r="N1139" s="38">
        <v>48.9</v>
      </c>
      <c r="O1139" s="38">
        <v>1.25</v>
      </c>
      <c r="P1139" s="38">
        <v>3.54</v>
      </c>
      <c r="Q1139" s="38">
        <v>23.85</v>
      </c>
      <c r="R1139" s="38">
        <v>9.84</v>
      </c>
      <c r="S1139" s="38">
        <v>3.4</v>
      </c>
      <c r="T1139" s="38"/>
      <c r="U1139" s="38"/>
      <c r="V1139" s="38"/>
      <c r="W1139" s="38"/>
      <c r="X1139" s="38"/>
      <c r="Y1139" s="38"/>
      <c r="Z1139" s="38"/>
      <c r="AA1139" s="38"/>
      <c r="AB1139" s="38"/>
      <c r="AC1139" s="38"/>
      <c r="AD1139" s="38"/>
      <c r="AE1139" s="38"/>
      <c r="AF1139" s="38"/>
      <c r="AG1139" s="38"/>
      <c r="AH1139" s="38"/>
      <c r="AI1139" s="38"/>
      <c r="AJ1139" s="38"/>
      <c r="AK1139" s="38"/>
      <c r="AL1139" s="38"/>
      <c r="AM1139" s="38"/>
      <c r="AN1139" s="38"/>
      <c r="AO1139" s="38"/>
      <c r="AP1139" s="38"/>
      <c r="AQ1139" s="38">
        <v>1</v>
      </c>
      <c r="AR1139" s="38"/>
      <c r="AS1139" s="38"/>
      <c r="AT1139" s="38"/>
      <c r="AU1139" s="38"/>
      <c r="AV1139" s="38"/>
      <c r="AW1139" s="38"/>
      <c r="AX1139" s="38"/>
      <c r="AY1139" s="38"/>
      <c r="AZ1139" s="38"/>
      <c r="BA1139" s="38"/>
      <c r="BB1139" s="38"/>
    </row>
    <row r="1140" spans="1:54">
      <c r="A1140" s="38" t="s">
        <v>5017</v>
      </c>
      <c r="B1140" s="38" t="s">
        <v>3652</v>
      </c>
      <c r="C1140" s="38" t="s">
        <v>4452</v>
      </c>
      <c r="D1140" s="38" t="s">
        <v>3399</v>
      </c>
      <c r="E1140" s="38" t="s">
        <v>3961</v>
      </c>
      <c r="F1140" s="38"/>
      <c r="G1140" s="38"/>
      <c r="H1140" s="38" t="s">
        <v>3400</v>
      </c>
      <c r="I1140" s="38" t="s">
        <v>5016</v>
      </c>
      <c r="J1140" s="38"/>
      <c r="K1140" s="38">
        <v>450</v>
      </c>
      <c r="L1140" s="38">
        <v>22.28</v>
      </c>
      <c r="M1140" s="38"/>
      <c r="N1140" s="38">
        <v>53.81</v>
      </c>
      <c r="O1140" s="38">
        <v>1.22</v>
      </c>
      <c r="P1140" s="38">
        <v>3.11</v>
      </c>
      <c r="Q1140" s="38">
        <v>18.579999999999998</v>
      </c>
      <c r="R1140" s="38">
        <v>10.47</v>
      </c>
      <c r="S1140" s="38">
        <v>5.37</v>
      </c>
      <c r="T1140" s="38"/>
      <c r="U1140" s="38"/>
      <c r="V1140" s="38"/>
      <c r="W1140" s="38"/>
      <c r="X1140" s="38"/>
      <c r="Y1140" s="38"/>
      <c r="Z1140" s="38"/>
      <c r="AA1140" s="38"/>
      <c r="AB1140" s="38"/>
      <c r="AC1140" s="38"/>
      <c r="AD1140" s="38"/>
      <c r="AE1140" s="38"/>
      <c r="AF1140" s="38"/>
      <c r="AG1140" s="38"/>
      <c r="AH1140" s="38"/>
      <c r="AI1140" s="38"/>
      <c r="AJ1140" s="38"/>
      <c r="AK1140" s="38"/>
      <c r="AL1140" s="38"/>
      <c r="AM1140" s="38"/>
      <c r="AN1140" s="38"/>
      <c r="AO1140" s="38"/>
      <c r="AP1140" s="38"/>
      <c r="AQ1140" s="38">
        <v>4</v>
      </c>
      <c r="AR1140" s="38"/>
      <c r="AS1140" s="38"/>
      <c r="AT1140" s="38"/>
      <c r="AU1140" s="38"/>
      <c r="AV1140" s="38"/>
      <c r="AW1140" s="38"/>
      <c r="AX1140" s="38"/>
      <c r="AY1140" s="38"/>
      <c r="AZ1140" s="38"/>
      <c r="BA1140" s="38"/>
      <c r="BB1140" s="38"/>
    </row>
    <row r="1141" spans="1:54">
      <c r="A1141" s="38" t="s">
        <v>5018</v>
      </c>
      <c r="B1141" s="38" t="s">
        <v>3652</v>
      </c>
      <c r="C1141" s="38" t="s">
        <v>4452</v>
      </c>
      <c r="D1141" s="38" t="s">
        <v>3399</v>
      </c>
      <c r="E1141" s="38" t="s">
        <v>3961</v>
      </c>
      <c r="F1141" s="38"/>
      <c r="G1141" s="38"/>
      <c r="H1141" s="38" t="s">
        <v>3400</v>
      </c>
      <c r="I1141" s="38" t="s">
        <v>5016</v>
      </c>
      <c r="J1141" s="38"/>
      <c r="K1141" s="38">
        <v>600</v>
      </c>
      <c r="L1141" s="38">
        <v>27.16</v>
      </c>
      <c r="M1141" s="38"/>
      <c r="N1141" s="38">
        <v>62.9</v>
      </c>
      <c r="O1141" s="38">
        <v>1.28</v>
      </c>
      <c r="P1141" s="38">
        <v>1.98</v>
      </c>
      <c r="Q1141" s="38">
        <v>16.170000000000002</v>
      </c>
      <c r="R1141" s="38">
        <v>11.37</v>
      </c>
      <c r="S1141" s="38">
        <v>5.09</v>
      </c>
      <c r="T1141" s="38"/>
      <c r="U1141" s="38"/>
      <c r="V1141" s="38"/>
      <c r="W1141" s="38"/>
      <c r="X1141" s="38"/>
      <c r="Y1141" s="38"/>
      <c r="Z1141" s="38"/>
      <c r="AA1141" s="38"/>
      <c r="AB1141" s="38"/>
      <c r="AC1141" s="38"/>
      <c r="AD1141" s="38"/>
      <c r="AE1141" s="38"/>
      <c r="AF1141" s="38"/>
      <c r="AG1141" s="38"/>
      <c r="AH1141" s="38"/>
      <c r="AI1141" s="38"/>
      <c r="AJ1141" s="38"/>
      <c r="AK1141" s="38"/>
      <c r="AL1141" s="38"/>
      <c r="AM1141" s="38"/>
      <c r="AN1141" s="38"/>
      <c r="AO1141" s="38"/>
      <c r="AP1141" s="38"/>
      <c r="AQ1141" s="38">
        <v>70</v>
      </c>
      <c r="AR1141" s="38"/>
      <c r="AS1141" s="38"/>
      <c r="AT1141" s="38"/>
      <c r="AU1141" s="38"/>
      <c r="AV1141" s="38"/>
      <c r="AW1141" s="38"/>
      <c r="AX1141" s="38"/>
      <c r="AY1141" s="38"/>
      <c r="AZ1141" s="38"/>
      <c r="BA1141" s="38"/>
      <c r="BB1141" s="38"/>
    </row>
    <row r="1142" spans="1:54">
      <c r="A1142" s="38" t="s">
        <v>5019</v>
      </c>
      <c r="B1142" s="38" t="s">
        <v>3652</v>
      </c>
      <c r="C1142" s="38" t="s">
        <v>5020</v>
      </c>
      <c r="D1142" s="38" t="s">
        <v>3399</v>
      </c>
      <c r="E1142" s="38"/>
      <c r="F1142" s="38"/>
      <c r="G1142" s="38" t="s">
        <v>3997</v>
      </c>
      <c r="H1142" s="38" t="s">
        <v>3400</v>
      </c>
      <c r="I1142" s="38" t="s">
        <v>5021</v>
      </c>
      <c r="J1142" s="38">
        <v>3.09</v>
      </c>
      <c r="K1142" s="38">
        <v>450</v>
      </c>
      <c r="L1142" s="38">
        <v>17.690000000000001</v>
      </c>
      <c r="M1142" s="38"/>
      <c r="N1142" s="38">
        <v>57.52</v>
      </c>
      <c r="O1142" s="38">
        <v>1.38</v>
      </c>
      <c r="P1142" s="38">
        <v>2.63</v>
      </c>
      <c r="Q1142" s="38">
        <v>17.64</v>
      </c>
      <c r="R1142" s="38">
        <v>9.2100000000000009</v>
      </c>
      <c r="S1142" s="38"/>
      <c r="T1142" s="38"/>
      <c r="U1142" s="38"/>
      <c r="V1142" s="38"/>
      <c r="W1142" s="38"/>
      <c r="X1142" s="38"/>
      <c r="Y1142" s="38"/>
      <c r="Z1142" s="38"/>
      <c r="AA1142" s="38"/>
      <c r="AB1142" s="38"/>
      <c r="AC1142" s="38"/>
      <c r="AD1142" s="38"/>
      <c r="AE1142" s="38"/>
      <c r="AF1142" s="38"/>
      <c r="AG1142" s="38"/>
      <c r="AH1142" s="38"/>
      <c r="AI1142" s="38"/>
      <c r="AJ1142" s="38"/>
      <c r="AK1142" s="38"/>
      <c r="AL1142" s="38"/>
      <c r="AM1142" s="38"/>
      <c r="AN1142" s="38"/>
      <c r="AO1142" s="38"/>
      <c r="AP1142" s="38"/>
      <c r="AQ1142" s="38">
        <v>17.5</v>
      </c>
      <c r="AR1142" s="38" t="s">
        <v>4965</v>
      </c>
      <c r="AS1142" s="38"/>
      <c r="AT1142" s="38"/>
      <c r="AU1142" s="38"/>
      <c r="AV1142" s="38"/>
      <c r="AW1142" s="38"/>
      <c r="AX1142" s="38"/>
      <c r="AY1142" s="38"/>
      <c r="AZ1142" s="38"/>
      <c r="BA1142" s="38"/>
      <c r="BB1142" s="38"/>
    </row>
    <row r="1143" spans="1:54">
      <c r="A1143" s="38" t="s">
        <v>3906</v>
      </c>
      <c r="B1143" s="38" t="s">
        <v>3424</v>
      </c>
      <c r="C1143" s="38" t="s">
        <v>5022</v>
      </c>
      <c r="D1143" s="38" t="s">
        <v>3399</v>
      </c>
      <c r="E1143" s="38"/>
      <c r="F1143" s="38"/>
      <c r="G1143" s="38" t="s">
        <v>3997</v>
      </c>
      <c r="H1143" s="38" t="s">
        <v>3400</v>
      </c>
      <c r="I1143" s="38" t="s">
        <v>5021</v>
      </c>
      <c r="J1143" s="38">
        <v>1.78</v>
      </c>
      <c r="K1143" s="38">
        <v>450</v>
      </c>
      <c r="L1143" s="38">
        <v>15.21</v>
      </c>
      <c r="M1143" s="38"/>
      <c r="N1143" s="38">
        <v>62.2</v>
      </c>
      <c r="O1143" s="38">
        <v>1.66</v>
      </c>
      <c r="P1143" s="38">
        <v>2.99</v>
      </c>
      <c r="Q1143" s="38">
        <v>16.16</v>
      </c>
      <c r="R1143" s="38">
        <v>8.91</v>
      </c>
      <c r="S1143" s="38"/>
      <c r="T1143" s="38"/>
      <c r="U1143" s="38"/>
      <c r="V1143" s="38"/>
      <c r="W1143" s="38"/>
      <c r="X1143" s="38"/>
      <c r="Y1143" s="38"/>
      <c r="Z1143" s="38"/>
      <c r="AA1143" s="38"/>
      <c r="AB1143" s="38"/>
      <c r="AC1143" s="38"/>
      <c r="AD1143" s="38"/>
      <c r="AE1143" s="38"/>
      <c r="AF1143" s="38"/>
      <c r="AG1143" s="38"/>
      <c r="AH1143" s="38"/>
      <c r="AI1143" s="38"/>
      <c r="AJ1143" s="38"/>
      <c r="AK1143" s="38"/>
      <c r="AL1143" s="38"/>
      <c r="AM1143" s="38"/>
      <c r="AN1143" s="38"/>
      <c r="AO1143" s="38"/>
      <c r="AP1143" s="38"/>
      <c r="AQ1143" s="38">
        <v>19.600000000000001</v>
      </c>
      <c r="AR1143" s="38" t="s">
        <v>4965</v>
      </c>
      <c r="AS1143" s="38"/>
      <c r="AT1143" s="38"/>
      <c r="AU1143" s="38"/>
      <c r="AV1143" s="38"/>
      <c r="AW1143" s="38"/>
      <c r="AX1143" s="38"/>
      <c r="AY1143" s="38"/>
      <c r="AZ1143" s="38"/>
      <c r="BA1143" s="38"/>
      <c r="BB1143" s="38"/>
    </row>
    <row r="1144" spans="1:54">
      <c r="A1144" s="38" t="s">
        <v>5023</v>
      </c>
      <c r="B1144" s="38" t="s">
        <v>3652</v>
      </c>
      <c r="C1144" s="38" t="s">
        <v>5024</v>
      </c>
      <c r="D1144" s="38" t="s">
        <v>3399</v>
      </c>
      <c r="E1144" s="38"/>
      <c r="F1144" s="38"/>
      <c r="G1144" s="38" t="s">
        <v>3997</v>
      </c>
      <c r="H1144" s="38" t="s">
        <v>3400</v>
      </c>
      <c r="I1144" s="38" t="s">
        <v>5021</v>
      </c>
      <c r="J1144" s="38">
        <v>1.74</v>
      </c>
      <c r="K1144" s="38">
        <v>450</v>
      </c>
      <c r="L1144" s="38">
        <v>27.12</v>
      </c>
      <c r="M1144" s="38"/>
      <c r="N1144" s="38">
        <v>52.4</v>
      </c>
      <c r="O1144" s="38">
        <v>0.79</v>
      </c>
      <c r="P1144" s="38">
        <v>2.77</v>
      </c>
      <c r="Q1144" s="38">
        <v>15.18</v>
      </c>
      <c r="R1144" s="38">
        <v>9.4600000000000009</v>
      </c>
      <c r="S1144" s="38"/>
      <c r="T1144" s="38"/>
      <c r="U1144" s="38"/>
      <c r="V1144" s="38"/>
      <c r="W1144" s="38"/>
      <c r="X1144" s="38"/>
      <c r="Y1144" s="38"/>
      <c r="Z1144" s="38"/>
      <c r="AA1144" s="38"/>
      <c r="AB1144" s="38"/>
      <c r="AC1144" s="38"/>
      <c r="AD1144" s="38"/>
      <c r="AE1144" s="38"/>
      <c r="AF1144" s="38"/>
      <c r="AG1144" s="38"/>
      <c r="AH1144" s="38"/>
      <c r="AI1144" s="38"/>
      <c r="AJ1144" s="38"/>
      <c r="AK1144" s="38"/>
      <c r="AL1144" s="38"/>
      <c r="AM1144" s="38"/>
      <c r="AN1144" s="38"/>
      <c r="AO1144" s="38"/>
      <c r="AP1144" s="38"/>
      <c r="AQ1144" s="38">
        <v>25.8</v>
      </c>
      <c r="AR1144" s="38" t="s">
        <v>4965</v>
      </c>
      <c r="AS1144" s="38"/>
      <c r="AT1144" s="38"/>
      <c r="AU1144" s="38"/>
      <c r="AV1144" s="38"/>
      <c r="AW1144" s="38"/>
      <c r="AX1144" s="38"/>
      <c r="AY1144" s="38"/>
      <c r="AZ1144" s="38"/>
      <c r="BA1144" s="38"/>
      <c r="BB1144" s="38"/>
    </row>
    <row r="1145" spans="1:54">
      <c r="A1145" s="38" t="s">
        <v>5025</v>
      </c>
      <c r="B1145" s="38" t="s">
        <v>3652</v>
      </c>
      <c r="C1145" s="38" t="s">
        <v>4419</v>
      </c>
      <c r="D1145" s="38" t="s">
        <v>3399</v>
      </c>
      <c r="E1145" s="38"/>
      <c r="F1145" s="38"/>
      <c r="G1145" s="38" t="s">
        <v>3997</v>
      </c>
      <c r="H1145" s="38" t="s">
        <v>3400</v>
      </c>
      <c r="I1145" s="38" t="s">
        <v>5021</v>
      </c>
      <c r="J1145" s="38">
        <v>1.29</v>
      </c>
      <c r="K1145" s="38">
        <v>450</v>
      </c>
      <c r="L1145" s="38">
        <v>37.92</v>
      </c>
      <c r="M1145" s="38"/>
      <c r="N1145" s="38">
        <v>43.84</v>
      </c>
      <c r="O1145" s="38">
        <v>1.8</v>
      </c>
      <c r="P1145" s="38">
        <v>2.36</v>
      </c>
      <c r="Q1145" s="38">
        <v>12.78</v>
      </c>
      <c r="R1145" s="38">
        <v>8.1</v>
      </c>
      <c r="S1145" s="38"/>
      <c r="T1145" s="38"/>
      <c r="U1145" s="38"/>
      <c r="V1145" s="38"/>
      <c r="W1145" s="38"/>
      <c r="X1145" s="38"/>
      <c r="Y1145" s="38"/>
      <c r="Z1145" s="38"/>
      <c r="AA1145" s="38"/>
      <c r="AB1145" s="38"/>
      <c r="AC1145" s="38"/>
      <c r="AD1145" s="38"/>
      <c r="AE1145" s="38"/>
      <c r="AF1145" s="38"/>
      <c r="AG1145" s="38"/>
      <c r="AH1145" s="38"/>
      <c r="AI1145" s="38"/>
      <c r="AJ1145" s="38"/>
      <c r="AK1145" s="38"/>
      <c r="AL1145" s="38"/>
      <c r="AM1145" s="38"/>
      <c r="AN1145" s="38"/>
      <c r="AO1145" s="38"/>
      <c r="AP1145" s="38"/>
      <c r="AQ1145" s="38">
        <v>15.4</v>
      </c>
      <c r="AR1145" s="38" t="s">
        <v>4965</v>
      </c>
      <c r="AS1145" s="38"/>
      <c r="AT1145" s="38"/>
      <c r="AU1145" s="38"/>
      <c r="AV1145" s="38"/>
      <c r="AW1145" s="38"/>
      <c r="AX1145" s="38"/>
      <c r="AY1145" s="38"/>
      <c r="AZ1145" s="38"/>
      <c r="BA1145" s="38"/>
      <c r="BB1145" s="38"/>
    </row>
    <row r="1146" spans="1:54">
      <c r="A1146" s="38" t="s">
        <v>5026</v>
      </c>
      <c r="B1146" s="38" t="s">
        <v>3652</v>
      </c>
      <c r="C1146" s="38" t="s">
        <v>5027</v>
      </c>
      <c r="D1146" s="38" t="s">
        <v>3399</v>
      </c>
      <c r="E1146" s="38"/>
      <c r="F1146" s="38"/>
      <c r="G1146" s="38" t="s">
        <v>3997</v>
      </c>
      <c r="H1146" s="38" t="s">
        <v>3400</v>
      </c>
      <c r="I1146" s="38" t="s">
        <v>5021</v>
      </c>
      <c r="J1146" s="38">
        <v>2.0499999999999998</v>
      </c>
      <c r="K1146" s="38">
        <v>450</v>
      </c>
      <c r="L1146" s="38">
        <v>23.37</v>
      </c>
      <c r="M1146" s="38"/>
      <c r="N1146" s="38">
        <v>55.55</v>
      </c>
      <c r="O1146" s="38">
        <v>2.16</v>
      </c>
      <c r="P1146" s="38">
        <v>2.94</v>
      </c>
      <c r="Q1146" s="38">
        <v>14.93</v>
      </c>
      <c r="R1146" s="38">
        <v>8.93</v>
      </c>
      <c r="S1146" s="38"/>
      <c r="T1146" s="38"/>
      <c r="U1146" s="38"/>
      <c r="V1146" s="38"/>
      <c r="W1146" s="38"/>
      <c r="X1146" s="38"/>
      <c r="Y1146" s="38"/>
      <c r="Z1146" s="38"/>
      <c r="AA1146" s="38"/>
      <c r="AB1146" s="38"/>
      <c r="AC1146" s="38"/>
      <c r="AD1146" s="38"/>
      <c r="AE1146" s="38"/>
      <c r="AF1146" s="38"/>
      <c r="AG1146" s="38"/>
      <c r="AH1146" s="38"/>
      <c r="AI1146" s="38"/>
      <c r="AJ1146" s="38"/>
      <c r="AK1146" s="38"/>
      <c r="AL1146" s="38"/>
      <c r="AM1146" s="38"/>
      <c r="AN1146" s="38"/>
      <c r="AO1146" s="38"/>
      <c r="AP1146" s="38"/>
      <c r="AQ1146" s="38">
        <v>13.5</v>
      </c>
      <c r="AR1146" s="38" t="s">
        <v>4965</v>
      </c>
      <c r="AS1146" s="38"/>
      <c r="AT1146" s="38"/>
      <c r="AU1146" s="38"/>
      <c r="AV1146" s="38"/>
      <c r="AW1146" s="38"/>
      <c r="AX1146" s="38"/>
      <c r="AY1146" s="38"/>
      <c r="AZ1146" s="38"/>
      <c r="BA1146" s="38"/>
      <c r="BB1146" s="38"/>
    </row>
    <row r="1147" spans="1:54">
      <c r="A1147" s="38" t="s">
        <v>5028</v>
      </c>
      <c r="B1147" s="38" t="s">
        <v>3652</v>
      </c>
      <c r="C1147" s="38" t="s">
        <v>4461</v>
      </c>
      <c r="D1147" s="38" t="s">
        <v>3399</v>
      </c>
      <c r="E1147" s="38"/>
      <c r="F1147" s="38"/>
      <c r="G1147" s="38" t="s">
        <v>3997</v>
      </c>
      <c r="H1147" s="38" t="s">
        <v>3400</v>
      </c>
      <c r="I1147" s="38" t="s">
        <v>5021</v>
      </c>
      <c r="J1147" s="38">
        <v>1.22</v>
      </c>
      <c r="K1147" s="38">
        <v>450</v>
      </c>
      <c r="L1147" s="38">
        <v>42.35</v>
      </c>
      <c r="M1147" s="38"/>
      <c r="N1147" s="38">
        <v>41.24</v>
      </c>
      <c r="O1147" s="38">
        <v>1.52</v>
      </c>
      <c r="P1147" s="38">
        <v>2.02</v>
      </c>
      <c r="Q1147" s="38">
        <v>11.65</v>
      </c>
      <c r="R1147" s="38">
        <v>8.8800000000000008</v>
      </c>
      <c r="S1147" s="38"/>
      <c r="T1147" s="38"/>
      <c r="U1147" s="38"/>
      <c r="V1147" s="38"/>
      <c r="W1147" s="38"/>
      <c r="X1147" s="38"/>
      <c r="Y1147" s="38"/>
      <c r="Z1147" s="38"/>
      <c r="AA1147" s="38"/>
      <c r="AB1147" s="38"/>
      <c r="AC1147" s="38"/>
      <c r="AD1147" s="38"/>
      <c r="AE1147" s="38"/>
      <c r="AF1147" s="38"/>
      <c r="AG1147" s="38"/>
      <c r="AH1147" s="38"/>
      <c r="AI1147" s="38"/>
      <c r="AJ1147" s="38"/>
      <c r="AK1147" s="38"/>
      <c r="AL1147" s="38"/>
      <c r="AM1147" s="38"/>
      <c r="AN1147" s="38"/>
      <c r="AO1147" s="38"/>
      <c r="AP1147" s="38"/>
      <c r="AQ1147" s="38">
        <v>13.4</v>
      </c>
      <c r="AR1147" s="38" t="s">
        <v>4965</v>
      </c>
      <c r="AS1147" s="38"/>
      <c r="AT1147" s="38"/>
      <c r="AU1147" s="38"/>
      <c r="AV1147" s="38"/>
      <c r="AW1147" s="38"/>
      <c r="AX1147" s="38"/>
      <c r="AY1147" s="38"/>
      <c r="AZ1147" s="38"/>
      <c r="BA1147" s="38"/>
      <c r="BB1147" s="38"/>
    </row>
    <row r="1148" spans="1:54">
      <c r="A1148" s="38" t="s">
        <v>5029</v>
      </c>
      <c r="B1148" s="38" t="s">
        <v>3431</v>
      </c>
      <c r="C1148" s="38" t="s">
        <v>5030</v>
      </c>
      <c r="D1148" s="38" t="s">
        <v>3399</v>
      </c>
      <c r="E1148" s="38" t="s">
        <v>5031</v>
      </c>
      <c r="F1148" s="38"/>
      <c r="G1148" s="38"/>
      <c r="H1148" s="38" t="s">
        <v>3400</v>
      </c>
      <c r="I1148" s="38" t="s">
        <v>5032</v>
      </c>
      <c r="J1148" s="38"/>
      <c r="K1148" s="38">
        <v>800</v>
      </c>
      <c r="L1148" s="38"/>
      <c r="M1148" s="38"/>
      <c r="N1148" s="38">
        <v>88.02</v>
      </c>
      <c r="O1148" s="38">
        <v>1.1200000000000001</v>
      </c>
      <c r="P1148" s="38">
        <v>2.4500000000000002</v>
      </c>
      <c r="Q1148" s="38">
        <v>8.41</v>
      </c>
      <c r="R1148" s="38"/>
      <c r="S1148" s="38"/>
      <c r="T1148" s="38"/>
      <c r="U1148" s="38"/>
      <c r="V1148" s="38"/>
      <c r="W1148" s="38"/>
      <c r="X1148" s="38"/>
      <c r="Y1148" s="38"/>
      <c r="Z1148" s="38"/>
      <c r="AA1148" s="38"/>
      <c r="AB1148" s="38"/>
      <c r="AC1148" s="38"/>
      <c r="AD1148" s="38"/>
      <c r="AE1148" s="38"/>
      <c r="AF1148" s="38"/>
      <c r="AG1148" s="38"/>
      <c r="AH1148" s="38"/>
      <c r="AI1148" s="38"/>
      <c r="AJ1148" s="38"/>
      <c r="AK1148" s="38"/>
      <c r="AL1148" s="38"/>
      <c r="AM1148" s="38"/>
      <c r="AN1148" s="38"/>
      <c r="AO1148" s="38"/>
      <c r="AP1148" s="38"/>
      <c r="AQ1148" s="38">
        <v>133.19</v>
      </c>
      <c r="AR1148" s="38" t="s">
        <v>4965</v>
      </c>
      <c r="AS1148" s="38"/>
      <c r="AT1148" s="38"/>
      <c r="AU1148" s="38"/>
      <c r="AV1148" s="38"/>
      <c r="AW1148" s="38"/>
      <c r="AX1148" s="38"/>
      <c r="AY1148" s="38"/>
      <c r="AZ1148" s="38"/>
      <c r="BA1148" s="38"/>
      <c r="BB1148" s="38"/>
    </row>
    <row r="1149" spans="1:54">
      <c r="A1149" s="38" t="s">
        <v>5033</v>
      </c>
      <c r="B1149" s="38" t="s">
        <v>3431</v>
      </c>
      <c r="C1149" s="38" t="s">
        <v>5030</v>
      </c>
      <c r="D1149" s="38" t="s">
        <v>3399</v>
      </c>
      <c r="E1149" s="38" t="s">
        <v>5031</v>
      </c>
      <c r="F1149" s="38"/>
      <c r="G1149" s="38"/>
      <c r="H1149" s="38" t="s">
        <v>3400</v>
      </c>
      <c r="I1149" s="38" t="s">
        <v>5032</v>
      </c>
      <c r="J1149" s="38"/>
      <c r="K1149" s="38">
        <v>800</v>
      </c>
      <c r="L1149" s="38"/>
      <c r="M1149" s="38"/>
      <c r="N1149" s="38">
        <v>82.6</v>
      </c>
      <c r="O1149" s="38">
        <v>1.18</v>
      </c>
      <c r="P1149" s="38">
        <v>2.84</v>
      </c>
      <c r="Q1149" s="38">
        <v>13.33</v>
      </c>
      <c r="R1149" s="38"/>
      <c r="S1149" s="38"/>
      <c r="T1149" s="38"/>
      <c r="U1149" s="38"/>
      <c r="V1149" s="38"/>
      <c r="W1149" s="38"/>
      <c r="X1149" s="38"/>
      <c r="Y1149" s="38"/>
      <c r="Z1149" s="38"/>
      <c r="AA1149" s="38"/>
      <c r="AB1149" s="38"/>
      <c r="AC1149" s="38"/>
      <c r="AD1149" s="38"/>
      <c r="AE1149" s="38"/>
      <c r="AF1149" s="38"/>
      <c r="AG1149" s="38"/>
      <c r="AH1149" s="38"/>
      <c r="AI1149" s="38"/>
      <c r="AJ1149" s="38"/>
      <c r="AK1149" s="38"/>
      <c r="AL1149" s="38"/>
      <c r="AM1149" s="38"/>
      <c r="AN1149" s="38"/>
      <c r="AO1149" s="38"/>
      <c r="AP1149" s="38"/>
      <c r="AQ1149" s="38">
        <v>11.537000000000001</v>
      </c>
      <c r="AR1149" s="38" t="s">
        <v>4965</v>
      </c>
      <c r="AS1149" s="38"/>
      <c r="AT1149" s="38"/>
      <c r="AU1149" s="38"/>
      <c r="AV1149" s="38"/>
      <c r="AW1149" s="38"/>
      <c r="AX1149" s="38"/>
      <c r="AY1149" s="38"/>
      <c r="AZ1149" s="38"/>
      <c r="BA1149" s="38"/>
      <c r="BB1149" s="38"/>
    </row>
    <row r="1150" spans="1:54">
      <c r="A1150" s="38" t="s">
        <v>5034</v>
      </c>
      <c r="B1150" s="38" t="s">
        <v>3431</v>
      </c>
      <c r="C1150" s="38" t="s">
        <v>5030</v>
      </c>
      <c r="D1150" s="38" t="s">
        <v>3399</v>
      </c>
      <c r="E1150" s="38" t="s">
        <v>5031</v>
      </c>
      <c r="F1150" s="38"/>
      <c r="G1150" s="38"/>
      <c r="H1150" s="38" t="s">
        <v>3400</v>
      </c>
      <c r="I1150" s="38" t="s">
        <v>5032</v>
      </c>
      <c r="J1150" s="38"/>
      <c r="K1150" s="38">
        <v>800</v>
      </c>
      <c r="L1150" s="38"/>
      <c r="M1150" s="38"/>
      <c r="N1150" s="38">
        <v>89.41</v>
      </c>
      <c r="O1150" s="38">
        <v>1.1399999999999999</v>
      </c>
      <c r="P1150" s="38">
        <v>2.36</v>
      </c>
      <c r="Q1150" s="38">
        <v>7.07</v>
      </c>
      <c r="R1150" s="38"/>
      <c r="S1150" s="38"/>
      <c r="T1150" s="38"/>
      <c r="U1150" s="38"/>
      <c r="V1150" s="38"/>
      <c r="W1150" s="38"/>
      <c r="X1150" s="38"/>
      <c r="Y1150" s="38"/>
      <c r="Z1150" s="38"/>
      <c r="AA1150" s="38"/>
      <c r="AB1150" s="38"/>
      <c r="AC1150" s="38"/>
      <c r="AD1150" s="38"/>
      <c r="AE1150" s="38"/>
      <c r="AF1150" s="38"/>
      <c r="AG1150" s="38"/>
      <c r="AH1150" s="38"/>
      <c r="AI1150" s="38"/>
      <c r="AJ1150" s="38"/>
      <c r="AK1150" s="38"/>
      <c r="AL1150" s="38"/>
      <c r="AM1150" s="38"/>
      <c r="AN1150" s="38"/>
      <c r="AO1150" s="38"/>
      <c r="AP1150" s="38"/>
      <c r="AQ1150" s="38">
        <v>90.023799999999994</v>
      </c>
      <c r="AR1150" s="38" t="s">
        <v>4965</v>
      </c>
      <c r="AS1150" s="38"/>
      <c r="AT1150" s="38"/>
      <c r="AU1150" s="38"/>
      <c r="AV1150" s="38"/>
      <c r="AW1150" s="38"/>
      <c r="AX1150" s="38"/>
      <c r="AY1150" s="38"/>
      <c r="AZ1150" s="38"/>
      <c r="BA1150" s="38"/>
      <c r="BB1150" s="38"/>
    </row>
    <row r="1151" spans="1:54">
      <c r="A1151" s="38" t="s">
        <v>5035</v>
      </c>
      <c r="B1151" s="38" t="s">
        <v>3431</v>
      </c>
      <c r="C1151" s="38" t="s">
        <v>5030</v>
      </c>
      <c r="D1151" s="38" t="s">
        <v>3399</v>
      </c>
      <c r="E1151" s="38" t="s">
        <v>5031</v>
      </c>
      <c r="F1151" s="38"/>
      <c r="G1151" s="38"/>
      <c r="H1151" s="38" t="s">
        <v>3400</v>
      </c>
      <c r="I1151" s="38" t="s">
        <v>5032</v>
      </c>
      <c r="J1151" s="38"/>
      <c r="K1151" s="38">
        <v>800</v>
      </c>
      <c r="L1151" s="38"/>
      <c r="M1151" s="38"/>
      <c r="N1151" s="38">
        <v>85.85</v>
      </c>
      <c r="O1151" s="38">
        <v>0.88</v>
      </c>
      <c r="P1151" s="38">
        <v>2.4700000000000002</v>
      </c>
      <c r="Q1151" s="38">
        <v>10.8</v>
      </c>
      <c r="R1151" s="38"/>
      <c r="S1151" s="38"/>
      <c r="T1151" s="38"/>
      <c r="U1151" s="38"/>
      <c r="V1151" s="38"/>
      <c r="W1151" s="38"/>
      <c r="X1151" s="38"/>
      <c r="Y1151" s="38"/>
      <c r="Z1151" s="38"/>
      <c r="AA1151" s="38"/>
      <c r="AB1151" s="38"/>
      <c r="AC1151" s="38"/>
      <c r="AD1151" s="38"/>
      <c r="AE1151" s="38"/>
      <c r="AF1151" s="38"/>
      <c r="AG1151" s="38"/>
      <c r="AH1151" s="38"/>
      <c r="AI1151" s="38"/>
      <c r="AJ1151" s="38"/>
      <c r="AK1151" s="38"/>
      <c r="AL1151" s="38"/>
      <c r="AM1151" s="38"/>
      <c r="AN1151" s="38"/>
      <c r="AO1151" s="38"/>
      <c r="AP1151" s="38"/>
      <c r="AQ1151" s="38">
        <v>45.588999999999999</v>
      </c>
      <c r="AR1151" s="38" t="s">
        <v>4965</v>
      </c>
      <c r="AS1151" s="38"/>
      <c r="AT1151" s="38"/>
      <c r="AU1151" s="38"/>
      <c r="AV1151" s="38"/>
      <c r="AW1151" s="38"/>
      <c r="AX1151" s="38"/>
      <c r="AY1151" s="38"/>
      <c r="AZ1151" s="38"/>
      <c r="BA1151" s="38"/>
      <c r="BB1151" s="38"/>
    </row>
    <row r="1152" spans="1:54">
      <c r="A1152" s="38" t="s">
        <v>5036</v>
      </c>
      <c r="B1152" s="38" t="s">
        <v>3652</v>
      </c>
      <c r="C1152" s="38" t="s">
        <v>5037</v>
      </c>
      <c r="D1152" s="38" t="s">
        <v>3399</v>
      </c>
      <c r="E1152" s="38" t="s">
        <v>3961</v>
      </c>
      <c r="F1152" s="38"/>
      <c r="G1152" s="38"/>
      <c r="H1152" s="38" t="s">
        <v>3400</v>
      </c>
      <c r="I1152" s="38" t="s">
        <v>5038</v>
      </c>
      <c r="J1152" s="38"/>
      <c r="K1152" s="38"/>
      <c r="L1152" s="38">
        <v>42.1</v>
      </c>
      <c r="M1152" s="38"/>
      <c r="N1152" s="38">
        <v>59</v>
      </c>
      <c r="O1152" s="38">
        <v>0.02</v>
      </c>
      <c r="P1152" s="38">
        <v>2.1</v>
      </c>
      <c r="Q1152" s="38">
        <v>38.880000000000003</v>
      </c>
      <c r="R1152" s="38"/>
      <c r="S1152" s="38"/>
      <c r="T1152" s="38"/>
      <c r="U1152" s="38"/>
      <c r="V1152" s="38"/>
      <c r="W1152" s="38"/>
      <c r="X1152" s="38"/>
      <c r="Y1152" s="38"/>
      <c r="Z1152" s="38"/>
      <c r="AA1152" s="38"/>
      <c r="AB1152" s="38"/>
      <c r="AC1152" s="38"/>
      <c r="AD1152" s="38"/>
      <c r="AE1152" s="38"/>
      <c r="AF1152" s="38"/>
      <c r="AG1152" s="38"/>
      <c r="AH1152" s="38"/>
      <c r="AI1152" s="38"/>
      <c r="AJ1152" s="38"/>
      <c r="AK1152" s="38"/>
      <c r="AL1152" s="38"/>
      <c r="AM1152" s="38"/>
      <c r="AN1152" s="38"/>
      <c r="AO1152" s="38"/>
      <c r="AP1152" s="38">
        <v>22.7</v>
      </c>
      <c r="AQ1152" s="38">
        <v>4.5209999999999999</v>
      </c>
      <c r="AR1152" s="38" t="s">
        <v>4965</v>
      </c>
      <c r="AS1152" s="38"/>
      <c r="AT1152" s="38"/>
      <c r="AU1152" s="38"/>
      <c r="AV1152" s="38"/>
      <c r="AW1152" s="38"/>
      <c r="AX1152" s="38"/>
      <c r="AY1152" s="38"/>
      <c r="AZ1152" s="38"/>
      <c r="BA1152" s="38"/>
      <c r="BB1152" s="38"/>
    </row>
    <row r="1153" spans="1:54">
      <c r="A1153" s="38" t="s">
        <v>5039</v>
      </c>
      <c r="B1153" s="38" t="s">
        <v>3652</v>
      </c>
      <c r="C1153" s="38" t="s">
        <v>5040</v>
      </c>
      <c r="D1153" s="38" t="s">
        <v>3399</v>
      </c>
      <c r="E1153" s="38" t="s">
        <v>3961</v>
      </c>
      <c r="F1153" s="38"/>
      <c r="G1153" s="38"/>
      <c r="H1153" s="38" t="s">
        <v>3400</v>
      </c>
      <c r="I1153" s="38" t="s">
        <v>5038</v>
      </c>
      <c r="J1153" s="38"/>
      <c r="K1153" s="38"/>
      <c r="L1153" s="38">
        <v>46.8</v>
      </c>
      <c r="M1153" s="38"/>
      <c r="N1153" s="38">
        <v>63.81</v>
      </c>
      <c r="O1153" s="38">
        <v>0.03</v>
      </c>
      <c r="P1153" s="38">
        <v>2.38</v>
      </c>
      <c r="Q1153" s="38">
        <v>33.78</v>
      </c>
      <c r="R1153" s="38"/>
      <c r="S1153" s="38"/>
      <c r="T1153" s="38"/>
      <c r="U1153" s="38"/>
      <c r="V1153" s="38"/>
      <c r="W1153" s="38"/>
      <c r="X1153" s="38"/>
      <c r="Y1153" s="38"/>
      <c r="Z1153" s="38"/>
      <c r="AA1153" s="38"/>
      <c r="AB1153" s="38"/>
      <c r="AC1153" s="38"/>
      <c r="AD1153" s="38"/>
      <c r="AE1153" s="38"/>
      <c r="AF1153" s="38"/>
      <c r="AG1153" s="38"/>
      <c r="AH1153" s="38"/>
      <c r="AI1153" s="38"/>
      <c r="AJ1153" s="38"/>
      <c r="AK1153" s="38"/>
      <c r="AL1153" s="38"/>
      <c r="AM1153" s="38"/>
      <c r="AN1153" s="38"/>
      <c r="AO1153" s="38"/>
      <c r="AP1153" s="38">
        <v>15.2</v>
      </c>
      <c r="AQ1153" s="38">
        <v>13.598000000000001</v>
      </c>
      <c r="AR1153" s="38" t="s">
        <v>4965</v>
      </c>
      <c r="AS1153" s="38"/>
      <c r="AT1153" s="38"/>
      <c r="AU1153" s="38"/>
      <c r="AV1153" s="38"/>
      <c r="AW1153" s="38"/>
      <c r="AX1153" s="38"/>
      <c r="AY1153" s="38"/>
      <c r="AZ1153" s="38"/>
      <c r="BA1153" s="38"/>
      <c r="BB1153" s="38"/>
    </row>
    <row r="1154" spans="1:54">
      <c r="A1154" s="38" t="s">
        <v>5041</v>
      </c>
      <c r="B1154" s="38" t="s">
        <v>3431</v>
      </c>
      <c r="C1154" s="38" t="s">
        <v>5042</v>
      </c>
      <c r="D1154" s="38" t="s">
        <v>3399</v>
      </c>
      <c r="E1154" s="38" t="s">
        <v>5043</v>
      </c>
      <c r="F1154" s="38"/>
      <c r="G1154" s="38"/>
      <c r="H1154" s="38" t="s">
        <v>3400</v>
      </c>
      <c r="I1154" s="38" t="s">
        <v>5044</v>
      </c>
      <c r="J1154" s="38"/>
      <c r="K1154" s="38">
        <v>350</v>
      </c>
      <c r="L1154" s="38"/>
      <c r="M1154" s="38">
        <v>16.45</v>
      </c>
      <c r="N1154" s="38"/>
      <c r="O1154" s="38">
        <v>1.42</v>
      </c>
      <c r="P1154" s="38"/>
      <c r="Q1154" s="38"/>
      <c r="R1154" s="38">
        <v>9.6199999999999992</v>
      </c>
      <c r="S1154" s="38">
        <v>4.29</v>
      </c>
      <c r="T1154" s="38"/>
      <c r="U1154" s="38"/>
      <c r="V1154" s="38"/>
      <c r="W1154" s="38"/>
      <c r="X1154" s="38"/>
      <c r="Y1154" s="38"/>
      <c r="Z1154" s="38"/>
      <c r="AA1154" s="38"/>
      <c r="AB1154" s="38"/>
      <c r="AC1154" s="38"/>
      <c r="AD1154" s="38"/>
      <c r="AE1154" s="38"/>
      <c r="AF1154" s="38"/>
      <c r="AG1154" s="38"/>
      <c r="AH1154" s="38"/>
      <c r="AI1154" s="38"/>
      <c r="AJ1154" s="38"/>
      <c r="AK1154" s="38"/>
      <c r="AL1154" s="38"/>
      <c r="AM1154" s="38"/>
      <c r="AN1154" s="38"/>
      <c r="AO1154" s="38"/>
      <c r="AP1154" s="38"/>
      <c r="AQ1154" s="38"/>
      <c r="AR1154" s="38"/>
      <c r="AS1154" s="38"/>
      <c r="AT1154" s="38"/>
      <c r="AU1154" s="38"/>
      <c r="AV1154" s="38"/>
      <c r="AW1154" s="38"/>
      <c r="AX1154" s="38"/>
      <c r="AY1154" s="38"/>
      <c r="AZ1154" s="38"/>
      <c r="BA1154" s="38"/>
      <c r="BB1154" s="38"/>
    </row>
    <row r="1155" spans="1:54">
      <c r="A1155" s="38" t="s">
        <v>5045</v>
      </c>
      <c r="B1155" s="38" t="s">
        <v>3431</v>
      </c>
      <c r="C1155" s="38" t="s">
        <v>5042</v>
      </c>
      <c r="D1155" s="38" t="s">
        <v>3399</v>
      </c>
      <c r="E1155" s="38" t="s">
        <v>5043</v>
      </c>
      <c r="F1155" s="38"/>
      <c r="G1155" s="38"/>
      <c r="H1155" s="38" t="s">
        <v>3400</v>
      </c>
      <c r="I1155" s="38" t="s">
        <v>5044</v>
      </c>
      <c r="J1155" s="38"/>
      <c r="K1155" s="38">
        <v>500</v>
      </c>
      <c r="L1155" s="38"/>
      <c r="M1155" s="38">
        <v>26.91</v>
      </c>
      <c r="N1155" s="38"/>
      <c r="O1155" s="38">
        <v>2.3199999999999998</v>
      </c>
      <c r="P1155" s="38"/>
      <c r="Q1155" s="38"/>
      <c r="R1155" s="38">
        <v>11.04</v>
      </c>
      <c r="S1155" s="38">
        <v>6.44</v>
      </c>
      <c r="T1155" s="38"/>
      <c r="U1155" s="38"/>
      <c r="V1155" s="38"/>
      <c r="W1155" s="38"/>
      <c r="X1155" s="38"/>
      <c r="Y1155" s="38"/>
      <c r="Z1155" s="38"/>
      <c r="AA1155" s="38"/>
      <c r="AB1155" s="38"/>
      <c r="AC1155" s="38"/>
      <c r="AD1155" s="38"/>
      <c r="AE1155" s="38"/>
      <c r="AF1155" s="38"/>
      <c r="AG1155" s="38"/>
      <c r="AH1155" s="38"/>
      <c r="AI1155" s="38"/>
      <c r="AJ1155" s="38"/>
      <c r="AK1155" s="38"/>
      <c r="AL1155" s="38"/>
      <c r="AM1155" s="38"/>
      <c r="AN1155" s="38"/>
      <c r="AO1155" s="38"/>
      <c r="AP1155" s="38"/>
      <c r="AQ1155" s="38"/>
      <c r="AR1155" s="38"/>
      <c r="AS1155" s="38"/>
      <c r="AT1155" s="38"/>
      <c r="AU1155" s="38"/>
      <c r="AV1155" s="38"/>
      <c r="AW1155" s="38"/>
      <c r="AX1155" s="38"/>
      <c r="AY1155" s="38"/>
      <c r="AZ1155" s="38"/>
      <c r="BA1155" s="38"/>
      <c r="BB1155" s="38"/>
    </row>
    <row r="1156" spans="1:54">
      <c r="A1156" s="38" t="s">
        <v>5046</v>
      </c>
      <c r="B1156" s="38" t="s">
        <v>3424</v>
      </c>
      <c r="C1156" s="38" t="s">
        <v>4604</v>
      </c>
      <c r="D1156" s="38" t="s">
        <v>3399</v>
      </c>
      <c r="E1156" s="38" t="s">
        <v>5043</v>
      </c>
      <c r="F1156" s="38"/>
      <c r="G1156" s="38"/>
      <c r="H1156" s="38" t="s">
        <v>3400</v>
      </c>
      <c r="I1156" s="38" t="s">
        <v>5044</v>
      </c>
      <c r="J1156" s="38"/>
      <c r="K1156" s="38">
        <v>350</v>
      </c>
      <c r="L1156" s="38"/>
      <c r="M1156" s="38">
        <v>13.98</v>
      </c>
      <c r="N1156" s="38"/>
      <c r="O1156" s="38">
        <v>1.2</v>
      </c>
      <c r="P1156" s="38"/>
      <c r="Q1156" s="38"/>
      <c r="R1156" s="38">
        <v>8.1539999999999999</v>
      </c>
      <c r="S1156" s="38">
        <v>0.89100000000000001</v>
      </c>
      <c r="T1156" s="38"/>
      <c r="U1156" s="38"/>
      <c r="V1156" s="38"/>
      <c r="W1156" s="38"/>
      <c r="X1156" s="38"/>
      <c r="Y1156" s="38"/>
      <c r="Z1156" s="38"/>
      <c r="AA1156" s="38"/>
      <c r="AB1156" s="38"/>
      <c r="AC1156" s="38"/>
      <c r="AD1156" s="38"/>
      <c r="AE1156" s="38"/>
      <c r="AF1156" s="38"/>
      <c r="AG1156" s="38"/>
      <c r="AH1156" s="38"/>
      <c r="AI1156" s="38"/>
      <c r="AJ1156" s="38"/>
      <c r="AK1156" s="38"/>
      <c r="AL1156" s="38"/>
      <c r="AM1156" s="38"/>
      <c r="AN1156" s="38"/>
      <c r="AO1156" s="38"/>
      <c r="AP1156" s="38"/>
      <c r="AQ1156" s="38"/>
      <c r="AR1156" s="38"/>
      <c r="AS1156" s="38"/>
      <c r="AT1156" s="38"/>
      <c r="AU1156" s="38"/>
      <c r="AV1156" s="38"/>
      <c r="AW1156" s="38"/>
      <c r="AX1156" s="38"/>
      <c r="AY1156" s="38"/>
      <c r="AZ1156" s="38"/>
      <c r="BA1156" s="38"/>
      <c r="BB1156" s="38"/>
    </row>
    <row r="1157" spans="1:54">
      <c r="A1157" s="38" t="s">
        <v>5047</v>
      </c>
      <c r="B1157" s="38" t="s">
        <v>3424</v>
      </c>
      <c r="C1157" s="38" t="s">
        <v>4604</v>
      </c>
      <c r="D1157" s="38" t="s">
        <v>3399</v>
      </c>
      <c r="E1157" s="38" t="s">
        <v>5043</v>
      </c>
      <c r="F1157" s="38"/>
      <c r="G1157" s="38"/>
      <c r="H1157" s="38" t="s">
        <v>3400</v>
      </c>
      <c r="I1157" s="38" t="s">
        <v>5044</v>
      </c>
      <c r="J1157" s="38"/>
      <c r="K1157" s="38">
        <v>500</v>
      </c>
      <c r="L1157" s="38"/>
      <c r="M1157" s="38">
        <v>20.57</v>
      </c>
      <c r="N1157" s="38"/>
      <c r="O1157" s="38">
        <v>1.77</v>
      </c>
      <c r="P1157" s="38"/>
      <c r="Q1157" s="38"/>
      <c r="R1157" s="38">
        <v>9.44</v>
      </c>
      <c r="S1157" s="38">
        <v>1.81</v>
      </c>
      <c r="T1157" s="38"/>
      <c r="U1157" s="38"/>
      <c r="V1157" s="38"/>
      <c r="W1157" s="38"/>
      <c r="X1157" s="38"/>
      <c r="Y1157" s="38"/>
      <c r="Z1157" s="38"/>
      <c r="AA1157" s="38"/>
      <c r="AB1157" s="38"/>
      <c r="AC1157" s="38"/>
      <c r="AD1157" s="38"/>
      <c r="AE1157" s="38"/>
      <c r="AF1157" s="38"/>
      <c r="AG1157" s="38"/>
      <c r="AH1157" s="38"/>
      <c r="AI1157" s="38"/>
      <c r="AJ1157" s="38"/>
      <c r="AK1157" s="38"/>
      <c r="AL1157" s="38"/>
      <c r="AM1157" s="38"/>
      <c r="AN1157" s="38"/>
      <c r="AO1157" s="38"/>
      <c r="AP1157" s="38"/>
      <c r="AQ1157" s="38"/>
      <c r="AR1157" s="38"/>
      <c r="AS1157" s="38"/>
      <c r="AT1157" s="38"/>
      <c r="AU1157" s="38"/>
      <c r="AV1157" s="38"/>
      <c r="AW1157" s="38"/>
      <c r="AX1157" s="38"/>
      <c r="AY1157" s="38"/>
      <c r="AZ1157" s="38"/>
      <c r="BA1157" s="38"/>
      <c r="BB1157" s="38"/>
    </row>
    <row r="1158" spans="1:54">
      <c r="A1158" s="38" t="s">
        <v>5048</v>
      </c>
      <c r="B1158" s="38" t="s">
        <v>3652</v>
      </c>
      <c r="C1158" s="38" t="s">
        <v>5049</v>
      </c>
      <c r="D1158" s="38" t="s">
        <v>3399</v>
      </c>
      <c r="E1158" s="38"/>
      <c r="F1158" s="38"/>
      <c r="G1158" s="38"/>
      <c r="H1158" s="38" t="s">
        <v>3400</v>
      </c>
      <c r="I1158" s="38" t="s">
        <v>5050</v>
      </c>
      <c r="J1158" s="38"/>
      <c r="K1158" s="38">
        <v>550</v>
      </c>
      <c r="L1158" s="38">
        <v>19.100000000000001</v>
      </c>
      <c r="M1158" s="38"/>
      <c r="N1158" s="38">
        <v>64.3</v>
      </c>
      <c r="O1158" s="38">
        <v>1.5</v>
      </c>
      <c r="P1158" s="38">
        <v>3.4</v>
      </c>
      <c r="Q1158" s="38">
        <v>11</v>
      </c>
      <c r="R1158" s="38">
        <v>10.3</v>
      </c>
      <c r="S1158" s="38">
        <v>5.5</v>
      </c>
      <c r="T1158" s="38"/>
      <c r="U1158" s="38"/>
      <c r="V1158" s="38"/>
      <c r="W1158" s="38"/>
      <c r="X1158" s="38"/>
      <c r="Y1158" s="38"/>
      <c r="Z1158" s="38"/>
      <c r="AA1158" s="38"/>
      <c r="AB1158" s="38"/>
      <c r="AC1158" s="38"/>
      <c r="AD1158" s="38"/>
      <c r="AE1158" s="38"/>
      <c r="AF1158" s="38"/>
      <c r="AG1158" s="38"/>
      <c r="AH1158" s="38"/>
      <c r="AI1158" s="38"/>
      <c r="AJ1158" s="38"/>
      <c r="AK1158" s="38"/>
      <c r="AL1158" s="38">
        <v>16000</v>
      </c>
      <c r="AM1158" s="38"/>
      <c r="AN1158" s="38">
        <v>210</v>
      </c>
      <c r="AO1158" s="38"/>
      <c r="AP1158" s="38"/>
      <c r="AQ1158" s="38"/>
      <c r="AR1158" s="38"/>
      <c r="AS1158" s="38"/>
      <c r="AT1158" s="38"/>
      <c r="AU1158" s="38">
        <v>20</v>
      </c>
      <c r="AV1158" s="38">
        <v>12</v>
      </c>
      <c r="AW1158" s="38">
        <v>50</v>
      </c>
      <c r="AX1158" s="38"/>
      <c r="AY1158" s="38"/>
      <c r="AZ1158" s="38"/>
      <c r="BA1158" s="38"/>
      <c r="BB1158" s="38"/>
    </row>
    <row r="1159" spans="1:54">
      <c r="A1159" s="38" t="s">
        <v>5051</v>
      </c>
      <c r="B1159" s="38" t="s">
        <v>3652</v>
      </c>
      <c r="C1159" s="38" t="s">
        <v>5052</v>
      </c>
      <c r="D1159" s="38" t="s">
        <v>3399</v>
      </c>
      <c r="E1159" s="38"/>
      <c r="F1159" s="38"/>
      <c r="G1159" s="38"/>
      <c r="H1159" s="38" t="s">
        <v>3400</v>
      </c>
      <c r="I1159" s="38" t="s">
        <v>5050</v>
      </c>
      <c r="J1159" s="38"/>
      <c r="K1159" s="38">
        <v>550</v>
      </c>
      <c r="L1159" s="38">
        <v>8.8000000000000007</v>
      </c>
      <c r="M1159" s="38"/>
      <c r="N1159" s="38">
        <v>71.900000000000006</v>
      </c>
      <c r="O1159" s="38">
        <v>1.9</v>
      </c>
      <c r="P1159" s="38">
        <v>4.8</v>
      </c>
      <c r="Q1159" s="38">
        <v>12.3</v>
      </c>
      <c r="R1159" s="38">
        <v>9.6</v>
      </c>
      <c r="S1159" s="38">
        <v>1</v>
      </c>
      <c r="T1159" s="38"/>
      <c r="U1159" s="38"/>
      <c r="V1159" s="38"/>
      <c r="W1159" s="38"/>
      <c r="X1159" s="38"/>
      <c r="Y1159" s="38"/>
      <c r="Z1159" s="38"/>
      <c r="AA1159" s="38"/>
      <c r="AB1159" s="38"/>
      <c r="AC1159" s="38"/>
      <c r="AD1159" s="38"/>
      <c r="AE1159" s="38"/>
      <c r="AF1159" s="38"/>
      <c r="AG1159" s="38"/>
      <c r="AH1159" s="38"/>
      <c r="AI1159" s="38"/>
      <c r="AJ1159" s="38"/>
      <c r="AK1159" s="38"/>
      <c r="AL1159" s="38">
        <v>750</v>
      </c>
      <c r="AM1159" s="38"/>
      <c r="AN1159" s="38">
        <v>195</v>
      </c>
      <c r="AO1159" s="38"/>
      <c r="AP1159" s="38"/>
      <c r="AQ1159" s="38"/>
      <c r="AR1159" s="38"/>
      <c r="AS1159" s="38"/>
      <c r="AT1159" s="38"/>
      <c r="AU1159" s="38">
        <v>10</v>
      </c>
      <c r="AV1159" s="38">
        <v>1</v>
      </c>
      <c r="AW1159" s="38">
        <v>3</v>
      </c>
      <c r="AX1159" s="38"/>
      <c r="AY1159" s="38"/>
      <c r="AZ1159" s="38"/>
      <c r="BA1159" s="38"/>
      <c r="BB1159" s="38"/>
    </row>
    <row r="1160" spans="1:54">
      <c r="A1160" s="38" t="s">
        <v>5053</v>
      </c>
      <c r="B1160" s="38" t="s">
        <v>3652</v>
      </c>
      <c r="C1160" s="38" t="s">
        <v>5054</v>
      </c>
      <c r="D1160" s="38" t="s">
        <v>3399</v>
      </c>
      <c r="E1160" s="38"/>
      <c r="F1160" s="38"/>
      <c r="G1160" s="38"/>
      <c r="H1160" s="38" t="s">
        <v>3400</v>
      </c>
      <c r="I1160" s="38" t="s">
        <v>5050</v>
      </c>
      <c r="J1160" s="38"/>
      <c r="K1160" s="38">
        <v>550</v>
      </c>
      <c r="L1160" s="38">
        <v>10.1</v>
      </c>
      <c r="M1160" s="38"/>
      <c r="N1160" s="38">
        <v>69.3</v>
      </c>
      <c r="O1160" s="38">
        <v>1.5</v>
      </c>
      <c r="P1160" s="38">
        <v>3.5</v>
      </c>
      <c r="Q1160" s="38">
        <v>15.5</v>
      </c>
      <c r="R1160" s="38">
        <v>9.8000000000000007</v>
      </c>
      <c r="S1160" s="38">
        <v>2</v>
      </c>
      <c r="T1160" s="38"/>
      <c r="U1160" s="38"/>
      <c r="V1160" s="38"/>
      <c r="W1160" s="38"/>
      <c r="X1160" s="38"/>
      <c r="Y1160" s="38"/>
      <c r="Z1160" s="38"/>
      <c r="AA1160" s="38"/>
      <c r="AB1160" s="38"/>
      <c r="AC1160" s="38"/>
      <c r="AD1160" s="38"/>
      <c r="AE1160" s="38"/>
      <c r="AF1160" s="38"/>
      <c r="AG1160" s="38"/>
      <c r="AH1160" s="38"/>
      <c r="AI1160" s="38"/>
      <c r="AJ1160" s="38"/>
      <c r="AK1160" s="38"/>
      <c r="AL1160" s="38">
        <v>0</v>
      </c>
      <c r="AM1160" s="38"/>
      <c r="AN1160" s="38">
        <v>160</v>
      </c>
      <c r="AO1160" s="38"/>
      <c r="AP1160" s="38"/>
      <c r="AQ1160" s="38"/>
      <c r="AR1160" s="38"/>
      <c r="AS1160" s="38"/>
      <c r="AT1160" s="38"/>
      <c r="AU1160" s="38">
        <v>5</v>
      </c>
      <c r="AV1160" s="38">
        <v>0.5</v>
      </c>
      <c r="AW1160" s="38">
        <v>0</v>
      </c>
      <c r="AX1160" s="38"/>
      <c r="AY1160" s="38"/>
      <c r="AZ1160" s="38"/>
      <c r="BA1160" s="38"/>
      <c r="BB1160" s="38"/>
    </row>
    <row r="1161" spans="1:54">
      <c r="A1161" s="38" t="s">
        <v>5055</v>
      </c>
      <c r="B1161" s="38" t="s">
        <v>3652</v>
      </c>
      <c r="C1161" s="38" t="s">
        <v>5056</v>
      </c>
      <c r="D1161" s="38" t="s">
        <v>3399</v>
      </c>
      <c r="E1161" s="38"/>
      <c r="F1161" s="38"/>
      <c r="G1161" s="38"/>
      <c r="H1161" s="38" t="s">
        <v>3400</v>
      </c>
      <c r="I1161" s="38" t="s">
        <v>5050</v>
      </c>
      <c r="J1161" s="38"/>
      <c r="K1161" s="38">
        <v>550</v>
      </c>
      <c r="L1161" s="38">
        <v>21.5</v>
      </c>
      <c r="M1161" s="38"/>
      <c r="N1161" s="38">
        <v>58.8</v>
      </c>
      <c r="O1161" s="38">
        <v>0.9</v>
      </c>
      <c r="P1161" s="38">
        <v>4.2</v>
      </c>
      <c r="Q1161" s="38">
        <v>14.2</v>
      </c>
      <c r="R1161" s="38">
        <v>9.4</v>
      </c>
      <c r="S1161" s="38">
        <v>9</v>
      </c>
      <c r="T1161" s="38"/>
      <c r="U1161" s="38"/>
      <c r="V1161" s="38"/>
      <c r="W1161" s="38"/>
      <c r="X1161" s="38"/>
      <c r="Y1161" s="38"/>
      <c r="Z1161" s="38"/>
      <c r="AA1161" s="38"/>
      <c r="AB1161" s="38"/>
      <c r="AC1161" s="38"/>
      <c r="AD1161" s="38"/>
      <c r="AE1161" s="38"/>
      <c r="AF1161" s="38"/>
      <c r="AG1161" s="38"/>
      <c r="AH1161" s="38"/>
      <c r="AI1161" s="38"/>
      <c r="AJ1161" s="38"/>
      <c r="AK1161" s="38"/>
      <c r="AL1161" s="38">
        <v>10000</v>
      </c>
      <c r="AM1161" s="38"/>
      <c r="AN1161" s="38">
        <v>220</v>
      </c>
      <c r="AO1161" s="38"/>
      <c r="AP1161" s="38"/>
      <c r="AQ1161" s="38"/>
      <c r="AR1161" s="38"/>
      <c r="AS1161" s="38"/>
      <c r="AT1161" s="38"/>
      <c r="AU1161" s="38">
        <v>32</v>
      </c>
      <c r="AV1161" s="38">
        <v>6</v>
      </c>
      <c r="AW1161" s="38">
        <v>90</v>
      </c>
      <c r="AX1161" s="38"/>
      <c r="AY1161" s="38"/>
      <c r="AZ1161" s="38"/>
      <c r="BA1161" s="38"/>
      <c r="BB1161" s="38"/>
    </row>
    <row r="1162" spans="1:54">
      <c r="A1162" s="38" t="s">
        <v>5057</v>
      </c>
      <c r="B1162" s="38" t="s">
        <v>3652</v>
      </c>
      <c r="C1162" s="38" t="s">
        <v>5058</v>
      </c>
      <c r="D1162" s="38" t="s">
        <v>3399</v>
      </c>
      <c r="E1162" s="38"/>
      <c r="F1162" s="38"/>
      <c r="G1162" s="38"/>
      <c r="H1162" s="38" t="s">
        <v>3400</v>
      </c>
      <c r="I1162" s="38" t="s">
        <v>5050</v>
      </c>
      <c r="J1162" s="38"/>
      <c r="K1162" s="38">
        <v>550</v>
      </c>
      <c r="L1162" s="38">
        <v>10.1</v>
      </c>
      <c r="M1162" s="38"/>
      <c r="N1162" s="38">
        <v>58.7</v>
      </c>
      <c r="O1162" s="38">
        <v>1.2</v>
      </c>
      <c r="P1162" s="38">
        <v>5</v>
      </c>
      <c r="Q1162" s="38">
        <v>9.3000000000000007</v>
      </c>
      <c r="R1162" s="38">
        <v>9.5</v>
      </c>
      <c r="S1162" s="38">
        <v>6.5</v>
      </c>
      <c r="T1162" s="38"/>
      <c r="U1162" s="38"/>
      <c r="V1162" s="38"/>
      <c r="W1162" s="38"/>
      <c r="X1162" s="38"/>
      <c r="Y1162" s="38"/>
      <c r="Z1162" s="38"/>
      <c r="AA1162" s="38"/>
      <c r="AB1162" s="38"/>
      <c r="AC1162" s="38"/>
      <c r="AD1162" s="38"/>
      <c r="AE1162" s="38"/>
      <c r="AF1162" s="38"/>
      <c r="AG1162" s="38"/>
      <c r="AH1162" s="38"/>
      <c r="AI1162" s="38"/>
      <c r="AJ1162" s="38"/>
      <c r="AK1162" s="38"/>
      <c r="AL1162" s="38">
        <v>1500</v>
      </c>
      <c r="AM1162" s="38"/>
      <c r="AN1162" s="38">
        <v>270</v>
      </c>
      <c r="AO1162" s="38"/>
      <c r="AP1162" s="38"/>
      <c r="AQ1162" s="38"/>
      <c r="AR1162" s="38"/>
      <c r="AS1162" s="38"/>
      <c r="AT1162" s="38"/>
      <c r="AU1162" s="38">
        <v>12</v>
      </c>
      <c r="AV1162" s="38">
        <v>2</v>
      </c>
      <c r="AW1162" s="38">
        <v>10</v>
      </c>
      <c r="AX1162" s="38"/>
      <c r="AY1162" s="38"/>
      <c r="AZ1162" s="38"/>
      <c r="BA1162" s="38"/>
      <c r="BB1162" s="38"/>
    </row>
    <row r="1163" spans="1:54">
      <c r="A1163" s="38" t="s">
        <v>5059</v>
      </c>
      <c r="B1163" s="38" t="s">
        <v>3652</v>
      </c>
      <c r="C1163" s="38" t="s">
        <v>5060</v>
      </c>
      <c r="D1163" s="38" t="s">
        <v>3399</v>
      </c>
      <c r="E1163" s="38"/>
      <c r="F1163" s="38"/>
      <c r="G1163" s="38"/>
      <c r="H1163" s="38" t="s">
        <v>3400</v>
      </c>
      <c r="I1163" s="38" t="s">
        <v>5050</v>
      </c>
      <c r="J1163" s="38"/>
      <c r="K1163" s="38">
        <v>550</v>
      </c>
      <c r="L1163" s="38">
        <v>33.1</v>
      </c>
      <c r="M1163" s="38"/>
      <c r="N1163" s="38">
        <v>53</v>
      </c>
      <c r="O1163" s="38">
        <v>1.1000000000000001</v>
      </c>
      <c r="P1163" s="38">
        <v>4.8</v>
      </c>
      <c r="Q1163" s="38">
        <v>7.6</v>
      </c>
      <c r="R1163" s="38">
        <v>9.3000000000000007</v>
      </c>
      <c r="S1163" s="38">
        <v>4.5</v>
      </c>
      <c r="T1163" s="38"/>
      <c r="U1163" s="38"/>
      <c r="V1163" s="38"/>
      <c r="W1163" s="38"/>
      <c r="X1163" s="38"/>
      <c r="Y1163" s="38"/>
      <c r="Z1163" s="38"/>
      <c r="AA1163" s="38"/>
      <c r="AB1163" s="38"/>
      <c r="AC1163" s="38"/>
      <c r="AD1163" s="38"/>
      <c r="AE1163" s="38"/>
      <c r="AF1163" s="38"/>
      <c r="AG1163" s="38"/>
      <c r="AH1163" s="38"/>
      <c r="AI1163" s="38"/>
      <c r="AJ1163" s="38"/>
      <c r="AK1163" s="38"/>
      <c r="AL1163" s="38">
        <v>500</v>
      </c>
      <c r="AM1163" s="38"/>
      <c r="AN1163" s="38">
        <v>260</v>
      </c>
      <c r="AO1163" s="38"/>
      <c r="AP1163" s="38"/>
      <c r="AQ1163" s="38"/>
      <c r="AR1163" s="38"/>
      <c r="AS1163" s="38"/>
      <c r="AT1163" s="38"/>
      <c r="AU1163" s="38">
        <v>24</v>
      </c>
      <c r="AV1163" s="38">
        <v>2.5</v>
      </c>
      <c r="AW1163" s="38">
        <v>15</v>
      </c>
      <c r="AX1163" s="38"/>
      <c r="AY1163" s="38"/>
      <c r="AZ1163" s="38"/>
      <c r="BA1163" s="38"/>
      <c r="BB1163" s="38"/>
    </row>
    <row r="1164" spans="1:54">
      <c r="A1164" s="38" t="s">
        <v>5061</v>
      </c>
      <c r="B1164" s="38" t="s">
        <v>3652</v>
      </c>
      <c r="C1164" s="38" t="s">
        <v>5062</v>
      </c>
      <c r="D1164" s="38" t="s">
        <v>3399</v>
      </c>
      <c r="E1164" s="38"/>
      <c r="F1164" s="38"/>
      <c r="G1164" s="38"/>
      <c r="H1164" s="38" t="s">
        <v>3400</v>
      </c>
      <c r="I1164" s="38" t="s">
        <v>5050</v>
      </c>
      <c r="J1164" s="38"/>
      <c r="K1164" s="38">
        <v>550</v>
      </c>
      <c r="L1164" s="38">
        <v>10.1</v>
      </c>
      <c r="M1164" s="38"/>
      <c r="N1164" s="38">
        <v>70.099999999999994</v>
      </c>
      <c r="O1164" s="38">
        <v>0.6</v>
      </c>
      <c r="P1164" s="38">
        <v>4.0999999999999996</v>
      </c>
      <c r="Q1164" s="38">
        <v>14.7</v>
      </c>
      <c r="R1164" s="38">
        <v>9.5</v>
      </c>
      <c r="S1164" s="38">
        <v>6</v>
      </c>
      <c r="T1164" s="38"/>
      <c r="U1164" s="38"/>
      <c r="V1164" s="38"/>
      <c r="W1164" s="38"/>
      <c r="X1164" s="38"/>
      <c r="Y1164" s="38"/>
      <c r="Z1164" s="38"/>
      <c r="AA1164" s="38"/>
      <c r="AB1164" s="38"/>
      <c r="AC1164" s="38"/>
      <c r="AD1164" s="38"/>
      <c r="AE1164" s="38"/>
      <c r="AF1164" s="38"/>
      <c r="AG1164" s="38"/>
      <c r="AH1164" s="38"/>
      <c r="AI1164" s="38"/>
      <c r="AJ1164" s="38"/>
      <c r="AK1164" s="38"/>
      <c r="AL1164" s="38">
        <v>2000</v>
      </c>
      <c r="AM1164" s="38"/>
      <c r="AN1164" s="38">
        <v>220</v>
      </c>
      <c r="AO1164" s="38"/>
      <c r="AP1164" s="38"/>
      <c r="AQ1164" s="38"/>
      <c r="AR1164" s="38"/>
      <c r="AS1164" s="38"/>
      <c r="AT1164" s="38"/>
      <c r="AU1164" s="38">
        <v>5</v>
      </c>
      <c r="AV1164" s="38">
        <v>2</v>
      </c>
      <c r="AW1164" s="38">
        <v>30</v>
      </c>
      <c r="AX1164" s="38"/>
      <c r="AY1164" s="38"/>
      <c r="AZ1164" s="38"/>
      <c r="BA1164" s="38"/>
      <c r="BB1164" s="38"/>
    </row>
    <row r="1165" spans="1:54">
      <c r="A1165" s="38" t="s">
        <v>5063</v>
      </c>
      <c r="B1165" s="38" t="s">
        <v>3652</v>
      </c>
      <c r="C1165" s="38" t="s">
        <v>5064</v>
      </c>
      <c r="D1165" s="38" t="s">
        <v>3399</v>
      </c>
      <c r="E1165" s="38"/>
      <c r="F1165" s="38"/>
      <c r="G1165" s="38"/>
      <c r="H1165" s="38" t="s">
        <v>3400</v>
      </c>
      <c r="I1165" s="38" t="s">
        <v>5050</v>
      </c>
      <c r="J1165" s="38"/>
      <c r="K1165" s="38">
        <v>550</v>
      </c>
      <c r="L1165" s="38">
        <v>19.5</v>
      </c>
      <c r="M1165" s="38"/>
      <c r="N1165" s="38">
        <v>64.099999999999994</v>
      </c>
      <c r="O1165" s="38">
        <v>2</v>
      </c>
      <c r="P1165" s="38">
        <v>4.9000000000000004</v>
      </c>
      <c r="Q1165" s="38">
        <v>8.8000000000000007</v>
      </c>
      <c r="R1165" s="38">
        <v>9.6999999999999993</v>
      </c>
      <c r="S1165" s="38">
        <v>8</v>
      </c>
      <c r="T1165" s="38"/>
      <c r="U1165" s="38"/>
      <c r="V1165" s="38"/>
      <c r="W1165" s="38"/>
      <c r="X1165" s="38"/>
      <c r="Y1165" s="38"/>
      <c r="Z1165" s="38"/>
      <c r="AA1165" s="38"/>
      <c r="AB1165" s="38"/>
      <c r="AC1165" s="38"/>
      <c r="AD1165" s="38"/>
      <c r="AE1165" s="38"/>
      <c r="AF1165" s="38"/>
      <c r="AG1165" s="38"/>
      <c r="AH1165" s="38"/>
      <c r="AI1165" s="38"/>
      <c r="AJ1165" s="38"/>
      <c r="AK1165" s="38"/>
      <c r="AL1165" s="38">
        <v>0</v>
      </c>
      <c r="AM1165" s="38"/>
      <c r="AN1165" s="38">
        <v>260</v>
      </c>
      <c r="AO1165" s="38"/>
      <c r="AP1165" s="38"/>
      <c r="AQ1165" s="38"/>
      <c r="AR1165" s="38"/>
      <c r="AS1165" s="38"/>
      <c r="AT1165" s="38"/>
      <c r="AU1165" s="38">
        <v>6</v>
      </c>
      <c r="AV1165" s="38">
        <v>1.5</v>
      </c>
      <c r="AW1165" s="38">
        <v>25</v>
      </c>
      <c r="AX1165" s="38"/>
      <c r="AY1165" s="38"/>
      <c r="AZ1165" s="38"/>
      <c r="BA1165" s="38"/>
      <c r="BB1165" s="38"/>
    </row>
    <row r="1166" spans="1:54">
      <c r="A1166" s="38" t="s">
        <v>2258</v>
      </c>
      <c r="B1166" s="38" t="s">
        <v>3652</v>
      </c>
      <c r="C1166" s="38" t="s">
        <v>5065</v>
      </c>
      <c r="D1166" s="38" t="s">
        <v>3399</v>
      </c>
      <c r="E1166" s="38"/>
      <c r="F1166" s="38"/>
      <c r="G1166" s="38"/>
      <c r="H1166" s="38" t="s">
        <v>3400</v>
      </c>
      <c r="I1166" s="38" t="s">
        <v>5050</v>
      </c>
      <c r="J1166" s="38"/>
      <c r="K1166" s="38">
        <v>550</v>
      </c>
      <c r="L1166" s="38">
        <v>13.8</v>
      </c>
      <c r="M1166" s="38"/>
      <c r="N1166" s="38">
        <v>68.8</v>
      </c>
      <c r="O1166" s="38">
        <v>1.9</v>
      </c>
      <c r="P1166" s="38">
        <v>7</v>
      </c>
      <c r="Q1166" s="38">
        <v>7.9</v>
      </c>
      <c r="R1166" s="38">
        <v>9.6</v>
      </c>
      <c r="S1166" s="38">
        <v>3</v>
      </c>
      <c r="T1166" s="38"/>
      <c r="U1166" s="38"/>
      <c r="V1166" s="38"/>
      <c r="W1166" s="38"/>
      <c r="X1166" s="38"/>
      <c r="Y1166" s="38"/>
      <c r="Z1166" s="38"/>
      <c r="AA1166" s="38"/>
      <c r="AB1166" s="38"/>
      <c r="AC1166" s="38"/>
      <c r="AD1166" s="38"/>
      <c r="AE1166" s="38"/>
      <c r="AF1166" s="38"/>
      <c r="AG1166" s="38"/>
      <c r="AH1166" s="38"/>
      <c r="AI1166" s="38"/>
      <c r="AJ1166" s="38"/>
      <c r="AK1166" s="38"/>
      <c r="AL1166" s="38">
        <v>250</v>
      </c>
      <c r="AM1166" s="38"/>
      <c r="AN1166" s="38">
        <v>310</v>
      </c>
      <c r="AO1166" s="38"/>
      <c r="AP1166" s="38"/>
      <c r="AQ1166" s="38"/>
      <c r="AR1166" s="38"/>
      <c r="AS1166" s="38"/>
      <c r="AT1166" s="38"/>
      <c r="AU1166" s="38">
        <v>2</v>
      </c>
      <c r="AV1166" s="38">
        <v>0.5</v>
      </c>
      <c r="AW1166" s="38">
        <v>10</v>
      </c>
      <c r="AX1166" s="38"/>
      <c r="AY1166" s="38"/>
      <c r="AZ1166" s="38"/>
      <c r="BA1166" s="38"/>
      <c r="BB1166" s="38"/>
    </row>
    <row r="1167" spans="1:54">
      <c r="A1167" s="38" t="s">
        <v>5066</v>
      </c>
      <c r="B1167" s="38" t="s">
        <v>3424</v>
      </c>
      <c r="C1167" s="38" t="s">
        <v>5067</v>
      </c>
      <c r="D1167" s="38" t="s">
        <v>3399</v>
      </c>
      <c r="E1167" s="38"/>
      <c r="F1167" s="38"/>
      <c r="G1167" s="38"/>
      <c r="H1167" s="38" t="s">
        <v>3400</v>
      </c>
      <c r="I1167" s="38" t="s">
        <v>5050</v>
      </c>
      <c r="J1167" s="38"/>
      <c r="K1167" s="38">
        <v>550</v>
      </c>
      <c r="L1167" s="38">
        <v>23.6</v>
      </c>
      <c r="M1167" s="38"/>
      <c r="N1167" s="38">
        <v>68.099999999999994</v>
      </c>
      <c r="O1167" s="38">
        <v>2.2999999999999998</v>
      </c>
      <c r="P1167" s="38">
        <v>3.6</v>
      </c>
      <c r="Q1167" s="38">
        <v>2.2000000000000002</v>
      </c>
      <c r="R1167" s="38">
        <v>10.199999999999999</v>
      </c>
      <c r="S1167" s="38">
        <v>7.5</v>
      </c>
      <c r="T1167" s="38"/>
      <c r="U1167" s="38"/>
      <c r="V1167" s="38"/>
      <c r="W1167" s="38"/>
      <c r="X1167" s="38"/>
      <c r="Y1167" s="38"/>
      <c r="Z1167" s="38"/>
      <c r="AA1167" s="38"/>
      <c r="AB1167" s="38"/>
      <c r="AC1167" s="38"/>
      <c r="AD1167" s="38"/>
      <c r="AE1167" s="38"/>
      <c r="AF1167" s="38"/>
      <c r="AG1167" s="38"/>
      <c r="AH1167" s="38"/>
      <c r="AI1167" s="38"/>
      <c r="AJ1167" s="38"/>
      <c r="AK1167" s="38"/>
      <c r="AL1167" s="38">
        <v>12000</v>
      </c>
      <c r="AM1167" s="38"/>
      <c r="AN1167" s="38">
        <v>120</v>
      </c>
      <c r="AO1167" s="38"/>
      <c r="AP1167" s="38"/>
      <c r="AQ1167" s="38"/>
      <c r="AR1167" s="38"/>
      <c r="AS1167" s="38"/>
      <c r="AT1167" s="38"/>
      <c r="AU1167" s="38">
        <v>15</v>
      </c>
      <c r="AV1167" s="38">
        <v>4</v>
      </c>
      <c r="AW1167" s="38">
        <v>25</v>
      </c>
      <c r="AX1167" s="38"/>
      <c r="AY1167" s="38"/>
      <c r="AZ1167" s="38"/>
      <c r="BA1167" s="38"/>
      <c r="BB1167" s="38"/>
    </row>
    <row r="1168" spans="1:54">
      <c r="A1168" s="38" t="s">
        <v>5068</v>
      </c>
      <c r="B1168" s="38" t="s">
        <v>3424</v>
      </c>
      <c r="C1168" s="38" t="s">
        <v>5069</v>
      </c>
      <c r="D1168" s="38" t="s">
        <v>3399</v>
      </c>
      <c r="E1168" s="38"/>
      <c r="F1168" s="38"/>
      <c r="G1168" s="38"/>
      <c r="H1168" s="38" t="s">
        <v>3400</v>
      </c>
      <c r="I1168" s="38" t="s">
        <v>5050</v>
      </c>
      <c r="J1168" s="38"/>
      <c r="K1168" s="38">
        <v>550</v>
      </c>
      <c r="L1168" s="38">
        <v>11.6</v>
      </c>
      <c r="M1168" s="38"/>
      <c r="N1168" s="38">
        <v>68.599999999999994</v>
      </c>
      <c r="O1168" s="38">
        <v>2</v>
      </c>
      <c r="P1168" s="38">
        <v>5.8</v>
      </c>
      <c r="Q1168" s="38">
        <v>11.7</v>
      </c>
      <c r="R1168" s="38">
        <v>9.8000000000000007</v>
      </c>
      <c r="S1168" s="38">
        <v>3</v>
      </c>
      <c r="T1168" s="38"/>
      <c r="U1168" s="38"/>
      <c r="V1168" s="38"/>
      <c r="W1168" s="38"/>
      <c r="X1168" s="38"/>
      <c r="Y1168" s="38"/>
      <c r="Z1168" s="38"/>
      <c r="AA1168" s="38"/>
      <c r="AB1168" s="38"/>
      <c r="AC1168" s="38"/>
      <c r="AD1168" s="38"/>
      <c r="AE1168" s="38"/>
      <c r="AF1168" s="38"/>
      <c r="AG1168" s="38"/>
      <c r="AH1168" s="38"/>
      <c r="AI1168" s="38"/>
      <c r="AJ1168" s="38"/>
      <c r="AK1168" s="38"/>
      <c r="AL1168" s="38">
        <v>3500</v>
      </c>
      <c r="AM1168" s="38"/>
      <c r="AN1168" s="38">
        <v>240</v>
      </c>
      <c r="AO1168" s="38"/>
      <c r="AP1168" s="38"/>
      <c r="AQ1168" s="38"/>
      <c r="AR1168" s="38"/>
      <c r="AS1168" s="38"/>
      <c r="AT1168" s="38"/>
      <c r="AU1168" s="38">
        <v>6</v>
      </c>
      <c r="AV1168" s="38">
        <v>0.5</v>
      </c>
      <c r="AW1168" s="38">
        <v>10</v>
      </c>
      <c r="AX1168" s="38"/>
      <c r="AY1168" s="38"/>
      <c r="AZ1168" s="38"/>
      <c r="BA1168" s="38"/>
      <c r="BB1168" s="38"/>
    </row>
    <row r="1169" spans="1:54">
      <c r="A1169" s="38" t="s">
        <v>5070</v>
      </c>
      <c r="B1169" s="38" t="s">
        <v>3424</v>
      </c>
      <c r="C1169" s="38" t="s">
        <v>5071</v>
      </c>
      <c r="D1169" s="38" t="s">
        <v>3399</v>
      </c>
      <c r="E1169" s="38"/>
      <c r="F1169" s="38"/>
      <c r="G1169" s="38"/>
      <c r="H1169" s="38" t="s">
        <v>3400</v>
      </c>
      <c r="I1169" s="38" t="s">
        <v>5050</v>
      </c>
      <c r="J1169" s="38"/>
      <c r="K1169" s="38">
        <v>550</v>
      </c>
      <c r="L1169" s="38">
        <v>13.9</v>
      </c>
      <c r="M1169" s="38"/>
      <c r="N1169" s="38">
        <v>72.400000000000006</v>
      </c>
      <c r="O1169" s="38">
        <v>0.5</v>
      </c>
      <c r="P1169" s="38">
        <v>3.1</v>
      </c>
      <c r="Q1169" s="38">
        <v>10</v>
      </c>
      <c r="R1169" s="38">
        <v>10.5</v>
      </c>
      <c r="S1169" s="38">
        <v>2.5</v>
      </c>
      <c r="T1169" s="38"/>
      <c r="U1169" s="38"/>
      <c r="V1169" s="38"/>
      <c r="W1169" s="38"/>
      <c r="X1169" s="38"/>
      <c r="Y1169" s="38"/>
      <c r="Z1169" s="38"/>
      <c r="AA1169" s="38"/>
      <c r="AB1169" s="38"/>
      <c r="AC1169" s="38"/>
      <c r="AD1169" s="38"/>
      <c r="AE1169" s="38"/>
      <c r="AF1169" s="38"/>
      <c r="AG1169" s="38"/>
      <c r="AH1169" s="38"/>
      <c r="AI1169" s="38"/>
      <c r="AJ1169" s="38"/>
      <c r="AK1169" s="38"/>
      <c r="AL1169" s="38">
        <v>250</v>
      </c>
      <c r="AM1169" s="38"/>
      <c r="AN1169" s="38">
        <v>160</v>
      </c>
      <c r="AO1169" s="38"/>
      <c r="AP1169" s="38"/>
      <c r="AQ1169" s="38"/>
      <c r="AR1169" s="38"/>
      <c r="AS1169" s="38"/>
      <c r="AT1169" s="38"/>
      <c r="AU1169" s="38">
        <v>5.5</v>
      </c>
      <c r="AV1169" s="38">
        <v>0.5</v>
      </c>
      <c r="AW1169" s="38">
        <v>3</v>
      </c>
      <c r="AX1169" s="38"/>
      <c r="AY1169" s="38"/>
      <c r="AZ1169" s="38"/>
      <c r="BA1169" s="38"/>
      <c r="BB1169" s="38"/>
    </row>
    <row r="1170" spans="1:54">
      <c r="A1170" s="38" t="s">
        <v>5072</v>
      </c>
      <c r="B1170" s="38" t="s">
        <v>3471</v>
      </c>
      <c r="C1170" s="38" t="s">
        <v>5073</v>
      </c>
      <c r="D1170" s="38" t="s">
        <v>3399</v>
      </c>
      <c r="E1170" s="38"/>
      <c r="F1170" s="38"/>
      <c r="G1170" s="38"/>
      <c r="H1170" s="38" t="s">
        <v>3400</v>
      </c>
      <c r="I1170" s="38" t="s">
        <v>5050</v>
      </c>
      <c r="J1170" s="38"/>
      <c r="K1170" s="38">
        <v>550</v>
      </c>
      <c r="L1170" s="38">
        <v>4.5999999999999996</v>
      </c>
      <c r="M1170" s="38"/>
      <c r="N1170" s="38">
        <v>76.099999999999994</v>
      </c>
      <c r="O1170" s="38">
        <v>2</v>
      </c>
      <c r="P1170" s="38">
        <v>4.4000000000000004</v>
      </c>
      <c r="Q1170" s="38">
        <v>12.7</v>
      </c>
      <c r="R1170" s="38">
        <v>8.5</v>
      </c>
      <c r="S1170" s="38">
        <v>1</v>
      </c>
      <c r="T1170" s="38"/>
      <c r="U1170" s="38"/>
      <c r="V1170" s="38"/>
      <c r="W1170" s="38"/>
      <c r="X1170" s="38"/>
      <c r="Y1170" s="38"/>
      <c r="Z1170" s="38"/>
      <c r="AA1170" s="38"/>
      <c r="AB1170" s="38"/>
      <c r="AC1170" s="38"/>
      <c r="AD1170" s="38"/>
      <c r="AE1170" s="38"/>
      <c r="AF1170" s="38"/>
      <c r="AG1170" s="38"/>
      <c r="AH1170" s="38"/>
      <c r="AI1170" s="38"/>
      <c r="AJ1170" s="38"/>
      <c r="AK1170" s="38"/>
      <c r="AL1170" s="38">
        <v>250</v>
      </c>
      <c r="AM1170" s="38"/>
      <c r="AN1170" s="38">
        <v>100</v>
      </c>
      <c r="AO1170" s="38"/>
      <c r="AP1170" s="38"/>
      <c r="AQ1170" s="38"/>
      <c r="AR1170" s="38"/>
      <c r="AS1170" s="38"/>
      <c r="AT1170" s="38"/>
      <c r="AU1170" s="38">
        <v>4</v>
      </c>
      <c r="AV1170" s="38">
        <v>0.25</v>
      </c>
      <c r="AW1170" s="38">
        <v>1</v>
      </c>
      <c r="AX1170" s="38"/>
      <c r="AY1170" s="38"/>
      <c r="AZ1170" s="38"/>
      <c r="BA1170" s="38"/>
      <c r="BB1170" s="38"/>
    </row>
    <row r="1171" spans="1:54">
      <c r="A1171" s="38" t="s">
        <v>5074</v>
      </c>
      <c r="B1171" s="38" t="s">
        <v>3471</v>
      </c>
      <c r="C1171" s="38" t="s">
        <v>5075</v>
      </c>
      <c r="D1171" s="38" t="s">
        <v>3399</v>
      </c>
      <c r="E1171" s="38"/>
      <c r="F1171" s="38"/>
      <c r="G1171" s="38"/>
      <c r="H1171" s="38" t="s">
        <v>3400</v>
      </c>
      <c r="I1171" s="38" t="s">
        <v>5050</v>
      </c>
      <c r="J1171" s="38"/>
      <c r="K1171" s="38">
        <v>550</v>
      </c>
      <c r="L1171" s="38">
        <v>7.7</v>
      </c>
      <c r="M1171" s="38"/>
      <c r="N1171" s="38">
        <v>71.5</v>
      </c>
      <c r="O1171" s="38">
        <v>1.5</v>
      </c>
      <c r="P1171" s="38">
        <v>2.8</v>
      </c>
      <c r="Q1171" s="38">
        <v>16.399999999999999</v>
      </c>
      <c r="R1171" s="38">
        <v>9.8000000000000007</v>
      </c>
      <c r="S1171" s="38">
        <v>1</v>
      </c>
      <c r="T1171" s="38"/>
      <c r="U1171" s="38"/>
      <c r="V1171" s="38"/>
      <c r="W1171" s="38"/>
      <c r="X1171" s="38"/>
      <c r="Y1171" s="38"/>
      <c r="Z1171" s="38"/>
      <c r="AA1171" s="38"/>
      <c r="AB1171" s="38"/>
      <c r="AC1171" s="38"/>
      <c r="AD1171" s="38"/>
      <c r="AE1171" s="38"/>
      <c r="AF1171" s="38"/>
      <c r="AG1171" s="38"/>
      <c r="AH1171" s="38"/>
      <c r="AI1171" s="38"/>
      <c r="AJ1171" s="38"/>
      <c r="AK1171" s="38"/>
      <c r="AL1171" s="38">
        <v>100</v>
      </c>
      <c r="AM1171" s="38"/>
      <c r="AN1171" s="38">
        <v>105</v>
      </c>
      <c r="AO1171" s="38"/>
      <c r="AP1171" s="38"/>
      <c r="AQ1171" s="38"/>
      <c r="AR1171" s="38"/>
      <c r="AS1171" s="38"/>
      <c r="AT1171" s="38"/>
      <c r="AU1171" s="38">
        <v>1</v>
      </c>
      <c r="AV1171" s="38">
        <v>0.5</v>
      </c>
      <c r="AW1171" s="38">
        <v>3</v>
      </c>
      <c r="AX1171" s="38"/>
      <c r="AY1171" s="38"/>
      <c r="AZ1171" s="38"/>
      <c r="BA1171" s="38"/>
      <c r="BB1171" s="38"/>
    </row>
    <row r="1172" spans="1:54">
      <c r="A1172" s="38" t="s">
        <v>5076</v>
      </c>
      <c r="B1172" s="38" t="s">
        <v>3471</v>
      </c>
      <c r="C1172" s="38" t="s">
        <v>5077</v>
      </c>
      <c r="D1172" s="38" t="s">
        <v>3399</v>
      </c>
      <c r="E1172" s="38"/>
      <c r="F1172" s="38"/>
      <c r="G1172" s="38"/>
      <c r="H1172" s="38" t="s">
        <v>3400</v>
      </c>
      <c r="I1172" s="38" t="s">
        <v>5050</v>
      </c>
      <c r="J1172" s="38"/>
      <c r="K1172" s="38">
        <v>550</v>
      </c>
      <c r="L1172" s="38">
        <v>7.1</v>
      </c>
      <c r="M1172" s="38"/>
      <c r="N1172" s="38">
        <v>80.099999999999994</v>
      </c>
      <c r="O1172" s="38">
        <v>1.6</v>
      </c>
      <c r="P1172" s="38">
        <v>4.2</v>
      </c>
      <c r="Q1172" s="38">
        <v>6.9</v>
      </c>
      <c r="R1172" s="38">
        <v>10.6</v>
      </c>
      <c r="S1172" s="38">
        <v>0.75</v>
      </c>
      <c r="T1172" s="38"/>
      <c r="U1172" s="38"/>
      <c r="V1172" s="38"/>
      <c r="W1172" s="38"/>
      <c r="X1172" s="38"/>
      <c r="Y1172" s="38"/>
      <c r="Z1172" s="38"/>
      <c r="AA1172" s="38"/>
      <c r="AB1172" s="38"/>
      <c r="AC1172" s="38"/>
      <c r="AD1172" s="38"/>
      <c r="AE1172" s="38"/>
      <c r="AF1172" s="38"/>
      <c r="AG1172" s="38"/>
      <c r="AH1172" s="38"/>
      <c r="AI1172" s="38"/>
      <c r="AJ1172" s="38"/>
      <c r="AK1172" s="38"/>
      <c r="AL1172" s="38">
        <v>0</v>
      </c>
      <c r="AM1172" s="38"/>
      <c r="AN1172" s="38">
        <v>80</v>
      </c>
      <c r="AO1172" s="38"/>
      <c r="AP1172" s="38"/>
      <c r="AQ1172" s="38"/>
      <c r="AR1172" s="38"/>
      <c r="AS1172" s="38"/>
      <c r="AT1172" s="38"/>
      <c r="AU1172" s="38">
        <v>0</v>
      </c>
      <c r="AV1172" s="38">
        <v>0.1</v>
      </c>
      <c r="AW1172" s="38">
        <v>2</v>
      </c>
      <c r="AX1172" s="38"/>
      <c r="AY1172" s="38"/>
      <c r="AZ1172" s="38"/>
      <c r="BA1172" s="38"/>
      <c r="BB1172" s="38"/>
    </row>
    <row r="1173" spans="1:54">
      <c r="A1173" s="38" t="s">
        <v>5078</v>
      </c>
      <c r="B1173" s="38" t="s">
        <v>3471</v>
      </c>
      <c r="C1173" s="38" t="s">
        <v>5079</v>
      </c>
      <c r="D1173" s="38" t="s">
        <v>3399</v>
      </c>
      <c r="E1173" s="38"/>
      <c r="F1173" s="38"/>
      <c r="G1173" s="38"/>
      <c r="H1173" s="38" t="s">
        <v>3400</v>
      </c>
      <c r="I1173" s="38" t="s">
        <v>5050</v>
      </c>
      <c r="J1173" s="38"/>
      <c r="K1173" s="38">
        <v>550</v>
      </c>
      <c r="L1173" s="38">
        <v>13.2</v>
      </c>
      <c r="M1173" s="38"/>
      <c r="N1173" s="38">
        <v>67.7</v>
      </c>
      <c r="O1173" s="38">
        <v>1.5</v>
      </c>
      <c r="P1173" s="38">
        <v>3.7</v>
      </c>
      <c r="Q1173" s="38">
        <v>13.6</v>
      </c>
      <c r="R1173" s="38">
        <v>9</v>
      </c>
      <c r="S1173" s="38">
        <v>2</v>
      </c>
      <c r="T1173" s="38"/>
      <c r="U1173" s="38"/>
      <c r="V1173" s="38"/>
      <c r="W1173" s="38"/>
      <c r="X1173" s="38"/>
      <c r="Y1173" s="38"/>
      <c r="Z1173" s="38"/>
      <c r="AA1173" s="38"/>
      <c r="AB1173" s="38"/>
      <c r="AC1173" s="38"/>
      <c r="AD1173" s="38"/>
      <c r="AE1173" s="38"/>
      <c r="AF1173" s="38"/>
      <c r="AG1173" s="38"/>
      <c r="AH1173" s="38"/>
      <c r="AI1173" s="38"/>
      <c r="AJ1173" s="38"/>
      <c r="AK1173" s="38"/>
      <c r="AL1173" s="38">
        <v>100</v>
      </c>
      <c r="AM1173" s="38"/>
      <c r="AN1173" s="38">
        <v>90</v>
      </c>
      <c r="AO1173" s="38"/>
      <c r="AP1173" s="38"/>
      <c r="AQ1173" s="38"/>
      <c r="AR1173" s="38"/>
      <c r="AS1173" s="38"/>
      <c r="AT1173" s="38"/>
      <c r="AU1173" s="38">
        <v>4</v>
      </c>
      <c r="AV1173" s="38">
        <v>0.5</v>
      </c>
      <c r="AW1173" s="38">
        <v>0</v>
      </c>
      <c r="AX1173" s="38"/>
      <c r="AY1173" s="38"/>
      <c r="AZ1173" s="38"/>
      <c r="BA1173" s="38"/>
      <c r="BB1173" s="38"/>
    </row>
    <row r="1174" spans="1:54">
      <c r="A1174" s="38" t="s">
        <v>5080</v>
      </c>
      <c r="B1174" s="38" t="s">
        <v>3471</v>
      </c>
      <c r="C1174" s="38" t="s">
        <v>5081</v>
      </c>
      <c r="D1174" s="38" t="s">
        <v>3399</v>
      </c>
      <c r="E1174" s="38"/>
      <c r="F1174" s="38"/>
      <c r="G1174" s="38"/>
      <c r="H1174" s="38" t="s">
        <v>3400</v>
      </c>
      <c r="I1174" s="38" t="s">
        <v>5050</v>
      </c>
      <c r="J1174" s="38"/>
      <c r="K1174" s="38">
        <v>550</v>
      </c>
      <c r="L1174" s="38">
        <v>3.6</v>
      </c>
      <c r="M1174" s="38"/>
      <c r="N1174" s="38">
        <v>79.7</v>
      </c>
      <c r="O1174" s="38">
        <v>1</v>
      </c>
      <c r="P1174" s="38">
        <v>5.8</v>
      </c>
      <c r="Q1174" s="38">
        <v>9.6999999999999993</v>
      </c>
      <c r="R1174" s="38">
        <v>8.9</v>
      </c>
      <c r="S1174" s="38">
        <v>0.5</v>
      </c>
      <c r="T1174" s="38"/>
      <c r="U1174" s="38"/>
      <c r="V1174" s="38"/>
      <c r="W1174" s="38"/>
      <c r="X1174" s="38"/>
      <c r="Y1174" s="38"/>
      <c r="Z1174" s="38"/>
      <c r="AA1174" s="38"/>
      <c r="AB1174" s="38"/>
      <c r="AC1174" s="38"/>
      <c r="AD1174" s="38"/>
      <c r="AE1174" s="38"/>
      <c r="AF1174" s="38"/>
      <c r="AG1174" s="38"/>
      <c r="AH1174" s="38"/>
      <c r="AI1174" s="38"/>
      <c r="AJ1174" s="38"/>
      <c r="AK1174" s="38"/>
      <c r="AL1174" s="38">
        <v>0</v>
      </c>
      <c r="AM1174" s="38"/>
      <c r="AN1174" s="38">
        <v>140</v>
      </c>
      <c r="AO1174" s="38"/>
      <c r="AP1174" s="38"/>
      <c r="AQ1174" s="38"/>
      <c r="AR1174" s="38"/>
      <c r="AS1174" s="38"/>
      <c r="AT1174" s="38"/>
      <c r="AU1174" s="38">
        <v>3</v>
      </c>
      <c r="AV1174" s="38">
        <v>0.25</v>
      </c>
      <c r="AW1174" s="38">
        <v>1</v>
      </c>
      <c r="AX1174" s="38"/>
      <c r="AY1174" s="38"/>
      <c r="AZ1174" s="38"/>
      <c r="BA1174" s="38"/>
      <c r="BB1174" s="38"/>
    </row>
    <row r="1175" spans="1:54">
      <c r="A1175" s="38" t="s">
        <v>5082</v>
      </c>
      <c r="B1175" s="38" t="s">
        <v>3471</v>
      </c>
      <c r="C1175" s="38" t="s">
        <v>5083</v>
      </c>
      <c r="D1175" s="38" t="s">
        <v>3399</v>
      </c>
      <c r="E1175" s="38"/>
      <c r="F1175" s="38"/>
      <c r="G1175" s="38"/>
      <c r="H1175" s="38" t="s">
        <v>3400</v>
      </c>
      <c r="I1175" s="38" t="s">
        <v>5050</v>
      </c>
      <c r="J1175" s="38"/>
      <c r="K1175" s="38">
        <v>550</v>
      </c>
      <c r="L1175" s="38">
        <v>4</v>
      </c>
      <c r="M1175" s="38"/>
      <c r="N1175" s="38">
        <v>71.900000000000006</v>
      </c>
      <c r="O1175" s="38">
        <v>0.6</v>
      </c>
      <c r="P1175" s="38">
        <v>4.0999999999999996</v>
      </c>
      <c r="Q1175" s="38">
        <v>19.3</v>
      </c>
      <c r="R1175" s="38">
        <v>8</v>
      </c>
      <c r="S1175" s="38">
        <v>0.25</v>
      </c>
      <c r="T1175" s="38"/>
      <c r="U1175" s="38"/>
      <c r="V1175" s="38"/>
      <c r="W1175" s="38"/>
      <c r="X1175" s="38"/>
      <c r="Y1175" s="38"/>
      <c r="Z1175" s="38"/>
      <c r="AA1175" s="38"/>
      <c r="AB1175" s="38"/>
      <c r="AC1175" s="38"/>
      <c r="AD1175" s="38"/>
      <c r="AE1175" s="38"/>
      <c r="AF1175" s="38"/>
      <c r="AG1175" s="38"/>
      <c r="AH1175" s="38"/>
      <c r="AI1175" s="38"/>
      <c r="AJ1175" s="38"/>
      <c r="AK1175" s="38"/>
      <c r="AL1175" s="38">
        <v>0</v>
      </c>
      <c r="AM1175" s="38"/>
      <c r="AN1175" s="38">
        <v>110</v>
      </c>
      <c r="AO1175" s="38"/>
      <c r="AP1175" s="38"/>
      <c r="AQ1175" s="38"/>
      <c r="AR1175" s="38"/>
      <c r="AS1175" s="38"/>
      <c r="AT1175" s="38"/>
      <c r="AU1175" s="38">
        <v>0</v>
      </c>
      <c r="AV1175" s="38">
        <v>0</v>
      </c>
      <c r="AW1175" s="38">
        <v>0</v>
      </c>
      <c r="AX1175" s="38"/>
      <c r="AY1175" s="38"/>
      <c r="AZ1175" s="38"/>
      <c r="BA1175" s="38"/>
      <c r="BB1175" s="38"/>
    </row>
    <row r="1176" spans="1:54">
      <c r="A1176" s="38" t="s">
        <v>5084</v>
      </c>
      <c r="B1176" s="38" t="s">
        <v>3471</v>
      </c>
      <c r="C1176" s="38" t="s">
        <v>5085</v>
      </c>
      <c r="D1176" s="38" t="s">
        <v>3399</v>
      </c>
      <c r="E1176" s="38"/>
      <c r="F1176" s="38"/>
      <c r="G1176" s="38"/>
      <c r="H1176" s="38" t="s">
        <v>3400</v>
      </c>
      <c r="I1176" s="38" t="s">
        <v>5050</v>
      </c>
      <c r="J1176" s="38"/>
      <c r="K1176" s="38">
        <v>550</v>
      </c>
      <c r="L1176" s="38">
        <v>10</v>
      </c>
      <c r="M1176" s="38"/>
      <c r="N1176" s="38">
        <v>72.3</v>
      </c>
      <c r="O1176" s="38">
        <v>1.7</v>
      </c>
      <c r="P1176" s="38">
        <v>4</v>
      </c>
      <c r="Q1176" s="38">
        <v>11.7</v>
      </c>
      <c r="R1176" s="38">
        <v>9.6</v>
      </c>
      <c r="S1176" s="38">
        <v>0.75</v>
      </c>
      <c r="T1176" s="38"/>
      <c r="U1176" s="38"/>
      <c r="V1176" s="38"/>
      <c r="W1176" s="38"/>
      <c r="X1176" s="38"/>
      <c r="Y1176" s="38"/>
      <c r="Z1176" s="38"/>
      <c r="AA1176" s="38"/>
      <c r="AB1176" s="38"/>
      <c r="AC1176" s="38"/>
      <c r="AD1176" s="38"/>
      <c r="AE1176" s="38"/>
      <c r="AF1176" s="38"/>
      <c r="AG1176" s="38"/>
      <c r="AH1176" s="38"/>
      <c r="AI1176" s="38"/>
      <c r="AJ1176" s="38"/>
      <c r="AK1176" s="38"/>
      <c r="AL1176" s="38">
        <v>100</v>
      </c>
      <c r="AM1176" s="38"/>
      <c r="AN1176" s="38">
        <v>115</v>
      </c>
      <c r="AO1176" s="38"/>
      <c r="AP1176" s="38"/>
      <c r="AQ1176" s="38"/>
      <c r="AR1176" s="38"/>
      <c r="AS1176" s="38"/>
      <c r="AT1176" s="38"/>
      <c r="AU1176" s="38">
        <v>4</v>
      </c>
      <c r="AV1176" s="38">
        <v>0.5</v>
      </c>
      <c r="AW1176" s="38">
        <v>1</v>
      </c>
      <c r="AX1176" s="38"/>
      <c r="AY1176" s="38"/>
      <c r="AZ1176" s="38"/>
      <c r="BA1176" s="38"/>
      <c r="BB1176" s="38"/>
    </row>
    <row r="1177" spans="1:54">
      <c r="A1177" s="38" t="s">
        <v>5086</v>
      </c>
      <c r="B1177" s="38" t="s">
        <v>3471</v>
      </c>
      <c r="C1177" s="38" t="s">
        <v>5087</v>
      </c>
      <c r="D1177" s="38" t="s">
        <v>3399</v>
      </c>
      <c r="E1177" s="38"/>
      <c r="F1177" s="38"/>
      <c r="G1177" s="38"/>
      <c r="H1177" s="38" t="s">
        <v>3400</v>
      </c>
      <c r="I1177" s="38" t="s">
        <v>5050</v>
      </c>
      <c r="J1177" s="38"/>
      <c r="K1177" s="38">
        <v>550</v>
      </c>
      <c r="L1177" s="38">
        <v>9.1999999999999993</v>
      </c>
      <c r="M1177" s="38"/>
      <c r="N1177" s="38">
        <v>66</v>
      </c>
      <c r="O1177" s="38">
        <v>0.4</v>
      </c>
      <c r="P1177" s="38">
        <v>2.2000000000000002</v>
      </c>
      <c r="Q1177" s="38">
        <v>22.1</v>
      </c>
      <c r="R1177" s="38">
        <v>8</v>
      </c>
      <c r="S1177" s="38">
        <v>0.5</v>
      </c>
      <c r="T1177" s="38"/>
      <c r="U1177" s="38"/>
      <c r="V1177" s="38"/>
      <c r="W1177" s="38"/>
      <c r="X1177" s="38"/>
      <c r="Y1177" s="38"/>
      <c r="Z1177" s="38"/>
      <c r="AA1177" s="38"/>
      <c r="AB1177" s="38"/>
      <c r="AC1177" s="38"/>
      <c r="AD1177" s="38"/>
      <c r="AE1177" s="38"/>
      <c r="AF1177" s="38"/>
      <c r="AG1177" s="38"/>
      <c r="AH1177" s="38"/>
      <c r="AI1177" s="38"/>
      <c r="AJ1177" s="38"/>
      <c r="AK1177" s="38"/>
      <c r="AL1177" s="38">
        <v>0</v>
      </c>
      <c r="AM1177" s="38"/>
      <c r="AN1177" s="38">
        <v>110</v>
      </c>
      <c r="AO1177" s="38"/>
      <c r="AP1177" s="38"/>
      <c r="AQ1177" s="38"/>
      <c r="AR1177" s="38"/>
      <c r="AS1177" s="38"/>
      <c r="AT1177" s="38"/>
      <c r="AU1177" s="38">
        <v>0</v>
      </c>
      <c r="AV1177" s="38">
        <v>0</v>
      </c>
      <c r="AW1177" s="38">
        <v>0</v>
      </c>
      <c r="AX1177" s="38"/>
      <c r="AY1177" s="38"/>
      <c r="AZ1177" s="38"/>
      <c r="BA1177" s="38"/>
      <c r="BB1177" s="38"/>
    </row>
    <row r="1178" spans="1:54">
      <c r="A1178" s="38" t="s">
        <v>5088</v>
      </c>
      <c r="B1178" s="38" t="s">
        <v>3471</v>
      </c>
      <c r="C1178" s="38" t="s">
        <v>5089</v>
      </c>
      <c r="D1178" s="38" t="s">
        <v>3399</v>
      </c>
      <c r="E1178" s="38"/>
      <c r="F1178" s="38"/>
      <c r="G1178" s="38"/>
      <c r="H1178" s="38" t="s">
        <v>3400</v>
      </c>
      <c r="I1178" s="38" t="s">
        <v>5050</v>
      </c>
      <c r="J1178" s="38"/>
      <c r="K1178" s="38">
        <v>550</v>
      </c>
      <c r="L1178" s="38">
        <v>6.4</v>
      </c>
      <c r="M1178" s="38"/>
      <c r="N1178" s="38">
        <v>77.2</v>
      </c>
      <c r="O1178" s="38">
        <v>0.7</v>
      </c>
      <c r="P1178" s="38">
        <v>4.9000000000000004</v>
      </c>
      <c r="Q1178" s="38">
        <v>10.7</v>
      </c>
      <c r="R1178" s="38">
        <v>9</v>
      </c>
      <c r="S1178" s="38">
        <v>1</v>
      </c>
      <c r="T1178" s="38"/>
      <c r="U1178" s="38"/>
      <c r="V1178" s="38"/>
      <c r="W1178" s="38"/>
      <c r="X1178" s="38"/>
      <c r="Y1178" s="38"/>
      <c r="Z1178" s="38"/>
      <c r="AA1178" s="38"/>
      <c r="AB1178" s="38"/>
      <c r="AC1178" s="38"/>
      <c r="AD1178" s="38"/>
      <c r="AE1178" s="38"/>
      <c r="AF1178" s="38"/>
      <c r="AG1178" s="38"/>
      <c r="AH1178" s="38"/>
      <c r="AI1178" s="38"/>
      <c r="AJ1178" s="38"/>
      <c r="AK1178" s="38"/>
      <c r="AL1178" s="38">
        <v>0</v>
      </c>
      <c r="AM1178" s="38"/>
      <c r="AN1178" s="38">
        <v>130</v>
      </c>
      <c r="AO1178" s="38"/>
      <c r="AP1178" s="38"/>
      <c r="AQ1178" s="38"/>
      <c r="AR1178" s="38"/>
      <c r="AS1178" s="38"/>
      <c r="AT1178" s="38"/>
      <c r="AU1178" s="38">
        <v>2</v>
      </c>
      <c r="AV1178" s="38">
        <v>0.1</v>
      </c>
      <c r="AW1178" s="38">
        <v>0</v>
      </c>
      <c r="AX1178" s="38"/>
      <c r="AY1178" s="38"/>
      <c r="AZ1178" s="38"/>
      <c r="BA1178" s="38"/>
      <c r="BB1178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lists</vt:lpstr>
      <vt:lpstr>study_info</vt:lpstr>
      <vt:lpstr>soil_properties</vt:lpstr>
      <vt:lpstr>amendment_properties</vt:lpstr>
      <vt:lpstr>pesticide_properties</vt:lpstr>
      <vt:lpstr>experimental_conditions</vt:lpstr>
      <vt:lpstr>results</vt:lpstr>
      <vt:lpstr>id_guide</vt:lpstr>
      <vt:lpstr>readme</vt:lpstr>
      <vt:lpstr>Biochar properties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Bergman, Joris</cp:lastModifiedBy>
  <cp:revision/>
  <dcterms:created xsi:type="dcterms:W3CDTF">2026-04-02T15:05:27Z</dcterms:created>
  <dcterms:modified xsi:type="dcterms:W3CDTF">2026-08-28T11:18:55Z</dcterms:modified>
  <cp:category/>
  <cp:contentStatus/>
</cp:coreProperties>
</file>